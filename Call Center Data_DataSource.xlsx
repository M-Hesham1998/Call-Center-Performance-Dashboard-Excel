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H:\Files\Route\1__Excel\Assignment 3\"/>
    </mc:Choice>
  </mc:AlternateContent>
  <xr:revisionPtr revIDLastSave="0" documentId="13_ncr:1_{D0D1B97D-1A5B-4B83-A06E-430444F8C6DE}" xr6:coauthVersionLast="47" xr6:coauthVersionMax="47" xr10:uidLastSave="{00000000-0000-0000-0000-000000000000}"/>
  <bookViews>
    <workbookView xWindow="-103" yWindow="-103" windowWidth="22149" windowHeight="11829" activeTab="1" xr2:uid="{00000000-000D-0000-FFFF-FFFF00000000}"/>
  </bookViews>
  <sheets>
    <sheet name="Data" sheetId="1" r:id="rId1"/>
    <sheet name="Business Summary" sheetId="7" r:id="rId2"/>
    <sheet name="Pivot Table" sheetId="9" r:id="rId3"/>
    <sheet name="Q1 - Sales by Representative" sheetId="2" r:id="rId4"/>
    <sheet name="Q2" sheetId="3" r:id="rId5"/>
    <sheet name="Q3" sheetId="4" r:id="rId6"/>
    <sheet name="Q4" sheetId="5" r:id="rId7"/>
    <sheet name="Q5" sheetId="6" r:id="rId8"/>
    <sheet name="Q6" sheetId="8" r:id="rId9"/>
  </sheets>
  <definedNames>
    <definedName name="_xlcn.WorksheetConnection_07.sampledataexcelportfolioproject.xlsxcustomers1">#REF!</definedName>
    <definedName name="_xlcn.WorksheetConnection_CallCenterData_DataSource.xlsxTable_11" hidden="1">CallData[]</definedName>
    <definedName name="Slicer_Date_of_Call__Month">#N/A</definedName>
    <definedName name="Slicer_Day_of_week">#N/A</definedName>
  </definedNames>
  <calcPr calcId="191029"/>
  <pivotCaches>
    <pivotCache cacheId="0" r:id="rId10"/>
    <pivotCache cacheId="403" r:id="rId11"/>
    <pivotCache cacheId="406" r:id="rId12"/>
    <pivotCache cacheId="409" r:id="rId13"/>
    <pivotCache cacheId="412" r:id="rId14"/>
    <pivotCache cacheId="415" r:id="rId15"/>
    <pivotCache cacheId="418" r:id="rId16"/>
    <pivotCache cacheId="421" r:id="rId17"/>
    <pivotCache cacheId="424" r:id="rId18"/>
    <pivotCache cacheId="427" r:id="rId19"/>
    <pivotCache cacheId="430" r:id="rId20"/>
    <pivotCache cacheId="433" r:id="rId21"/>
    <pivotCache cacheId="436" r:id="rId22"/>
    <pivotCache cacheId="439" r:id="rId23"/>
    <pivotCache cacheId="442" r:id="rId24"/>
  </pivotCaches>
  <extLst>
    <ext xmlns:x14="http://schemas.microsoft.com/office/spreadsheetml/2009/9/main" uri="{876F7934-8845-4945-9796-88D515C7AA90}">
      <x14:pivotCaches>
        <pivotCache cacheId="15" r:id="rId25"/>
        <pivotCache cacheId="16" r:id="rId26"/>
      </x14:pivotCaches>
    </ext>
    <ext xmlns:x14="http://schemas.microsoft.com/office/spreadsheetml/2009/9/main" uri="{BBE1A952-AA13-448e-AADC-164F8A28A991}">
      <x14:slicerCaches>
        <x14:slicerCache r:id="rId27"/>
        <x14:slicerCache r:id="rId28"/>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_1" name="Table_1" connection="WorksheetConnection_Call Center Data_DataSource.xlsx!Table_1"/>
        </x15:modelTables>
        <x15:extLst>
          <ext xmlns:x16="http://schemas.microsoft.com/office/spreadsheetml/2014/11/main" uri="{9835A34E-60A6-4A7C-AAB8-D5F71C897F49}">
            <x16:modelTimeGroupings>
              <x16:modelTimeGrouping tableName="Table_1" columnName="Date of Call" columnId="Date of Call">
                <x16:calculatedTimeColumn columnName="Date of Call (Month Index)" columnId="Date of Call (Month Index)" contentType="monthsindex" isSelected="1"/>
                <x16:calculatedTimeColumn columnName="Date of Call (Month)" columnId="Date of Call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29" roundtripDataChecksum="Fdd7lD6guxJfryyneS9w/nSe0i1iXnCum1070cx48VM="/>
    </ext>
  </extLst>
</workbook>
</file>

<file path=xl/calcChain.xml><?xml version="1.0" encoding="utf-8"?>
<calcChain xmlns="http://schemas.openxmlformats.org/spreadsheetml/2006/main">
  <c r="A24" i="9" l="1"/>
  <c r="B24" i="9"/>
  <c r="C24" i="9"/>
  <c r="D24" i="9"/>
  <c r="A25" i="9"/>
  <c r="B25" i="9"/>
  <c r="C25" i="9"/>
  <c r="D25" i="9"/>
  <c r="M2" i="1" a="1"/>
  <c r="M2" i="1"/>
  <c r="M3" i="1" a="1"/>
  <c r="M3" i="1" s="1"/>
  <c r="M4" i="1" a="1"/>
  <c r="M4" i="1" s="1"/>
  <c r="M5" i="1" a="1"/>
  <c r="M5" i="1" s="1"/>
  <c r="M6" i="1" a="1"/>
  <c r="M6" i="1"/>
  <c r="M7" i="1" a="1"/>
  <c r="M7" i="1" s="1"/>
  <c r="M8" i="1" a="1"/>
  <c r="M8" i="1"/>
  <c r="M9" i="1" a="1"/>
  <c r="M9" i="1"/>
  <c r="M10" i="1" a="1"/>
  <c r="M10" i="1" s="1"/>
  <c r="M11" i="1" a="1"/>
  <c r="M11" i="1" s="1"/>
  <c r="M12" i="1" a="1"/>
  <c r="M12" i="1" s="1"/>
  <c r="M13" i="1" a="1"/>
  <c r="M13" i="1"/>
  <c r="M14" i="1" a="1"/>
  <c r="M14" i="1"/>
  <c r="M15" i="1" a="1"/>
  <c r="M15" i="1" s="1"/>
  <c r="M16" i="1" a="1"/>
  <c r="M16" i="1" s="1"/>
  <c r="M17" i="1" a="1"/>
  <c r="M17" i="1"/>
  <c r="M18" i="1" a="1"/>
  <c r="M18" i="1"/>
  <c r="M19" i="1" a="1"/>
  <c r="M19" i="1" s="1"/>
  <c r="M20" i="1" a="1"/>
  <c r="M20" i="1" s="1"/>
  <c r="M21" i="1" a="1"/>
  <c r="M21" i="1" s="1"/>
  <c r="M22" i="1" a="1"/>
  <c r="M22" i="1"/>
  <c r="M23" i="1" a="1"/>
  <c r="M23" i="1" s="1"/>
  <c r="M24" i="1" a="1"/>
  <c r="M24" i="1"/>
  <c r="M25" i="1" a="1"/>
  <c r="M25" i="1"/>
  <c r="M26" i="1" a="1"/>
  <c r="M26" i="1" s="1"/>
  <c r="M27" i="1" a="1"/>
  <c r="M27" i="1" s="1"/>
  <c r="M28" i="1" a="1"/>
  <c r="M28" i="1" s="1"/>
  <c r="M29" i="1" a="1"/>
  <c r="M29" i="1"/>
  <c r="M30" i="1" a="1"/>
  <c r="M30" i="1"/>
  <c r="M31" i="1" a="1"/>
  <c r="M31" i="1" s="1"/>
  <c r="M32" i="1" a="1"/>
  <c r="M32" i="1" s="1"/>
  <c r="M33" i="1" a="1"/>
  <c r="M33" i="1"/>
  <c r="M34" i="1" a="1"/>
  <c r="M34" i="1"/>
  <c r="M35" i="1" a="1"/>
  <c r="M35" i="1" s="1"/>
  <c r="M36" i="1" a="1"/>
  <c r="M36" i="1" s="1"/>
  <c r="M37" i="1" a="1"/>
  <c r="M37" i="1" s="1"/>
  <c r="M38" i="1" a="1"/>
  <c r="M38" i="1"/>
  <c r="M39" i="1" a="1"/>
  <c r="M39" i="1" s="1"/>
  <c r="M40" i="1" a="1"/>
  <c r="M40" i="1"/>
  <c r="M41" i="1" a="1"/>
  <c r="M41" i="1"/>
  <c r="M42" i="1" a="1"/>
  <c r="M42" i="1" s="1"/>
  <c r="M43" i="1" a="1"/>
  <c r="M43" i="1" s="1"/>
  <c r="M44" i="1" a="1"/>
  <c r="M44" i="1" s="1"/>
  <c r="M45" i="1" a="1"/>
  <c r="M45" i="1"/>
  <c r="M46" i="1" a="1"/>
  <c r="M46" i="1"/>
  <c r="M47" i="1" a="1"/>
  <c r="M47" i="1" s="1"/>
  <c r="M48" i="1" a="1"/>
  <c r="M48" i="1" s="1"/>
  <c r="M49" i="1" a="1"/>
  <c r="M49" i="1"/>
  <c r="M50" i="1" a="1"/>
  <c r="M50" i="1"/>
  <c r="M51" i="1" a="1"/>
  <c r="M51" i="1" s="1"/>
  <c r="M52" i="1" a="1"/>
  <c r="M52" i="1" s="1"/>
  <c r="M53" i="1" a="1"/>
  <c r="M53" i="1" s="1"/>
  <c r="M54" i="1" a="1"/>
  <c r="M54" i="1"/>
  <c r="M55" i="1" a="1"/>
  <c r="M55" i="1" s="1"/>
  <c r="M56" i="1" a="1"/>
  <c r="M56" i="1"/>
  <c r="M57" i="1" a="1"/>
  <c r="M57" i="1"/>
  <c r="M58" i="1" a="1"/>
  <c r="M58" i="1" s="1"/>
  <c r="M59" i="1" a="1"/>
  <c r="M59" i="1" s="1"/>
  <c r="M60" i="1" a="1"/>
  <c r="M60" i="1" s="1"/>
  <c r="M61" i="1" a="1"/>
  <c r="M61" i="1"/>
  <c r="M62" i="1" a="1"/>
  <c r="M62" i="1"/>
  <c r="M63" i="1" a="1"/>
  <c r="M63" i="1" s="1"/>
  <c r="M64" i="1" a="1"/>
  <c r="M64" i="1" s="1"/>
  <c r="M65" i="1" a="1"/>
  <c r="M65" i="1"/>
  <c r="M66" i="1" a="1"/>
  <c r="M66" i="1"/>
  <c r="M67" i="1" a="1"/>
  <c r="M67" i="1" s="1"/>
  <c r="M68" i="1" a="1"/>
  <c r="M68" i="1" s="1"/>
  <c r="M69" i="1" a="1"/>
  <c r="M69" i="1" s="1"/>
  <c r="M70" i="1" a="1"/>
  <c r="M70" i="1"/>
  <c r="M71" i="1" a="1"/>
  <c r="M71" i="1" s="1"/>
  <c r="M72" i="1" a="1"/>
  <c r="M72" i="1"/>
  <c r="M73" i="1" a="1"/>
  <c r="M73" i="1"/>
  <c r="M74" i="1" a="1"/>
  <c r="M74" i="1" s="1"/>
  <c r="M75" i="1" a="1"/>
  <c r="M75" i="1" s="1"/>
  <c r="M76" i="1" a="1"/>
  <c r="M76" i="1" s="1"/>
  <c r="M77" i="1" a="1"/>
  <c r="M77" i="1"/>
  <c r="M78" i="1" a="1"/>
  <c r="M78" i="1"/>
  <c r="M79" i="1" a="1"/>
  <c r="M79" i="1" s="1"/>
  <c r="M80" i="1" a="1"/>
  <c r="M80" i="1" s="1"/>
  <c r="M81" i="1" a="1"/>
  <c r="M81" i="1"/>
  <c r="M82" i="1" a="1"/>
  <c r="M82" i="1"/>
  <c r="M83" i="1" a="1"/>
  <c r="M83" i="1" s="1"/>
  <c r="M84" i="1" a="1"/>
  <c r="M84" i="1" s="1"/>
  <c r="M85" i="1" a="1"/>
  <c r="M85" i="1" s="1"/>
  <c r="M86" i="1" a="1"/>
  <c r="M86" i="1"/>
  <c r="M87" i="1" a="1"/>
  <c r="M87" i="1" s="1"/>
  <c r="M88" i="1" a="1"/>
  <c r="M88" i="1"/>
  <c r="M89" i="1" a="1"/>
  <c r="M89" i="1"/>
  <c r="M90" i="1" a="1"/>
  <c r="M90" i="1" s="1"/>
  <c r="M91" i="1" a="1"/>
  <c r="M91" i="1" s="1"/>
  <c r="M92" i="1" a="1"/>
  <c r="M92" i="1" s="1"/>
  <c r="M93" i="1" a="1"/>
  <c r="M93" i="1"/>
  <c r="M94" i="1" a="1"/>
  <c r="M94" i="1"/>
  <c r="M95" i="1" a="1"/>
  <c r="M95" i="1" s="1"/>
  <c r="M96" i="1" a="1"/>
  <c r="M96" i="1" s="1"/>
  <c r="M97" i="1" a="1"/>
  <c r="M97" i="1"/>
  <c r="M98" i="1" a="1"/>
  <c r="M98" i="1"/>
  <c r="M99" i="1" a="1"/>
  <c r="M99" i="1" s="1"/>
  <c r="M100" i="1" a="1"/>
  <c r="M100" i="1" s="1"/>
  <c r="M101" i="1" a="1"/>
  <c r="M101" i="1" s="1"/>
  <c r="M102" i="1" a="1"/>
  <c r="M102" i="1"/>
  <c r="M103" i="1" a="1"/>
  <c r="M103" i="1" s="1"/>
  <c r="M104" i="1" a="1"/>
  <c r="M104" i="1"/>
  <c r="M105" i="1" a="1"/>
  <c r="M105" i="1"/>
  <c r="M106" i="1" a="1"/>
  <c r="M106" i="1" s="1"/>
  <c r="M107" i="1" a="1"/>
  <c r="M107" i="1" s="1"/>
  <c r="M108" i="1" a="1"/>
  <c r="M108" i="1" s="1"/>
  <c r="M109" i="1" a="1"/>
  <c r="M109" i="1"/>
  <c r="M110" i="1" a="1"/>
  <c r="M110" i="1"/>
  <c r="M111" i="1" a="1"/>
  <c r="M111" i="1" s="1"/>
  <c r="M112" i="1" a="1"/>
  <c r="M112" i="1" s="1"/>
  <c r="M113" i="1" a="1"/>
  <c r="M113" i="1"/>
  <c r="M114" i="1" a="1"/>
  <c r="M114" i="1"/>
  <c r="M115" i="1" a="1"/>
  <c r="M115" i="1" s="1"/>
  <c r="M116" i="1" a="1"/>
  <c r="M116" i="1" s="1"/>
  <c r="M117" i="1" a="1"/>
  <c r="M117" i="1" s="1"/>
  <c r="M118" i="1" a="1"/>
  <c r="M118" i="1"/>
  <c r="M119" i="1" a="1"/>
  <c r="M119" i="1" s="1"/>
  <c r="M120" i="1" a="1"/>
  <c r="M120" i="1"/>
  <c r="M121" i="1" a="1"/>
  <c r="M121" i="1"/>
  <c r="M122" i="1" a="1"/>
  <c r="M122" i="1" s="1"/>
  <c r="M123" i="1" a="1"/>
  <c r="M123" i="1" s="1"/>
  <c r="M124" i="1" a="1"/>
  <c r="M124" i="1" s="1"/>
  <c r="M125" i="1" a="1"/>
  <c r="M125" i="1"/>
  <c r="M126" i="1" a="1"/>
  <c r="M126" i="1"/>
  <c r="M127" i="1" a="1"/>
  <c r="M127" i="1" s="1"/>
  <c r="M128" i="1" a="1"/>
  <c r="M128" i="1" s="1"/>
  <c r="M129" i="1" a="1"/>
  <c r="M129" i="1"/>
  <c r="M130" i="1" a="1"/>
  <c r="M130" i="1"/>
  <c r="M131" i="1" a="1"/>
  <c r="M131" i="1" s="1"/>
  <c r="M132" i="1" a="1"/>
  <c r="M132" i="1" s="1"/>
  <c r="M133" i="1" a="1"/>
  <c r="M133" i="1" s="1"/>
  <c r="M134" i="1" a="1"/>
  <c r="M134" i="1"/>
  <c r="M135" i="1" a="1"/>
  <c r="M135" i="1" s="1"/>
  <c r="M136" i="1" a="1"/>
  <c r="M136" i="1"/>
  <c r="M137" i="1" a="1"/>
  <c r="M137" i="1"/>
  <c r="M138" i="1" a="1"/>
  <c r="M138" i="1" s="1"/>
  <c r="M139" i="1" a="1"/>
  <c r="M139" i="1" s="1"/>
  <c r="M140" i="1" a="1"/>
  <c r="M140" i="1" s="1"/>
  <c r="M141" i="1" a="1"/>
  <c r="M141" i="1"/>
  <c r="M142" i="1" a="1"/>
  <c r="M142" i="1"/>
  <c r="M143" i="1" a="1"/>
  <c r="M143" i="1" s="1"/>
  <c r="M144" i="1" a="1"/>
  <c r="M144" i="1" s="1"/>
  <c r="M145" i="1" a="1"/>
  <c r="M145" i="1"/>
  <c r="M146" i="1" a="1"/>
  <c r="M146" i="1"/>
  <c r="M147" i="1" a="1"/>
  <c r="M147" i="1" s="1"/>
  <c r="M148" i="1" a="1"/>
  <c r="M148" i="1" s="1"/>
  <c r="M149" i="1" a="1"/>
  <c r="M149" i="1" s="1"/>
  <c r="M150" i="1" a="1"/>
  <c r="M150" i="1"/>
  <c r="M151" i="1" a="1"/>
  <c r="M151" i="1" s="1"/>
  <c r="M152" i="1" a="1"/>
  <c r="M152" i="1"/>
  <c r="M153" i="1" a="1"/>
  <c r="M153" i="1"/>
  <c r="M154" i="1" a="1"/>
  <c r="M154" i="1" s="1"/>
  <c r="M155" i="1" a="1"/>
  <c r="M155" i="1" s="1"/>
  <c r="M156" i="1" a="1"/>
  <c r="M156" i="1" s="1"/>
  <c r="M157" i="1" a="1"/>
  <c r="M157" i="1"/>
  <c r="M158" i="1" a="1"/>
  <c r="M158" i="1"/>
  <c r="M159" i="1" a="1"/>
  <c r="M159" i="1" s="1"/>
  <c r="M160" i="1" a="1"/>
  <c r="M160" i="1" s="1"/>
  <c r="M161" i="1" a="1"/>
  <c r="M161" i="1"/>
  <c r="M162" i="1" a="1"/>
  <c r="M162" i="1"/>
  <c r="M163" i="1" a="1"/>
  <c r="M163" i="1" s="1"/>
  <c r="M164" i="1" a="1"/>
  <c r="M164" i="1" s="1"/>
  <c r="M165" i="1" a="1"/>
  <c r="M165" i="1" s="1"/>
  <c r="M166" i="1" a="1"/>
  <c r="M166" i="1"/>
  <c r="M167" i="1" a="1"/>
  <c r="M167" i="1" s="1"/>
  <c r="M168" i="1" a="1"/>
  <c r="M168" i="1"/>
  <c r="M169" i="1" a="1"/>
  <c r="M169" i="1"/>
  <c r="M170" i="1" a="1"/>
  <c r="M170" i="1" s="1"/>
  <c r="M171" i="1" a="1"/>
  <c r="M171" i="1" s="1"/>
  <c r="M172" i="1" a="1"/>
  <c r="M172" i="1" s="1"/>
  <c r="M173" i="1" a="1"/>
  <c r="M173" i="1"/>
  <c r="M174" i="1" a="1"/>
  <c r="M174" i="1"/>
  <c r="M175" i="1" a="1"/>
  <c r="M175" i="1" s="1"/>
  <c r="M176" i="1" a="1"/>
  <c r="M176" i="1" s="1"/>
  <c r="M177" i="1" a="1"/>
  <c r="M177" i="1"/>
  <c r="M178" i="1" a="1"/>
  <c r="M178" i="1"/>
  <c r="M179" i="1" a="1"/>
  <c r="M179" i="1" s="1"/>
  <c r="M180" i="1" a="1"/>
  <c r="M180" i="1" s="1"/>
  <c r="M181" i="1" a="1"/>
  <c r="M181" i="1" s="1"/>
  <c r="M182" i="1" a="1"/>
  <c r="M182" i="1"/>
  <c r="M183" i="1" a="1"/>
  <c r="M183" i="1" s="1"/>
  <c r="M184" i="1" a="1"/>
  <c r="M184" i="1"/>
  <c r="M185" i="1" a="1"/>
  <c r="M185" i="1"/>
  <c r="M186" i="1" a="1"/>
  <c r="M186" i="1" s="1"/>
  <c r="M187" i="1" a="1"/>
  <c r="M187" i="1" s="1"/>
  <c r="M188" i="1" a="1"/>
  <c r="M188" i="1" s="1"/>
  <c r="M189" i="1" a="1"/>
  <c r="M189" i="1"/>
  <c r="M190" i="1" a="1"/>
  <c r="M190" i="1"/>
  <c r="M191" i="1" a="1"/>
  <c r="M191" i="1" s="1"/>
  <c r="M192" i="1" a="1"/>
  <c r="M192" i="1" s="1"/>
  <c r="M193" i="1" a="1"/>
  <c r="M193" i="1"/>
  <c r="M194" i="1" a="1"/>
  <c r="M194" i="1"/>
  <c r="M195" i="1" a="1"/>
  <c r="M195" i="1" s="1"/>
  <c r="M196" i="1" a="1"/>
  <c r="M196" i="1" s="1"/>
  <c r="M197" i="1" a="1"/>
  <c r="M197" i="1" s="1"/>
  <c r="M198" i="1" a="1"/>
  <c r="M198" i="1"/>
  <c r="M199" i="1" a="1"/>
  <c r="M199" i="1" s="1"/>
  <c r="M200" i="1" a="1"/>
  <c r="M200" i="1"/>
  <c r="M201" i="1" a="1"/>
  <c r="M201" i="1"/>
  <c r="M202" i="1" a="1"/>
  <c r="M202" i="1" s="1"/>
  <c r="M203" i="1" a="1"/>
  <c r="M203" i="1" s="1"/>
  <c r="M204" i="1" a="1"/>
  <c r="M204" i="1" s="1"/>
  <c r="M205" i="1" a="1"/>
  <c r="M205" i="1"/>
  <c r="M206" i="1" a="1"/>
  <c r="M206" i="1"/>
  <c r="M207" i="1" a="1"/>
  <c r="M207" i="1" s="1"/>
  <c r="M208" i="1" a="1"/>
  <c r="M208" i="1" s="1"/>
  <c r="M209" i="1" a="1"/>
  <c r="M209" i="1"/>
  <c r="M210" i="1" a="1"/>
  <c r="M210" i="1"/>
  <c r="M211" i="1" a="1"/>
  <c r="M211" i="1" s="1"/>
  <c r="M212" i="1" a="1"/>
  <c r="M212" i="1" s="1"/>
  <c r="M213" i="1" a="1"/>
  <c r="M213" i="1" s="1"/>
  <c r="M214" i="1" a="1"/>
  <c r="M214" i="1"/>
  <c r="M215" i="1" a="1"/>
  <c r="M215" i="1" s="1"/>
  <c r="M216" i="1" a="1"/>
  <c r="M216" i="1"/>
  <c r="M217" i="1" a="1"/>
  <c r="M217" i="1"/>
  <c r="M218" i="1" a="1"/>
  <c r="M218" i="1" s="1"/>
  <c r="M219" i="1" a="1"/>
  <c r="M219" i="1" s="1"/>
  <c r="M220" i="1" a="1"/>
  <c r="M220" i="1" s="1"/>
  <c r="M221" i="1" a="1"/>
  <c r="M221" i="1"/>
  <c r="M222" i="1" a="1"/>
  <c r="M222" i="1"/>
  <c r="M223" i="1" a="1"/>
  <c r="M223" i="1" s="1"/>
  <c r="M224" i="1" a="1"/>
  <c r="M224" i="1" s="1"/>
  <c r="M225" i="1" a="1"/>
  <c r="M225" i="1"/>
  <c r="M226" i="1" a="1"/>
  <c r="M226" i="1"/>
  <c r="M227" i="1" a="1"/>
  <c r="M227" i="1" s="1"/>
  <c r="M228" i="1" a="1"/>
  <c r="M228" i="1" s="1"/>
  <c r="M229" i="1" a="1"/>
  <c r="M229" i="1" s="1"/>
  <c r="M230" i="1" a="1"/>
  <c r="M230" i="1"/>
  <c r="M231" i="1" a="1"/>
  <c r="M231" i="1" s="1"/>
  <c r="M232" i="1" a="1"/>
  <c r="M232" i="1"/>
  <c r="M233" i="1" a="1"/>
  <c r="M233" i="1"/>
  <c r="M234" i="1" a="1"/>
  <c r="M234" i="1" s="1"/>
  <c r="M235" i="1" a="1"/>
  <c r="M235" i="1" s="1"/>
  <c r="M236" i="1" a="1"/>
  <c r="M236" i="1" s="1"/>
  <c r="M237" i="1" a="1"/>
  <c r="M237" i="1"/>
  <c r="M238" i="1" a="1"/>
  <c r="M238" i="1"/>
  <c r="M239" i="1" a="1"/>
  <c r="M239" i="1" s="1"/>
  <c r="M240" i="1" a="1"/>
  <c r="M240" i="1" s="1"/>
  <c r="M241" i="1" a="1"/>
  <c r="M241" i="1"/>
  <c r="M242" i="1" a="1"/>
  <c r="M242" i="1"/>
  <c r="M243" i="1" a="1"/>
  <c r="M243" i="1" s="1"/>
  <c r="M244" i="1" a="1"/>
  <c r="M244" i="1" s="1"/>
  <c r="M245" i="1" a="1"/>
  <c r="M245" i="1" s="1"/>
  <c r="M246" i="1" a="1"/>
  <c r="M246" i="1"/>
  <c r="M247" i="1" a="1"/>
  <c r="M247" i="1" s="1"/>
  <c r="M248" i="1" a="1"/>
  <c r="M248" i="1"/>
  <c r="M249" i="1" a="1"/>
  <c r="M249" i="1"/>
  <c r="M250" i="1" a="1"/>
  <c r="M250" i="1" s="1"/>
  <c r="M251" i="1" a="1"/>
  <c r="M251" i="1" s="1"/>
  <c r="M252" i="1" a="1"/>
  <c r="M252" i="1" s="1"/>
  <c r="M253" i="1" a="1"/>
  <c r="M253" i="1"/>
  <c r="M254" i="1" a="1"/>
  <c r="M254" i="1"/>
  <c r="M255" i="1" a="1"/>
  <c r="M255" i="1" s="1"/>
  <c r="M256" i="1" a="1"/>
  <c r="M256" i="1" s="1"/>
  <c r="M257" i="1" a="1"/>
  <c r="M257" i="1"/>
  <c r="M258" i="1" a="1"/>
  <c r="M258" i="1"/>
  <c r="M259" i="1" a="1"/>
  <c r="M259" i="1" s="1"/>
  <c r="M260" i="1" a="1"/>
  <c r="M260" i="1" s="1"/>
  <c r="M261" i="1" a="1"/>
  <c r="M261" i="1" s="1"/>
  <c r="M262" i="1" a="1"/>
  <c r="M262" i="1"/>
  <c r="M263" i="1" a="1"/>
  <c r="M263" i="1" s="1"/>
  <c r="M264" i="1" a="1"/>
  <c r="M264" i="1"/>
  <c r="M265" i="1" a="1"/>
  <c r="M265" i="1"/>
  <c r="M266" i="1" a="1"/>
  <c r="M266" i="1" s="1"/>
  <c r="M267" i="1" a="1"/>
  <c r="M267" i="1" s="1"/>
  <c r="M268" i="1" a="1"/>
  <c r="M268" i="1" s="1"/>
  <c r="M269" i="1" a="1"/>
  <c r="M269" i="1"/>
  <c r="M270" i="1" a="1"/>
  <c r="M270" i="1"/>
  <c r="M271" i="1" a="1"/>
  <c r="M271" i="1" s="1"/>
  <c r="M272" i="1" a="1"/>
  <c r="M272" i="1" s="1"/>
  <c r="M273" i="1" a="1"/>
  <c r="M273" i="1"/>
  <c r="M274" i="1" a="1"/>
  <c r="M274" i="1"/>
  <c r="M275" i="1" a="1"/>
  <c r="M275" i="1" s="1"/>
  <c r="M276" i="1" a="1"/>
  <c r="M276" i="1" s="1"/>
  <c r="M277" i="1" a="1"/>
  <c r="M277" i="1" s="1"/>
  <c r="M278" i="1" a="1"/>
  <c r="M278" i="1"/>
  <c r="M279" i="1" a="1"/>
  <c r="M279" i="1" s="1"/>
  <c r="M280" i="1" a="1"/>
  <c r="M280" i="1"/>
  <c r="M281" i="1" a="1"/>
  <c r="M281" i="1"/>
  <c r="M282" i="1" a="1"/>
  <c r="M282" i="1" s="1"/>
  <c r="M283" i="1" a="1"/>
  <c r="M283" i="1" s="1"/>
  <c r="M284" i="1" a="1"/>
  <c r="M284" i="1" s="1"/>
  <c r="M285" i="1" a="1"/>
  <c r="M285" i="1"/>
  <c r="M286" i="1" a="1"/>
  <c r="M286" i="1"/>
  <c r="M287" i="1" a="1"/>
  <c r="M287" i="1" s="1"/>
  <c r="M288" i="1" a="1"/>
  <c r="M288" i="1" s="1"/>
  <c r="M289" i="1" a="1"/>
  <c r="M289" i="1"/>
  <c r="M290" i="1" a="1"/>
  <c r="M290" i="1"/>
  <c r="M291" i="1" a="1"/>
  <c r="M291" i="1" s="1"/>
  <c r="M292" i="1" a="1"/>
  <c r="M292" i="1" s="1"/>
  <c r="M293" i="1" a="1"/>
  <c r="M293" i="1" s="1"/>
  <c r="M294" i="1" a="1"/>
  <c r="M294" i="1"/>
  <c r="M295" i="1" a="1"/>
  <c r="M295" i="1" s="1"/>
  <c r="M296" i="1" a="1"/>
  <c r="M296" i="1"/>
  <c r="M297" i="1" a="1"/>
  <c r="M297" i="1"/>
  <c r="M298" i="1" a="1"/>
  <c r="M298" i="1" s="1"/>
  <c r="M299" i="1" a="1"/>
  <c r="M299" i="1" s="1"/>
  <c r="M300" i="1" a="1"/>
  <c r="M300" i="1" s="1"/>
  <c r="M301" i="1" a="1"/>
  <c r="M301" i="1"/>
  <c r="M302" i="1" a="1"/>
  <c r="M302" i="1"/>
  <c r="M303" i="1" a="1"/>
  <c r="M303" i="1" s="1"/>
  <c r="M304" i="1" a="1"/>
  <c r="M304" i="1" s="1"/>
  <c r="M305" i="1" a="1"/>
  <c r="M305" i="1"/>
  <c r="M306" i="1" a="1"/>
  <c r="M306" i="1"/>
  <c r="M307" i="1" a="1"/>
  <c r="M307" i="1" s="1"/>
  <c r="M308" i="1" a="1"/>
  <c r="M308" i="1" s="1"/>
  <c r="M309" i="1" a="1"/>
  <c r="M309" i="1" s="1"/>
  <c r="M310" i="1" a="1"/>
  <c r="M310" i="1"/>
  <c r="M311" i="1" a="1"/>
  <c r="M311" i="1" s="1"/>
  <c r="M312" i="1" a="1"/>
  <c r="M312" i="1"/>
  <c r="M313" i="1" a="1"/>
  <c r="M313" i="1"/>
  <c r="M314" i="1" a="1"/>
  <c r="M314" i="1" s="1"/>
  <c r="M315" i="1" a="1"/>
  <c r="M315" i="1" s="1"/>
  <c r="M316" i="1" a="1"/>
  <c r="M316" i="1" s="1"/>
  <c r="M317" i="1" a="1"/>
  <c r="M317" i="1"/>
  <c r="M318" i="1" a="1"/>
  <c r="M318" i="1"/>
  <c r="M319" i="1" a="1"/>
  <c r="M319" i="1" s="1"/>
  <c r="M320" i="1" a="1"/>
  <c r="M320" i="1" s="1"/>
  <c r="M321" i="1" a="1"/>
  <c r="M321" i="1"/>
  <c r="M322" i="1" a="1"/>
  <c r="M322" i="1"/>
  <c r="M323" i="1" a="1"/>
  <c r="M323" i="1" s="1"/>
  <c r="M324" i="1" a="1"/>
  <c r="M324" i="1" s="1"/>
  <c r="M325" i="1" a="1"/>
  <c r="M325" i="1" s="1"/>
  <c r="M326" i="1" a="1"/>
  <c r="M326" i="1"/>
  <c r="M327" i="1" a="1"/>
  <c r="M327" i="1" s="1"/>
  <c r="M328" i="1" a="1"/>
  <c r="M328" i="1"/>
  <c r="M329" i="1" a="1"/>
  <c r="M329" i="1"/>
  <c r="M330" i="1" a="1"/>
  <c r="M330" i="1" s="1"/>
  <c r="M331" i="1" a="1"/>
  <c r="M331" i="1" s="1"/>
  <c r="M332" i="1" a="1"/>
  <c r="M332" i="1" s="1"/>
  <c r="M333" i="1" a="1"/>
  <c r="M333" i="1"/>
  <c r="M334" i="1" a="1"/>
  <c r="M334" i="1"/>
  <c r="M335" i="1" a="1"/>
  <c r="M335" i="1" s="1"/>
  <c r="M336" i="1" a="1"/>
  <c r="M336" i="1" s="1"/>
  <c r="M337" i="1" a="1"/>
  <c r="M337" i="1"/>
  <c r="M338" i="1" a="1"/>
  <c r="M338" i="1"/>
  <c r="M339" i="1" a="1"/>
  <c r="M339" i="1" s="1"/>
  <c r="M340" i="1" a="1"/>
  <c r="M340" i="1" s="1"/>
  <c r="M341" i="1" a="1"/>
  <c r="M341" i="1" s="1"/>
  <c r="M342" i="1" a="1"/>
  <c r="M342" i="1"/>
  <c r="M343" i="1" a="1"/>
  <c r="M343" i="1" s="1"/>
  <c r="M344" i="1" a="1"/>
  <c r="M344" i="1"/>
  <c r="M345" i="1" a="1"/>
  <c r="M345" i="1"/>
  <c r="M346" i="1" a="1"/>
  <c r="M346" i="1" s="1"/>
  <c r="M347" i="1" a="1"/>
  <c r="M347" i="1" s="1"/>
  <c r="M348" i="1" a="1"/>
  <c r="M348" i="1" s="1"/>
  <c r="M349" i="1" a="1"/>
  <c r="M349" i="1"/>
  <c r="M350" i="1" a="1"/>
  <c r="M350" i="1"/>
  <c r="M351" i="1" a="1"/>
  <c r="M351" i="1" s="1"/>
  <c r="M352" i="1" a="1"/>
  <c r="M352" i="1" s="1"/>
  <c r="M353" i="1" a="1"/>
  <c r="M353" i="1"/>
  <c r="M354" i="1" a="1"/>
  <c r="M354" i="1"/>
  <c r="M355" i="1" a="1"/>
  <c r="M355" i="1" s="1"/>
  <c r="M356" i="1" a="1"/>
  <c r="M356" i="1" s="1"/>
  <c r="M357" i="1" a="1"/>
  <c r="M357" i="1" s="1"/>
  <c r="M358" i="1" a="1"/>
  <c r="M358" i="1"/>
  <c r="M359" i="1" a="1"/>
  <c r="M359" i="1" s="1"/>
  <c r="M360" i="1" a="1"/>
  <c r="M360" i="1"/>
  <c r="M361" i="1" a="1"/>
  <c r="M361" i="1"/>
  <c r="M362" i="1" a="1"/>
  <c r="M362" i="1" s="1"/>
  <c r="M363" i="1" a="1"/>
  <c r="M363" i="1" s="1"/>
  <c r="M364" i="1" a="1"/>
  <c r="M364" i="1" s="1"/>
  <c r="M365" i="1" a="1"/>
  <c r="M365" i="1"/>
  <c r="M366" i="1" a="1"/>
  <c r="M366" i="1"/>
  <c r="M367" i="1" a="1"/>
  <c r="M367" i="1" s="1"/>
  <c r="M368" i="1" a="1"/>
  <c r="M368" i="1" s="1"/>
  <c r="M369" i="1" a="1"/>
  <c r="M369" i="1"/>
  <c r="M370" i="1" a="1"/>
  <c r="M370" i="1"/>
  <c r="M371" i="1" a="1"/>
  <c r="M371" i="1" s="1"/>
  <c r="M372" i="1" a="1"/>
  <c r="M372" i="1" s="1"/>
  <c r="M373" i="1" a="1"/>
  <c r="M373" i="1" s="1"/>
  <c r="M374" i="1" a="1"/>
  <c r="M374" i="1"/>
  <c r="M375" i="1" a="1"/>
  <c r="M375" i="1" s="1"/>
  <c r="M376" i="1" a="1"/>
  <c r="M376" i="1"/>
  <c r="M377" i="1" a="1"/>
  <c r="M377" i="1"/>
  <c r="M378" i="1" a="1"/>
  <c r="M378" i="1" s="1"/>
  <c r="M379" i="1" a="1"/>
  <c r="M379" i="1" s="1"/>
  <c r="M380" i="1" a="1"/>
  <c r="M380" i="1" s="1"/>
  <c r="M381" i="1" a="1"/>
  <c r="M381" i="1"/>
  <c r="M382" i="1" a="1"/>
  <c r="M382" i="1"/>
  <c r="M383" i="1" a="1"/>
  <c r="M383" i="1" s="1"/>
  <c r="M384" i="1" a="1"/>
  <c r="M384" i="1" s="1"/>
  <c r="M385" i="1" a="1"/>
  <c r="M385" i="1"/>
  <c r="M386" i="1" a="1"/>
  <c r="M386" i="1"/>
  <c r="M387" i="1" a="1"/>
  <c r="M387" i="1" s="1"/>
  <c r="M388" i="1" a="1"/>
  <c r="M388" i="1" s="1"/>
  <c r="M389" i="1" a="1"/>
  <c r="M389" i="1" s="1"/>
  <c r="M390" i="1" a="1"/>
  <c r="M390" i="1"/>
  <c r="M391" i="1" a="1"/>
  <c r="M391" i="1" s="1"/>
  <c r="M392" i="1" a="1"/>
  <c r="M392" i="1"/>
  <c r="M393" i="1" a="1"/>
  <c r="M393" i="1"/>
  <c r="M394" i="1" a="1"/>
  <c r="M394" i="1" s="1"/>
  <c r="M395" i="1" a="1"/>
  <c r="M395" i="1" s="1"/>
  <c r="M396" i="1" a="1"/>
  <c r="M396" i="1" s="1"/>
  <c r="M397" i="1" a="1"/>
  <c r="M397" i="1"/>
  <c r="M398" i="1" a="1"/>
  <c r="M398" i="1"/>
  <c r="M399" i="1" a="1"/>
  <c r="M399" i="1" s="1"/>
  <c r="M400" i="1" a="1"/>
  <c r="M400" i="1" s="1"/>
  <c r="M401" i="1" a="1"/>
  <c r="M401" i="1"/>
  <c r="M402" i="1" a="1"/>
  <c r="M402" i="1"/>
  <c r="M403" i="1" a="1"/>
  <c r="M403" i="1" s="1"/>
  <c r="M404" i="1" a="1"/>
  <c r="M404" i="1" s="1"/>
  <c r="M405" i="1" a="1"/>
  <c r="M405" i="1" s="1"/>
  <c r="M406" i="1" a="1"/>
  <c r="M406" i="1"/>
  <c r="M407" i="1" a="1"/>
  <c r="M407" i="1" s="1"/>
  <c r="M408" i="1" a="1"/>
  <c r="M408" i="1"/>
  <c r="M409" i="1" a="1"/>
  <c r="M409" i="1"/>
  <c r="M410" i="1" a="1"/>
  <c r="M410" i="1" s="1"/>
  <c r="M411" i="1" a="1"/>
  <c r="M411" i="1" s="1"/>
  <c r="M412" i="1" a="1"/>
  <c r="M412" i="1" s="1"/>
  <c r="M413" i="1" a="1"/>
  <c r="M413" i="1"/>
  <c r="M414" i="1" a="1"/>
  <c r="M414" i="1"/>
  <c r="M415" i="1" a="1"/>
  <c r="M415" i="1" s="1"/>
  <c r="M416" i="1" a="1"/>
  <c r="M416" i="1" s="1"/>
  <c r="M417" i="1" a="1"/>
  <c r="M417" i="1"/>
  <c r="M418" i="1" a="1"/>
  <c r="M418" i="1"/>
  <c r="M419" i="1" a="1"/>
  <c r="M419" i="1" s="1"/>
  <c r="M420" i="1" a="1"/>
  <c r="M420" i="1" s="1"/>
  <c r="M421" i="1" a="1"/>
  <c r="M421" i="1" s="1"/>
  <c r="M422" i="1" a="1"/>
  <c r="M422" i="1"/>
  <c r="M423" i="1" a="1"/>
  <c r="M423" i="1" s="1"/>
  <c r="M424" i="1" a="1"/>
  <c r="M424" i="1"/>
  <c r="M425" i="1" a="1"/>
  <c r="M425" i="1"/>
  <c r="M426" i="1" a="1"/>
  <c r="M426" i="1" s="1"/>
  <c r="M427" i="1" a="1"/>
  <c r="M427" i="1" s="1"/>
  <c r="M428" i="1" a="1"/>
  <c r="M428" i="1" s="1"/>
  <c r="M429" i="1" a="1"/>
  <c r="M429" i="1"/>
  <c r="M430" i="1" a="1"/>
  <c r="M430" i="1"/>
  <c r="M431" i="1" a="1"/>
  <c r="M431" i="1" s="1"/>
  <c r="M432" i="1" a="1"/>
  <c r="M432" i="1" s="1"/>
  <c r="M433" i="1" a="1"/>
  <c r="M433" i="1"/>
  <c r="M434" i="1" a="1"/>
  <c r="M434" i="1"/>
  <c r="M435" i="1" a="1"/>
  <c r="M435" i="1" s="1"/>
  <c r="M436" i="1" a="1"/>
  <c r="M436" i="1" s="1"/>
  <c r="M437" i="1" a="1"/>
  <c r="M437" i="1" s="1"/>
  <c r="M438" i="1" a="1"/>
  <c r="M438" i="1"/>
  <c r="M439" i="1" a="1"/>
  <c r="M439" i="1" s="1"/>
  <c r="M440" i="1" a="1"/>
  <c r="M440" i="1"/>
  <c r="M441" i="1" a="1"/>
  <c r="M441" i="1"/>
  <c r="M442" i="1" a="1"/>
  <c r="M442" i="1" s="1"/>
  <c r="M443" i="1" a="1"/>
  <c r="M443" i="1" s="1"/>
  <c r="M444" i="1" a="1"/>
  <c r="M444" i="1" s="1"/>
  <c r="M445" i="1" a="1"/>
  <c r="M445" i="1"/>
  <c r="M446" i="1" a="1"/>
  <c r="M446" i="1"/>
  <c r="M447" i="1" a="1"/>
  <c r="M447" i="1" s="1"/>
  <c r="M448" i="1" a="1"/>
  <c r="M448" i="1" s="1"/>
  <c r="M449" i="1" a="1"/>
  <c r="M449" i="1"/>
  <c r="M450" i="1" a="1"/>
  <c r="M450" i="1"/>
  <c r="M451" i="1" a="1"/>
  <c r="M451" i="1" s="1"/>
  <c r="M452" i="1" a="1"/>
  <c r="M452" i="1" s="1"/>
  <c r="M453" i="1" a="1"/>
  <c r="M453" i="1" s="1"/>
  <c r="M454" i="1" a="1"/>
  <c r="M454" i="1"/>
  <c r="M455" i="1" a="1"/>
  <c r="M455" i="1" s="1"/>
  <c r="M456" i="1" a="1"/>
  <c r="M456" i="1"/>
  <c r="M457" i="1" a="1"/>
  <c r="M457" i="1"/>
  <c r="M458" i="1" a="1"/>
  <c r="M458" i="1" s="1"/>
  <c r="M459" i="1" a="1"/>
  <c r="M459" i="1" s="1"/>
  <c r="M460" i="1" a="1"/>
  <c r="M460" i="1" s="1"/>
  <c r="M461" i="1" a="1"/>
  <c r="M461" i="1"/>
  <c r="M462" i="1" a="1"/>
  <c r="M462" i="1"/>
  <c r="M463" i="1" a="1"/>
  <c r="M463" i="1" s="1"/>
  <c r="M464" i="1" a="1"/>
  <c r="M464" i="1" s="1"/>
  <c r="M465" i="1" a="1"/>
  <c r="M465" i="1"/>
  <c r="M466" i="1" a="1"/>
  <c r="M466" i="1"/>
  <c r="M467" i="1" a="1"/>
  <c r="M467" i="1" s="1"/>
  <c r="M468" i="1" a="1"/>
  <c r="M468" i="1" s="1"/>
  <c r="M469" i="1" a="1"/>
  <c r="M469" i="1" s="1"/>
  <c r="M470" i="1" a="1"/>
  <c r="M470" i="1"/>
  <c r="M471" i="1" a="1"/>
  <c r="M471" i="1" s="1"/>
  <c r="M472" i="1" a="1"/>
  <c r="M472" i="1"/>
  <c r="M473" i="1" a="1"/>
  <c r="M473" i="1"/>
  <c r="M474" i="1" a="1"/>
  <c r="M474" i="1" s="1"/>
  <c r="M475" i="1" a="1"/>
  <c r="M475" i="1" s="1"/>
  <c r="M476" i="1" a="1"/>
  <c r="M476" i="1" s="1"/>
  <c r="M477" i="1" a="1"/>
  <c r="M477" i="1"/>
  <c r="M478" i="1" a="1"/>
  <c r="M478" i="1"/>
  <c r="M479" i="1" a="1"/>
  <c r="M479" i="1" s="1"/>
  <c r="M480" i="1" a="1"/>
  <c r="M480" i="1" s="1"/>
  <c r="M481" i="1" a="1"/>
  <c r="M481" i="1"/>
  <c r="M482" i="1" a="1"/>
  <c r="M482" i="1"/>
  <c r="M483" i="1" a="1"/>
  <c r="M483" i="1" s="1"/>
  <c r="M484" i="1" a="1"/>
  <c r="M484" i="1" s="1"/>
  <c r="M485" i="1" a="1"/>
  <c r="M485" i="1" s="1"/>
  <c r="M486" i="1" a="1"/>
  <c r="M486" i="1"/>
  <c r="M487" i="1" a="1"/>
  <c r="M487" i="1" s="1"/>
  <c r="M488" i="1" a="1"/>
  <c r="M488" i="1"/>
  <c r="M489" i="1" a="1"/>
  <c r="M489" i="1"/>
  <c r="M490" i="1" a="1"/>
  <c r="M490" i="1" s="1"/>
  <c r="M491" i="1" a="1"/>
  <c r="M491" i="1" s="1"/>
  <c r="M492" i="1" a="1"/>
  <c r="M492" i="1" s="1"/>
  <c r="M493" i="1" a="1"/>
  <c r="M493" i="1"/>
  <c r="M494" i="1" a="1"/>
  <c r="M494" i="1"/>
  <c r="M495" i="1" a="1"/>
  <c r="M495" i="1" s="1"/>
  <c r="M496" i="1" a="1"/>
  <c r="M496" i="1" s="1"/>
  <c r="M497" i="1" a="1"/>
  <c r="M497" i="1"/>
  <c r="M498" i="1" a="1"/>
  <c r="M498" i="1"/>
  <c r="M499" i="1" a="1"/>
  <c r="M499" i="1" s="1"/>
  <c r="M500" i="1" a="1"/>
  <c r="M500" i="1" s="1"/>
  <c r="M501" i="1" a="1"/>
  <c r="M501" i="1" s="1"/>
  <c r="M502" i="1" a="1"/>
  <c r="M502" i="1"/>
  <c r="M503" i="1" a="1"/>
  <c r="M503" i="1" s="1"/>
  <c r="M504" i="1" a="1"/>
  <c r="M504" i="1"/>
  <c r="M505" i="1" a="1"/>
  <c r="M505" i="1"/>
  <c r="M506" i="1" a="1"/>
  <c r="M506" i="1" s="1"/>
  <c r="M507" i="1" a="1"/>
  <c r="M507" i="1" s="1"/>
  <c r="M508" i="1" a="1"/>
  <c r="M508" i="1" s="1"/>
  <c r="M509" i="1" a="1"/>
  <c r="M509" i="1"/>
  <c r="M510" i="1" a="1"/>
  <c r="M510" i="1"/>
  <c r="M511" i="1" a="1"/>
  <c r="M511" i="1" s="1"/>
  <c r="M512" i="1" a="1"/>
  <c r="M512" i="1" s="1"/>
  <c r="M513" i="1" a="1"/>
  <c r="M513" i="1"/>
  <c r="M514" i="1" a="1"/>
  <c r="M514" i="1"/>
  <c r="M515" i="1" a="1"/>
  <c r="M515" i="1" s="1"/>
  <c r="M516" i="1" a="1"/>
  <c r="M516" i="1" s="1"/>
  <c r="M517" i="1" a="1"/>
  <c r="M517" i="1" s="1"/>
  <c r="M518" i="1" a="1"/>
  <c r="M518" i="1"/>
  <c r="M519" i="1" a="1"/>
  <c r="M519" i="1" s="1"/>
  <c r="M520" i="1" a="1"/>
  <c r="M520" i="1"/>
  <c r="M521" i="1" a="1"/>
  <c r="M521" i="1"/>
  <c r="M522" i="1" a="1"/>
  <c r="M522" i="1" s="1"/>
  <c r="M523" i="1" a="1"/>
  <c r="M523" i="1" s="1"/>
  <c r="M524" i="1" a="1"/>
  <c r="M524" i="1" s="1"/>
  <c r="M525" i="1" a="1"/>
  <c r="M525" i="1"/>
  <c r="M526" i="1" a="1"/>
  <c r="M526" i="1"/>
  <c r="M527" i="1" a="1"/>
  <c r="M527" i="1" s="1"/>
  <c r="M528" i="1" a="1"/>
  <c r="M528" i="1" s="1"/>
  <c r="M529" i="1" a="1"/>
  <c r="M529" i="1"/>
  <c r="M530" i="1" a="1"/>
  <c r="M530" i="1"/>
  <c r="M531" i="1" a="1"/>
  <c r="M531" i="1" s="1"/>
  <c r="M532" i="1" a="1"/>
  <c r="M532" i="1" s="1"/>
  <c r="M533" i="1" a="1"/>
  <c r="M533" i="1" s="1"/>
  <c r="M534" i="1" a="1"/>
  <c r="M534" i="1"/>
  <c r="M535" i="1" a="1"/>
  <c r="M535" i="1" s="1"/>
  <c r="M536" i="1" a="1"/>
  <c r="M536" i="1"/>
  <c r="M537" i="1" a="1"/>
  <c r="M537" i="1"/>
  <c r="M538" i="1" a="1"/>
  <c r="M538" i="1" s="1"/>
  <c r="M539" i="1" a="1"/>
  <c r="M539" i="1" s="1"/>
  <c r="M540" i="1" a="1"/>
  <c r="M540" i="1" s="1"/>
  <c r="M541" i="1" a="1"/>
  <c r="M541" i="1"/>
  <c r="M542" i="1" a="1"/>
  <c r="M542" i="1"/>
  <c r="M543" i="1" a="1"/>
  <c r="M543" i="1" s="1"/>
  <c r="M544" i="1" a="1"/>
  <c r="M544" i="1" s="1"/>
  <c r="M545" i="1" a="1"/>
  <c r="M545" i="1"/>
  <c r="M546" i="1" a="1"/>
  <c r="M546" i="1"/>
  <c r="M547" i="1" a="1"/>
  <c r="M547" i="1" s="1"/>
  <c r="M548" i="1" a="1"/>
  <c r="M548" i="1" s="1"/>
  <c r="M549" i="1" a="1"/>
  <c r="M549" i="1" s="1"/>
  <c r="M550" i="1" a="1"/>
  <c r="M550" i="1"/>
  <c r="M551" i="1" a="1"/>
  <c r="M551" i="1" s="1"/>
  <c r="M552" i="1" a="1"/>
  <c r="M552" i="1"/>
  <c r="M553" i="1" a="1"/>
  <c r="M553" i="1"/>
  <c r="M554" i="1" a="1"/>
  <c r="M554" i="1" s="1"/>
  <c r="M555" i="1" a="1"/>
  <c r="M555" i="1" s="1"/>
  <c r="M556" i="1" a="1"/>
  <c r="M556" i="1" s="1"/>
  <c r="M557" i="1" a="1"/>
  <c r="M557" i="1"/>
  <c r="M558" i="1" a="1"/>
  <c r="M558" i="1"/>
  <c r="M559" i="1" a="1"/>
  <c r="M559" i="1" s="1"/>
  <c r="M560" i="1" a="1"/>
  <c r="M560" i="1" s="1"/>
  <c r="M561" i="1" a="1"/>
  <c r="M561" i="1"/>
  <c r="M562" i="1" a="1"/>
  <c r="M562" i="1"/>
  <c r="M563" i="1" a="1"/>
  <c r="M563" i="1" s="1"/>
  <c r="M564" i="1" a="1"/>
  <c r="M564" i="1" s="1"/>
  <c r="M565" i="1" a="1"/>
  <c r="M565" i="1" s="1"/>
  <c r="M566" i="1" a="1"/>
  <c r="M566" i="1"/>
  <c r="M567" i="1" a="1"/>
  <c r="M567" i="1" s="1"/>
  <c r="M568" i="1" a="1"/>
  <c r="M568" i="1"/>
  <c r="M569" i="1" a="1"/>
  <c r="M569" i="1"/>
  <c r="M570" i="1" a="1"/>
  <c r="M570" i="1" s="1"/>
  <c r="M571" i="1" a="1"/>
  <c r="M571" i="1" s="1"/>
  <c r="M572" i="1" a="1"/>
  <c r="M572" i="1" s="1"/>
  <c r="M573" i="1" a="1"/>
  <c r="M573" i="1"/>
  <c r="M574" i="1" a="1"/>
  <c r="M574" i="1"/>
  <c r="M575" i="1" a="1"/>
  <c r="M575" i="1" s="1"/>
  <c r="M576" i="1" a="1"/>
  <c r="M576" i="1" s="1"/>
  <c r="M577" i="1" a="1"/>
  <c r="M577" i="1"/>
  <c r="M578" i="1" a="1"/>
  <c r="M578" i="1"/>
  <c r="M579" i="1" a="1"/>
  <c r="M579" i="1" s="1"/>
  <c r="M580" i="1" a="1"/>
  <c r="M580" i="1" s="1"/>
  <c r="M581" i="1" a="1"/>
  <c r="M581" i="1" s="1"/>
  <c r="M582" i="1" a="1"/>
  <c r="M582" i="1"/>
  <c r="M583" i="1" a="1"/>
  <c r="M583" i="1" s="1"/>
  <c r="M584" i="1" a="1"/>
  <c r="M584" i="1"/>
  <c r="M585" i="1" a="1"/>
  <c r="M585" i="1"/>
  <c r="M586" i="1" a="1"/>
  <c r="M586" i="1" s="1"/>
  <c r="M587" i="1" a="1"/>
  <c r="M587" i="1" s="1"/>
  <c r="M588" i="1" a="1"/>
  <c r="M588" i="1" s="1"/>
  <c r="M589" i="1" a="1"/>
  <c r="M589" i="1"/>
  <c r="M590" i="1" a="1"/>
  <c r="M590" i="1"/>
  <c r="M591" i="1" a="1"/>
  <c r="M591" i="1" s="1"/>
  <c r="M592" i="1" a="1"/>
  <c r="M592" i="1" s="1"/>
  <c r="M593" i="1" a="1"/>
  <c r="M593" i="1"/>
  <c r="M594" i="1" a="1"/>
  <c r="M594" i="1"/>
  <c r="M595" i="1" a="1"/>
  <c r="M595" i="1" s="1"/>
  <c r="M596" i="1" a="1"/>
  <c r="M596" i="1" s="1"/>
  <c r="M597" i="1" a="1"/>
  <c r="M597" i="1" s="1"/>
  <c r="M598" i="1" a="1"/>
  <c r="M598" i="1"/>
  <c r="M599" i="1" a="1"/>
  <c r="M599" i="1" s="1"/>
  <c r="M600" i="1" a="1"/>
  <c r="M600" i="1"/>
  <c r="M601" i="1" a="1"/>
  <c r="M601" i="1"/>
  <c r="M602" i="1" a="1"/>
  <c r="M602" i="1" s="1"/>
  <c r="M603" i="1" a="1"/>
  <c r="M603" i="1" s="1"/>
  <c r="M604" i="1" a="1"/>
  <c r="M604" i="1" s="1"/>
  <c r="M605" i="1" a="1"/>
  <c r="M605" i="1"/>
  <c r="M606" i="1" a="1"/>
  <c r="M606" i="1"/>
  <c r="M607" i="1" a="1"/>
  <c r="M607" i="1" s="1"/>
  <c r="M608" i="1" a="1"/>
  <c r="M608" i="1" s="1"/>
  <c r="M609" i="1" a="1"/>
  <c r="M609" i="1"/>
  <c r="M610" i="1" a="1"/>
  <c r="M610" i="1"/>
  <c r="M611" i="1" a="1"/>
  <c r="M611" i="1" s="1"/>
  <c r="M612" i="1" a="1"/>
  <c r="M612" i="1" s="1"/>
  <c r="M613" i="1" a="1"/>
  <c r="M613" i="1" s="1"/>
  <c r="M614" i="1" a="1"/>
  <c r="M614" i="1"/>
  <c r="M615" i="1" a="1"/>
  <c r="M615" i="1" s="1"/>
  <c r="M616" i="1" a="1"/>
  <c r="M616" i="1"/>
  <c r="M617" i="1" a="1"/>
  <c r="M617" i="1"/>
  <c r="M618" i="1" a="1"/>
  <c r="M618" i="1" s="1"/>
  <c r="M619" i="1" a="1"/>
  <c r="M619" i="1" s="1"/>
  <c r="M620" i="1" a="1"/>
  <c r="M620" i="1" s="1"/>
  <c r="M621" i="1" a="1"/>
  <c r="M621" i="1"/>
  <c r="M622" i="1" a="1"/>
  <c r="M622" i="1"/>
  <c r="M623" i="1" a="1"/>
  <c r="M623" i="1" s="1"/>
  <c r="M624" i="1" a="1"/>
  <c r="M624" i="1" s="1"/>
  <c r="M625" i="1" a="1"/>
  <c r="M625" i="1"/>
  <c r="M626" i="1" a="1"/>
  <c r="M626" i="1"/>
  <c r="M627" i="1" a="1"/>
  <c r="M627" i="1" s="1"/>
  <c r="M628" i="1" a="1"/>
  <c r="M628" i="1" s="1"/>
  <c r="M629" i="1" a="1"/>
  <c r="M629" i="1" s="1"/>
  <c r="M630" i="1" a="1"/>
  <c r="M630" i="1"/>
  <c r="M631" i="1" a="1"/>
  <c r="M631" i="1" s="1"/>
  <c r="M632" i="1" a="1"/>
  <c r="M632" i="1"/>
  <c r="M633" i="1" a="1"/>
  <c r="M633" i="1"/>
  <c r="M634" i="1" a="1"/>
  <c r="M634" i="1" s="1"/>
  <c r="M635" i="1" a="1"/>
  <c r="M635" i="1" s="1"/>
  <c r="M636" i="1" a="1"/>
  <c r="M636" i="1" s="1"/>
  <c r="M637" i="1" a="1"/>
  <c r="M637" i="1"/>
  <c r="M638" i="1" a="1"/>
  <c r="M638" i="1"/>
  <c r="M639" i="1" a="1"/>
  <c r="M639" i="1" s="1"/>
  <c r="M640" i="1" a="1"/>
  <c r="M640" i="1" s="1"/>
  <c r="M641" i="1" a="1"/>
  <c r="M641" i="1"/>
  <c r="M642" i="1" a="1"/>
  <c r="M642" i="1"/>
  <c r="M643" i="1" a="1"/>
  <c r="M643" i="1" s="1"/>
  <c r="M644" i="1" a="1"/>
  <c r="M644" i="1" s="1"/>
  <c r="M645" i="1" a="1"/>
  <c r="M645" i="1" s="1"/>
  <c r="M646" i="1" a="1"/>
  <c r="M646" i="1"/>
  <c r="M647" i="1" a="1"/>
  <c r="M647" i="1" s="1"/>
  <c r="M648" i="1" a="1"/>
  <c r="M648" i="1"/>
  <c r="M649" i="1" a="1"/>
  <c r="M649" i="1"/>
  <c r="M650" i="1" a="1"/>
  <c r="M650" i="1" s="1"/>
  <c r="M651" i="1" a="1"/>
  <c r="M651" i="1" s="1"/>
  <c r="M652" i="1" a="1"/>
  <c r="M652" i="1" s="1"/>
  <c r="M653" i="1" a="1"/>
  <c r="M653" i="1"/>
  <c r="M654" i="1" a="1"/>
  <c r="M654" i="1"/>
  <c r="M655" i="1" a="1"/>
  <c r="M655" i="1" s="1"/>
  <c r="M656" i="1" a="1"/>
  <c r="M656" i="1" s="1"/>
  <c r="M657" i="1" a="1"/>
  <c r="M657" i="1"/>
  <c r="M658" i="1" a="1"/>
  <c r="M658" i="1"/>
  <c r="M659" i="1" a="1"/>
  <c r="M659" i="1" s="1"/>
  <c r="M660" i="1" a="1"/>
  <c r="M660" i="1" s="1"/>
  <c r="M661" i="1" a="1"/>
  <c r="M661" i="1" s="1"/>
  <c r="M662" i="1" a="1"/>
  <c r="M662" i="1"/>
  <c r="M663" i="1" a="1"/>
  <c r="M663" i="1" s="1"/>
  <c r="M664" i="1" a="1"/>
  <c r="M664" i="1"/>
  <c r="M665" i="1" a="1"/>
  <c r="M665" i="1"/>
  <c r="M666" i="1" a="1"/>
  <c r="M666" i="1" s="1"/>
  <c r="M667" i="1" a="1"/>
  <c r="M667" i="1" s="1"/>
  <c r="M668" i="1" a="1"/>
  <c r="M668" i="1" s="1"/>
  <c r="M669" i="1" a="1"/>
  <c r="M669" i="1"/>
  <c r="M670" i="1" a="1"/>
  <c r="M670" i="1"/>
  <c r="M671" i="1" a="1"/>
  <c r="M671" i="1" s="1"/>
  <c r="M672" i="1" a="1"/>
  <c r="M672" i="1" s="1"/>
  <c r="M673" i="1" a="1"/>
  <c r="M673" i="1"/>
  <c r="M674" i="1" a="1"/>
  <c r="M674" i="1"/>
  <c r="M675" i="1" a="1"/>
  <c r="M675" i="1" s="1"/>
  <c r="M676" i="1" a="1"/>
  <c r="M676" i="1" s="1"/>
  <c r="M677" i="1" a="1"/>
  <c r="M677" i="1" s="1"/>
  <c r="M678" i="1" a="1"/>
  <c r="M678" i="1"/>
  <c r="M679" i="1" a="1"/>
  <c r="M679" i="1" s="1"/>
  <c r="M680" i="1" a="1"/>
  <c r="M680" i="1"/>
  <c r="M681" i="1" a="1"/>
  <c r="M681" i="1"/>
  <c r="M682" i="1" a="1"/>
  <c r="M682" i="1" s="1"/>
  <c r="M683" i="1" a="1"/>
  <c r="M683" i="1" s="1"/>
  <c r="M684" i="1" a="1"/>
  <c r="M684" i="1" s="1"/>
  <c r="M685" i="1" a="1"/>
  <c r="M685" i="1"/>
  <c r="M686" i="1" a="1"/>
  <c r="M686" i="1"/>
  <c r="M687" i="1" a="1"/>
  <c r="M687" i="1" s="1"/>
  <c r="M688" i="1" a="1"/>
  <c r="M688" i="1" s="1"/>
  <c r="M689" i="1" a="1"/>
  <c r="M689" i="1"/>
  <c r="M690" i="1" a="1"/>
  <c r="M690" i="1"/>
  <c r="M691" i="1" a="1"/>
  <c r="M691" i="1" s="1"/>
  <c r="M692" i="1" a="1"/>
  <c r="M692" i="1" s="1"/>
  <c r="M693" i="1" a="1"/>
  <c r="M693" i="1" s="1"/>
  <c r="M694" i="1" a="1"/>
  <c r="M694" i="1"/>
  <c r="M695" i="1" a="1"/>
  <c r="M695" i="1" s="1"/>
  <c r="M696" i="1" a="1"/>
  <c r="M696" i="1"/>
  <c r="M697" i="1" a="1"/>
  <c r="M697" i="1"/>
  <c r="M698" i="1" a="1"/>
  <c r="M698" i="1" s="1"/>
  <c r="M699" i="1" a="1"/>
  <c r="M699" i="1" s="1"/>
  <c r="M700" i="1" a="1"/>
  <c r="M700" i="1" s="1"/>
  <c r="M701" i="1" a="1"/>
  <c r="M701" i="1"/>
  <c r="M702" i="1" a="1"/>
  <c r="M702" i="1"/>
  <c r="M703" i="1" a="1"/>
  <c r="M703" i="1" s="1"/>
  <c r="M704" i="1" a="1"/>
  <c r="M704" i="1" s="1"/>
  <c r="M705" i="1" a="1"/>
  <c r="M705" i="1"/>
  <c r="M706" i="1" a="1"/>
  <c r="M706" i="1"/>
  <c r="M707" i="1" a="1"/>
  <c r="M707" i="1" s="1"/>
  <c r="M708" i="1" a="1"/>
  <c r="M708" i="1" s="1"/>
  <c r="M709" i="1" a="1"/>
  <c r="M709" i="1" s="1"/>
  <c r="M710" i="1" a="1"/>
  <c r="M710" i="1"/>
  <c r="M711" i="1" a="1"/>
  <c r="M711" i="1" s="1"/>
  <c r="M712" i="1" a="1"/>
  <c r="M712" i="1"/>
  <c r="M713" i="1" a="1"/>
  <c r="M713" i="1"/>
  <c r="M714" i="1" a="1"/>
  <c r="M714" i="1" s="1"/>
  <c r="M715" i="1" a="1"/>
  <c r="M715" i="1" s="1"/>
  <c r="M716" i="1" a="1"/>
  <c r="M716" i="1" s="1"/>
  <c r="M717" i="1" a="1"/>
  <c r="M717" i="1"/>
  <c r="M718" i="1" a="1"/>
  <c r="M718" i="1"/>
  <c r="M719" i="1" a="1"/>
  <c r="M719" i="1" s="1"/>
  <c r="M720" i="1" a="1"/>
  <c r="M720" i="1" s="1"/>
  <c r="M721" i="1" a="1"/>
  <c r="M721" i="1"/>
  <c r="M722" i="1" a="1"/>
  <c r="M722" i="1"/>
  <c r="M723" i="1" a="1"/>
  <c r="M723" i="1" s="1"/>
  <c r="M724" i="1" a="1"/>
  <c r="M724" i="1" s="1"/>
  <c r="M725" i="1" a="1"/>
  <c r="M725" i="1" s="1"/>
  <c r="M726" i="1" a="1"/>
  <c r="M726" i="1"/>
  <c r="M727" i="1" a="1"/>
  <c r="M727" i="1" s="1"/>
  <c r="M728" i="1" a="1"/>
  <c r="M728" i="1"/>
  <c r="M729" i="1" a="1"/>
  <c r="M729" i="1"/>
  <c r="M730" i="1" a="1"/>
  <c r="M730" i="1" s="1"/>
  <c r="M731" i="1" a="1"/>
  <c r="M731" i="1" s="1"/>
  <c r="M732" i="1" a="1"/>
  <c r="M732" i="1" s="1"/>
  <c r="M733" i="1" a="1"/>
  <c r="M733" i="1"/>
  <c r="M734" i="1" a="1"/>
  <c r="M734" i="1"/>
  <c r="M735" i="1" a="1"/>
  <c r="M735" i="1" s="1"/>
  <c r="M736" i="1" a="1"/>
  <c r="M736" i="1" s="1"/>
  <c r="M737" i="1" a="1"/>
  <c r="M737" i="1"/>
  <c r="M738" i="1" a="1"/>
  <c r="M738" i="1"/>
  <c r="M739" i="1" a="1"/>
  <c r="M739" i="1" s="1"/>
  <c r="M740" i="1" a="1"/>
  <c r="M740" i="1" s="1"/>
  <c r="M741" i="1" a="1"/>
  <c r="M741" i="1" s="1"/>
  <c r="M742" i="1" a="1"/>
  <c r="M742" i="1"/>
  <c r="M743" i="1" a="1"/>
  <c r="M743" i="1" s="1"/>
  <c r="M744" i="1" a="1"/>
  <c r="M744" i="1"/>
  <c r="M745" i="1" a="1"/>
  <c r="M745" i="1"/>
  <c r="M746" i="1" a="1"/>
  <c r="M746" i="1" s="1"/>
  <c r="M747" i="1" a="1"/>
  <c r="M747" i="1" s="1"/>
  <c r="M748" i="1" a="1"/>
  <c r="M748" i="1" s="1"/>
  <c r="M749" i="1" a="1"/>
  <c r="M749" i="1"/>
  <c r="M750" i="1" a="1"/>
  <c r="M750" i="1"/>
  <c r="M751" i="1" a="1"/>
  <c r="M751" i="1" s="1"/>
  <c r="M752" i="1" a="1"/>
  <c r="M752" i="1" s="1"/>
  <c r="M753" i="1" a="1"/>
  <c r="M753" i="1"/>
  <c r="M754" i="1" a="1"/>
  <c r="M754" i="1"/>
  <c r="M755" i="1" a="1"/>
  <c r="M755" i="1" s="1"/>
  <c r="M756" i="1" a="1"/>
  <c r="M756" i="1" s="1"/>
  <c r="M757" i="1" a="1"/>
  <c r="M757" i="1" s="1"/>
  <c r="M758" i="1" a="1"/>
  <c r="M758" i="1"/>
  <c r="M759" i="1" a="1"/>
  <c r="M759" i="1" s="1"/>
  <c r="M760" i="1" a="1"/>
  <c r="M760" i="1"/>
  <c r="M761" i="1" a="1"/>
  <c r="M761" i="1"/>
  <c r="M762" i="1" a="1"/>
  <c r="M762" i="1" s="1"/>
  <c r="M763" i="1" a="1"/>
  <c r="M763" i="1" s="1"/>
  <c r="M764" i="1" a="1"/>
  <c r="M764" i="1" s="1"/>
  <c r="M765" i="1" a="1"/>
  <c r="M765" i="1" s="1"/>
  <c r="M766" i="1" a="1"/>
  <c r="M766" i="1"/>
  <c r="M767" i="1" a="1"/>
  <c r="M767" i="1" s="1"/>
  <c r="M768" i="1" a="1"/>
  <c r="M768" i="1" s="1"/>
  <c r="M769" i="1" a="1"/>
  <c r="M769" i="1"/>
  <c r="M770" i="1" a="1"/>
  <c r="M770" i="1"/>
  <c r="M771" i="1" a="1"/>
  <c r="M771" i="1" s="1"/>
  <c r="M772" i="1" a="1"/>
  <c r="M772" i="1" s="1"/>
  <c r="M773" i="1" a="1"/>
  <c r="M773" i="1" s="1"/>
  <c r="M774" i="1" a="1"/>
  <c r="M774" i="1"/>
  <c r="M775" i="1" a="1"/>
  <c r="M775" i="1" s="1"/>
  <c r="M776" i="1" a="1"/>
  <c r="M776" i="1"/>
  <c r="M777" i="1" a="1"/>
  <c r="M777" i="1"/>
  <c r="M778" i="1" a="1"/>
  <c r="M778" i="1" s="1"/>
  <c r="M779" i="1" a="1"/>
  <c r="M779" i="1" s="1"/>
  <c r="M780" i="1" a="1"/>
  <c r="M780" i="1" s="1"/>
  <c r="M781" i="1" a="1"/>
  <c r="M781" i="1" s="1"/>
  <c r="M782" i="1" a="1"/>
  <c r="M782" i="1"/>
  <c r="M783" i="1" a="1"/>
  <c r="M783" i="1" s="1"/>
  <c r="M784" i="1" a="1"/>
  <c r="M784" i="1" s="1"/>
  <c r="M785" i="1" a="1"/>
  <c r="M785" i="1"/>
  <c r="M786" i="1" a="1"/>
  <c r="M786" i="1"/>
  <c r="M787" i="1" a="1"/>
  <c r="M787" i="1" s="1"/>
  <c r="M788" i="1" a="1"/>
  <c r="M788" i="1" s="1"/>
  <c r="M789" i="1" a="1"/>
  <c r="M789" i="1" s="1"/>
  <c r="M790" i="1" a="1"/>
  <c r="M790" i="1"/>
  <c r="M791" i="1" a="1"/>
  <c r="M791" i="1" s="1"/>
  <c r="M792" i="1" a="1"/>
  <c r="M792" i="1"/>
  <c r="M793" i="1" a="1"/>
  <c r="M793" i="1"/>
  <c r="M794" i="1" a="1"/>
  <c r="M794" i="1" s="1"/>
  <c r="M795" i="1" a="1"/>
  <c r="M795" i="1" s="1"/>
  <c r="M796" i="1" a="1"/>
  <c r="M796" i="1" s="1"/>
  <c r="M797" i="1" a="1"/>
  <c r="M797" i="1" s="1"/>
  <c r="M798" i="1" a="1"/>
  <c r="M798" i="1"/>
  <c r="M799" i="1" a="1"/>
  <c r="M799" i="1" s="1"/>
  <c r="M800" i="1" a="1"/>
  <c r="M800" i="1" s="1"/>
  <c r="M801" i="1" a="1"/>
  <c r="M801" i="1"/>
  <c r="M802" i="1" a="1"/>
  <c r="M802" i="1"/>
  <c r="M803" i="1" a="1"/>
  <c r="M803" i="1" s="1"/>
  <c r="M804" i="1" a="1"/>
  <c r="M804" i="1" s="1"/>
  <c r="M805" i="1" a="1"/>
  <c r="M805" i="1" s="1"/>
  <c r="M806" i="1" a="1"/>
  <c r="M806" i="1"/>
  <c r="M807" i="1" a="1"/>
  <c r="M807" i="1" s="1"/>
  <c r="M808" i="1" a="1"/>
  <c r="M808" i="1"/>
  <c r="M809" i="1" a="1"/>
  <c r="M809" i="1"/>
  <c r="M810" i="1" a="1"/>
  <c r="M810" i="1" s="1"/>
  <c r="M811" i="1" a="1"/>
  <c r="M811" i="1" s="1"/>
  <c r="M812" i="1" a="1"/>
  <c r="M812" i="1" s="1"/>
  <c r="M813" i="1" a="1"/>
  <c r="M813" i="1" s="1"/>
  <c r="M814" i="1" a="1"/>
  <c r="M814" i="1"/>
  <c r="M815" i="1" a="1"/>
  <c r="M815" i="1" s="1"/>
  <c r="M816" i="1" a="1"/>
  <c r="M816" i="1" s="1"/>
  <c r="M817" i="1" a="1"/>
  <c r="M817" i="1"/>
  <c r="M818" i="1" a="1"/>
  <c r="M818" i="1"/>
  <c r="M819" i="1" a="1"/>
  <c r="M819" i="1" s="1"/>
  <c r="M820" i="1" a="1"/>
  <c r="M820" i="1" s="1"/>
  <c r="M821" i="1" a="1"/>
  <c r="M821" i="1" s="1"/>
  <c r="M822" i="1" a="1"/>
  <c r="M822" i="1"/>
  <c r="M823" i="1" a="1"/>
  <c r="M823" i="1" s="1"/>
  <c r="M824" i="1" a="1"/>
  <c r="M824" i="1"/>
  <c r="M825" i="1" a="1"/>
  <c r="M825" i="1"/>
  <c r="M826" i="1" a="1"/>
  <c r="M826" i="1" s="1"/>
  <c r="M827" i="1" a="1"/>
  <c r="M827" i="1" s="1"/>
  <c r="M828" i="1" a="1"/>
  <c r="M828" i="1" s="1"/>
  <c r="M829" i="1" a="1"/>
  <c r="M829" i="1" s="1"/>
  <c r="M830" i="1" a="1"/>
  <c r="M830" i="1"/>
  <c r="M831" i="1" a="1"/>
  <c r="M831" i="1" s="1"/>
  <c r="M832" i="1" a="1"/>
  <c r="M832" i="1" s="1"/>
  <c r="M833" i="1" a="1"/>
  <c r="M833" i="1"/>
  <c r="M834" i="1" a="1"/>
  <c r="M834" i="1"/>
  <c r="M835" i="1" a="1"/>
  <c r="M835" i="1" s="1"/>
  <c r="M836" i="1" a="1"/>
  <c r="M836" i="1" s="1"/>
  <c r="M837" i="1" a="1"/>
  <c r="M837" i="1" s="1"/>
  <c r="M838" i="1" a="1"/>
  <c r="M838" i="1"/>
  <c r="M839" i="1" a="1"/>
  <c r="M839" i="1" s="1"/>
  <c r="M840" i="1" a="1"/>
  <c r="M840" i="1"/>
  <c r="M841" i="1" a="1"/>
  <c r="M841" i="1"/>
  <c r="M842" i="1" a="1"/>
  <c r="M842" i="1" s="1"/>
  <c r="M843" i="1" a="1"/>
  <c r="M843" i="1" s="1"/>
  <c r="M844" i="1" a="1"/>
  <c r="M844" i="1" s="1"/>
  <c r="M845" i="1" a="1"/>
  <c r="M845" i="1" s="1"/>
  <c r="M846" i="1" a="1"/>
  <c r="M846" i="1"/>
  <c r="M847" i="1" a="1"/>
  <c r="M847" i="1" s="1"/>
  <c r="M848" i="1" a="1"/>
  <c r="M848" i="1" s="1"/>
  <c r="M849" i="1" a="1"/>
  <c r="M849" i="1"/>
  <c r="M850" i="1" a="1"/>
  <c r="M850" i="1"/>
  <c r="M851" i="1" a="1"/>
  <c r="M851" i="1" s="1"/>
  <c r="M852" i="1" a="1"/>
  <c r="M852" i="1" s="1"/>
  <c r="M853" i="1" a="1"/>
  <c r="M853" i="1" s="1"/>
  <c r="M854" i="1" a="1"/>
  <c r="M854" i="1" s="1"/>
  <c r="M855" i="1" a="1"/>
  <c r="M855" i="1" s="1"/>
  <c r="M856" i="1" a="1"/>
  <c r="M856" i="1"/>
  <c r="M857" i="1" a="1"/>
  <c r="M857" i="1"/>
  <c r="M858" i="1" a="1"/>
  <c r="M858" i="1" s="1"/>
  <c r="M859" i="1" a="1"/>
  <c r="M859" i="1" s="1"/>
  <c r="M860" i="1" a="1"/>
  <c r="M860" i="1" s="1"/>
  <c r="M861" i="1" a="1"/>
  <c r="M861" i="1" s="1"/>
  <c r="M862" i="1" a="1"/>
  <c r="M862" i="1"/>
  <c r="M863" i="1" a="1"/>
  <c r="M863" i="1" s="1"/>
  <c r="M864" i="1" a="1"/>
  <c r="M864" i="1" s="1"/>
  <c r="M865" i="1" a="1"/>
  <c r="M865" i="1"/>
  <c r="M866" i="1" a="1"/>
  <c r="M866" i="1"/>
  <c r="M867" i="1" a="1"/>
  <c r="M867" i="1" s="1"/>
  <c r="M868" i="1" a="1"/>
  <c r="M868" i="1" s="1"/>
  <c r="M869" i="1" a="1"/>
  <c r="M869" i="1" s="1"/>
  <c r="M870" i="1" a="1"/>
  <c r="M870" i="1" s="1"/>
  <c r="M871" i="1" a="1"/>
  <c r="M871" i="1" s="1"/>
  <c r="M872" i="1" a="1"/>
  <c r="M872" i="1"/>
  <c r="M873" i="1" a="1"/>
  <c r="M873" i="1"/>
  <c r="M874" i="1" a="1"/>
  <c r="M874" i="1" s="1"/>
  <c r="M875" i="1" a="1"/>
  <c r="M875" i="1" s="1"/>
  <c r="M876" i="1" a="1"/>
  <c r="M876" i="1" s="1"/>
  <c r="M877" i="1" a="1"/>
  <c r="M877" i="1" s="1"/>
  <c r="M878" i="1" a="1"/>
  <c r="M878" i="1"/>
  <c r="M879" i="1" a="1"/>
  <c r="M879" i="1" s="1"/>
  <c r="M880" i="1" a="1"/>
  <c r="M880" i="1" s="1"/>
  <c r="M881" i="1" a="1"/>
  <c r="M881" i="1"/>
  <c r="M882" i="1" a="1"/>
  <c r="M882" i="1"/>
  <c r="M883" i="1" a="1"/>
  <c r="M883" i="1" s="1"/>
  <c r="M884" i="1" a="1"/>
  <c r="M884" i="1" s="1"/>
  <c r="M885" i="1" a="1"/>
  <c r="M885" i="1" s="1"/>
  <c r="M886" i="1" a="1"/>
  <c r="M886" i="1" s="1"/>
  <c r="M887" i="1" a="1"/>
  <c r="M887" i="1" s="1"/>
  <c r="M888" i="1" a="1"/>
  <c r="M888" i="1"/>
  <c r="M889" i="1" a="1"/>
  <c r="M889" i="1"/>
  <c r="M890" i="1" a="1"/>
  <c r="M890" i="1" s="1"/>
  <c r="M891" i="1" a="1"/>
  <c r="M891" i="1" s="1"/>
  <c r="M892" i="1" a="1"/>
  <c r="M892" i="1" s="1"/>
  <c r="M893" i="1" a="1"/>
  <c r="M893" i="1" s="1"/>
  <c r="M894" i="1" a="1"/>
  <c r="M894" i="1"/>
  <c r="M895" i="1" a="1"/>
  <c r="M895" i="1" s="1"/>
  <c r="M896" i="1" a="1"/>
  <c r="M896" i="1" s="1"/>
  <c r="M897" i="1" a="1"/>
  <c r="M897" i="1"/>
  <c r="M898" i="1" a="1"/>
  <c r="M898" i="1"/>
  <c r="M899" i="1" a="1"/>
  <c r="M899" i="1" s="1"/>
  <c r="M900" i="1" a="1"/>
  <c r="M900" i="1" s="1"/>
  <c r="M901" i="1" a="1"/>
  <c r="M901" i="1" s="1"/>
  <c r="M902" i="1" a="1"/>
  <c r="M902" i="1" s="1"/>
  <c r="M903" i="1" a="1"/>
  <c r="M903" i="1" s="1"/>
  <c r="M904" i="1" a="1"/>
  <c r="M904" i="1"/>
  <c r="M905" i="1" a="1"/>
  <c r="M905" i="1"/>
  <c r="M906" i="1" a="1"/>
  <c r="M906" i="1" s="1"/>
  <c r="M907" i="1" a="1"/>
  <c r="M907" i="1" s="1"/>
  <c r="M908" i="1" a="1"/>
  <c r="M908" i="1" s="1"/>
  <c r="M909" i="1" a="1"/>
  <c r="M909" i="1" s="1"/>
  <c r="M910" i="1" a="1"/>
  <c r="M910" i="1"/>
  <c r="M911" i="1" a="1"/>
  <c r="M911" i="1" s="1"/>
  <c r="M912" i="1" a="1"/>
  <c r="M912" i="1" s="1"/>
  <c r="M913" i="1" a="1"/>
  <c r="M913" i="1"/>
  <c r="M914" i="1" a="1"/>
  <c r="M914" i="1"/>
  <c r="M915" i="1" a="1"/>
  <c r="M915" i="1" s="1"/>
  <c r="M916" i="1" a="1"/>
  <c r="M916" i="1" s="1"/>
  <c r="M917" i="1" a="1"/>
  <c r="M917" i="1" s="1"/>
  <c r="M918" i="1" a="1"/>
  <c r="M918" i="1" s="1"/>
  <c r="M919" i="1" a="1"/>
  <c r="M919" i="1" s="1"/>
  <c r="M920" i="1" a="1"/>
  <c r="M920" i="1"/>
  <c r="M921" i="1" a="1"/>
  <c r="M921" i="1" s="1"/>
  <c r="M922" i="1" a="1"/>
  <c r="M922" i="1" s="1"/>
  <c r="M923" i="1" a="1"/>
  <c r="M923" i="1" s="1"/>
  <c r="M924" i="1" a="1"/>
  <c r="M924" i="1" s="1"/>
  <c r="M925" i="1" a="1"/>
  <c r="M925" i="1" s="1"/>
  <c r="M926" i="1" a="1"/>
  <c r="M926" i="1"/>
  <c r="M927" i="1" a="1"/>
  <c r="M927" i="1" s="1"/>
  <c r="M928" i="1" a="1"/>
  <c r="M928" i="1" s="1"/>
  <c r="M929" i="1" a="1"/>
  <c r="M929" i="1"/>
  <c r="M930" i="1" a="1"/>
  <c r="M930" i="1"/>
  <c r="M931" i="1" a="1"/>
  <c r="M931" i="1" s="1"/>
  <c r="M932" i="1" a="1"/>
  <c r="M932" i="1" s="1"/>
  <c r="M933" i="1" a="1"/>
  <c r="M933" i="1" s="1"/>
  <c r="M934" i="1" a="1"/>
  <c r="M934" i="1" s="1"/>
  <c r="M935" i="1" a="1"/>
  <c r="M935" i="1" s="1"/>
  <c r="M936" i="1" a="1"/>
  <c r="M936" i="1"/>
  <c r="M937" i="1" a="1"/>
  <c r="M937" i="1" s="1"/>
  <c r="M938" i="1" a="1"/>
  <c r="M938" i="1" s="1"/>
  <c r="M939" i="1" a="1"/>
  <c r="M939" i="1" s="1"/>
  <c r="M940" i="1" a="1"/>
  <c r="M940" i="1" s="1"/>
  <c r="M941" i="1" a="1"/>
  <c r="M941" i="1" s="1"/>
  <c r="M942" i="1" a="1"/>
  <c r="M942" i="1"/>
  <c r="M943" i="1" a="1"/>
  <c r="M943" i="1" s="1"/>
  <c r="M944" i="1" a="1"/>
  <c r="M944" i="1" s="1"/>
  <c r="M945" i="1" a="1"/>
  <c r="M945" i="1"/>
  <c r="M946" i="1" a="1"/>
  <c r="M946" i="1"/>
  <c r="M947" i="1" a="1"/>
  <c r="M947" i="1" s="1"/>
  <c r="M948" i="1" a="1"/>
  <c r="M948" i="1" s="1"/>
  <c r="M949" i="1" a="1"/>
  <c r="M949" i="1" s="1"/>
  <c r="M950" i="1" a="1"/>
  <c r="M950" i="1" s="1"/>
  <c r="M951" i="1" a="1"/>
  <c r="M951" i="1" s="1"/>
  <c r="M952" i="1" a="1"/>
  <c r="M952" i="1"/>
  <c r="M953" i="1" a="1"/>
  <c r="M953" i="1" s="1"/>
  <c r="M954" i="1" a="1"/>
  <c r="M954" i="1" s="1"/>
  <c r="M955" i="1" a="1"/>
  <c r="M955" i="1" s="1"/>
  <c r="M956" i="1" a="1"/>
  <c r="M956" i="1" s="1"/>
  <c r="M957" i="1" a="1"/>
  <c r="M957" i="1" s="1"/>
  <c r="M958" i="1" a="1"/>
  <c r="M958" i="1"/>
  <c r="M959" i="1" a="1"/>
  <c r="M959" i="1" s="1"/>
  <c r="M960" i="1" a="1"/>
  <c r="M960" i="1" s="1"/>
  <c r="M961" i="1" a="1"/>
  <c r="M961" i="1"/>
  <c r="M962" i="1" a="1"/>
  <c r="M962" i="1"/>
  <c r="M963" i="1" a="1"/>
  <c r="M963" i="1" s="1"/>
  <c r="M964" i="1" a="1"/>
  <c r="M964" i="1" s="1"/>
  <c r="M965" i="1" a="1"/>
  <c r="M965" i="1" s="1"/>
  <c r="M966" i="1" a="1"/>
  <c r="M966" i="1" s="1"/>
  <c r="M967" i="1" a="1"/>
  <c r="M967" i="1" s="1"/>
  <c r="M968" i="1" a="1"/>
  <c r="M968" i="1"/>
  <c r="M969" i="1" a="1"/>
  <c r="M969" i="1" s="1"/>
  <c r="M970" i="1" a="1"/>
  <c r="M970" i="1" s="1"/>
  <c r="M971" i="1" a="1"/>
  <c r="M971" i="1" s="1"/>
  <c r="M972" i="1" a="1"/>
  <c r="M972" i="1" s="1"/>
  <c r="M973" i="1" a="1"/>
  <c r="M973" i="1" s="1"/>
  <c r="M974" i="1" a="1"/>
  <c r="M974" i="1"/>
  <c r="M975" i="1" a="1"/>
  <c r="M975" i="1" s="1"/>
  <c r="M976" i="1" a="1"/>
  <c r="M976" i="1" s="1"/>
  <c r="M977" i="1" a="1"/>
  <c r="M977" i="1"/>
  <c r="M978" i="1" a="1"/>
  <c r="M978" i="1"/>
  <c r="M979" i="1" a="1"/>
  <c r="M979" i="1" s="1"/>
  <c r="M980" i="1" a="1"/>
  <c r="M980" i="1" s="1"/>
  <c r="M981" i="1" a="1"/>
  <c r="M981" i="1" s="1"/>
  <c r="M982" i="1" a="1"/>
  <c r="M982" i="1" s="1"/>
  <c r="M983" i="1" a="1"/>
  <c r="M983" i="1" s="1"/>
  <c r="M984" i="1" a="1"/>
  <c r="M984" i="1"/>
  <c r="M985" i="1" a="1"/>
  <c r="M985" i="1" s="1"/>
  <c r="M986" i="1" a="1"/>
  <c r="M986" i="1" s="1"/>
  <c r="M987" i="1" a="1"/>
  <c r="M987" i="1" s="1"/>
  <c r="M988" i="1" a="1"/>
  <c r="M988" i="1" s="1"/>
  <c r="M989" i="1" a="1"/>
  <c r="M989" i="1" s="1"/>
  <c r="M990" i="1" a="1"/>
  <c r="M990" i="1"/>
  <c r="M991" i="1" a="1"/>
  <c r="M991" i="1" s="1"/>
  <c r="M992" i="1" a="1"/>
  <c r="M992" i="1" s="1"/>
  <c r="M993" i="1" a="1"/>
  <c r="M993" i="1"/>
  <c r="M994" i="1" a="1"/>
  <c r="M994" i="1"/>
  <c r="M995" i="1" a="1"/>
  <c r="M995" i="1" s="1"/>
  <c r="M996" i="1" a="1"/>
  <c r="M996" i="1" s="1"/>
  <c r="M997" i="1" a="1"/>
  <c r="M997" i="1" s="1"/>
  <c r="M998" i="1" a="1"/>
  <c r="M998" i="1" s="1"/>
  <c r="M999" i="1" a="1"/>
  <c r="M999" i="1" s="1"/>
  <c r="M1000" i="1" a="1"/>
  <c r="M1000" i="1"/>
  <c r="M1001" i="1" a="1"/>
  <c r="M1001" i="1" s="1"/>
  <c r="L2" i="1" a="1"/>
  <c r="L2" i="1" s="1"/>
  <c r="L3" i="1" a="1"/>
  <c r="L3" i="1" s="1"/>
  <c r="L4" i="1" a="1"/>
  <c r="L4" i="1" s="1"/>
  <c r="L5" i="1" a="1"/>
  <c r="L5" i="1" s="1"/>
  <c r="L6" i="1" a="1"/>
  <c r="L6" i="1" s="1"/>
  <c r="L7" i="1" a="1"/>
  <c r="L7" i="1" s="1"/>
  <c r="L8" i="1" a="1"/>
  <c r="L8" i="1" s="1"/>
  <c r="L9" i="1" a="1"/>
  <c r="L9" i="1" s="1"/>
  <c r="L10" i="1" a="1"/>
  <c r="L10" i="1" s="1"/>
  <c r="L11" i="1" a="1"/>
  <c r="L11" i="1" s="1"/>
  <c r="L12" i="1" a="1"/>
  <c r="L12" i="1" s="1"/>
  <c r="L13" i="1" a="1"/>
  <c r="L13" i="1" s="1"/>
  <c r="L14" i="1" a="1"/>
  <c r="L14" i="1" s="1"/>
  <c r="L15" i="1" a="1"/>
  <c r="L15" i="1" s="1"/>
  <c r="L16" i="1" a="1"/>
  <c r="L16" i="1" s="1"/>
  <c r="L17" i="1" a="1"/>
  <c r="L17" i="1" s="1"/>
  <c r="L18" i="1" a="1"/>
  <c r="L18" i="1" s="1"/>
  <c r="L19" i="1" a="1"/>
  <c r="L19" i="1" s="1"/>
  <c r="L20" i="1" a="1"/>
  <c r="L20" i="1" s="1"/>
  <c r="L21" i="1" a="1"/>
  <c r="L21" i="1" s="1"/>
  <c r="L22" i="1" a="1"/>
  <c r="L22" i="1" s="1"/>
  <c r="L23" i="1" a="1"/>
  <c r="L23" i="1" s="1"/>
  <c r="L24" i="1" a="1"/>
  <c r="L24" i="1" s="1"/>
  <c r="L25" i="1" a="1"/>
  <c r="L25" i="1" s="1"/>
  <c r="L26" i="1" a="1"/>
  <c r="L26" i="1" s="1"/>
  <c r="L27" i="1" a="1"/>
  <c r="L27" i="1" s="1"/>
  <c r="L28" i="1" a="1"/>
  <c r="L28" i="1" s="1"/>
  <c r="L29" i="1" a="1"/>
  <c r="L29" i="1" s="1"/>
  <c r="L30" i="1" a="1"/>
  <c r="L30" i="1" s="1"/>
  <c r="L31" i="1" a="1"/>
  <c r="L31" i="1" s="1"/>
  <c r="L32" i="1" a="1"/>
  <c r="L32" i="1" s="1"/>
  <c r="L33" i="1" a="1"/>
  <c r="L33" i="1" s="1"/>
  <c r="L34" i="1" a="1"/>
  <c r="L34" i="1" s="1"/>
  <c r="L35" i="1" a="1"/>
  <c r="L35" i="1" s="1"/>
  <c r="L36" i="1" a="1"/>
  <c r="L36" i="1" s="1"/>
  <c r="L37" i="1" a="1"/>
  <c r="L37" i="1" s="1"/>
  <c r="L38" i="1" a="1"/>
  <c r="L38" i="1" s="1"/>
  <c r="L39" i="1" a="1"/>
  <c r="L39" i="1" s="1"/>
  <c r="L40" i="1" a="1"/>
  <c r="L40" i="1" s="1"/>
  <c r="L41" i="1" a="1"/>
  <c r="L41" i="1" s="1"/>
  <c r="L42" i="1" a="1"/>
  <c r="L42" i="1" s="1"/>
  <c r="L43" i="1" a="1"/>
  <c r="L43" i="1" s="1"/>
  <c r="L44" i="1" a="1"/>
  <c r="L44" i="1" s="1"/>
  <c r="L45" i="1" a="1"/>
  <c r="L45" i="1" s="1"/>
  <c r="L46" i="1" a="1"/>
  <c r="L46" i="1" s="1"/>
  <c r="L47" i="1" a="1"/>
  <c r="L47" i="1" s="1"/>
  <c r="L48" i="1" a="1"/>
  <c r="L48" i="1" s="1"/>
  <c r="L49" i="1" a="1"/>
  <c r="L49" i="1" s="1"/>
  <c r="L50" i="1" a="1"/>
  <c r="L50" i="1" s="1"/>
  <c r="L51" i="1" a="1"/>
  <c r="L51" i="1" s="1"/>
  <c r="L52" i="1" a="1"/>
  <c r="L52" i="1" s="1"/>
  <c r="L53" i="1" a="1"/>
  <c r="L53" i="1" s="1"/>
  <c r="L54" i="1" a="1"/>
  <c r="L54" i="1" s="1"/>
  <c r="L55" i="1" a="1"/>
  <c r="L55" i="1" s="1"/>
  <c r="L56" i="1" a="1"/>
  <c r="L56" i="1" s="1"/>
  <c r="L57" i="1" a="1"/>
  <c r="L57" i="1" s="1"/>
  <c r="L58" i="1" a="1"/>
  <c r="L58" i="1" s="1"/>
  <c r="L59" i="1" a="1"/>
  <c r="L59" i="1" s="1"/>
  <c r="L60" i="1" a="1"/>
  <c r="L60" i="1" s="1"/>
  <c r="L61" i="1" a="1"/>
  <c r="L61" i="1" s="1"/>
  <c r="L62" i="1" a="1"/>
  <c r="L62" i="1" s="1"/>
  <c r="L63" i="1" a="1"/>
  <c r="L63" i="1" s="1"/>
  <c r="L64" i="1" a="1"/>
  <c r="L64" i="1" s="1"/>
  <c r="L65" i="1" a="1"/>
  <c r="L65" i="1" s="1"/>
  <c r="L66" i="1" a="1"/>
  <c r="L66" i="1" s="1"/>
  <c r="L67" i="1" a="1"/>
  <c r="L67" i="1" s="1"/>
  <c r="L68" i="1" a="1"/>
  <c r="L68" i="1" s="1"/>
  <c r="L69" i="1" a="1"/>
  <c r="L69" i="1" s="1"/>
  <c r="L70" i="1" a="1"/>
  <c r="L70" i="1" s="1"/>
  <c r="L71" i="1" a="1"/>
  <c r="L71" i="1" s="1"/>
  <c r="L72" i="1" a="1"/>
  <c r="L72" i="1" s="1"/>
  <c r="L73" i="1" a="1"/>
  <c r="L73" i="1" s="1"/>
  <c r="L74" i="1" a="1"/>
  <c r="L74" i="1" s="1"/>
  <c r="L75" i="1" a="1"/>
  <c r="L75" i="1" s="1"/>
  <c r="L76" i="1" a="1"/>
  <c r="L76" i="1" s="1"/>
  <c r="L77" i="1" a="1"/>
  <c r="L77" i="1" s="1"/>
  <c r="L78" i="1" a="1"/>
  <c r="L78" i="1" s="1"/>
  <c r="L79" i="1" a="1"/>
  <c r="L79" i="1" s="1"/>
  <c r="L80" i="1" a="1"/>
  <c r="L80" i="1" s="1"/>
  <c r="L81" i="1" a="1"/>
  <c r="L81" i="1" s="1"/>
  <c r="L82" i="1" a="1"/>
  <c r="L82" i="1" s="1"/>
  <c r="L83" i="1" a="1"/>
  <c r="L83" i="1" s="1"/>
  <c r="L84" i="1" a="1"/>
  <c r="L84" i="1" s="1"/>
  <c r="L85" i="1" a="1"/>
  <c r="L85" i="1" s="1"/>
  <c r="L86" i="1" a="1"/>
  <c r="L86" i="1" s="1"/>
  <c r="L87" i="1" a="1"/>
  <c r="L87" i="1" s="1"/>
  <c r="L88" i="1" a="1"/>
  <c r="L88" i="1" s="1"/>
  <c r="L89" i="1" a="1"/>
  <c r="L89" i="1" s="1"/>
  <c r="L90" i="1" a="1"/>
  <c r="L90" i="1" s="1"/>
  <c r="L91" i="1" a="1"/>
  <c r="L91" i="1" s="1"/>
  <c r="L92" i="1" a="1"/>
  <c r="L92" i="1" s="1"/>
  <c r="L93" i="1" a="1"/>
  <c r="L93" i="1" s="1"/>
  <c r="L94" i="1" a="1"/>
  <c r="L94" i="1" s="1"/>
  <c r="L95" i="1" a="1"/>
  <c r="L95" i="1" s="1"/>
  <c r="L96" i="1" a="1"/>
  <c r="L96" i="1" s="1"/>
  <c r="L97" i="1" a="1"/>
  <c r="L97" i="1" s="1"/>
  <c r="L98" i="1" a="1"/>
  <c r="L98" i="1" s="1"/>
  <c r="L99" i="1" a="1"/>
  <c r="L99" i="1" s="1"/>
  <c r="L100" i="1" a="1"/>
  <c r="L100" i="1" s="1"/>
  <c r="L101" i="1" a="1"/>
  <c r="L101" i="1" s="1"/>
  <c r="L102" i="1" a="1"/>
  <c r="L102" i="1" s="1"/>
  <c r="L103" i="1" a="1"/>
  <c r="L103" i="1" s="1"/>
  <c r="L104" i="1" a="1"/>
  <c r="L104" i="1" s="1"/>
  <c r="L105" i="1" a="1"/>
  <c r="L105" i="1" s="1"/>
  <c r="L106" i="1" a="1"/>
  <c r="L106" i="1" s="1"/>
  <c r="L107" i="1" a="1"/>
  <c r="L107" i="1" s="1"/>
  <c r="L108" i="1" a="1"/>
  <c r="L108" i="1" s="1"/>
  <c r="L109" i="1" a="1"/>
  <c r="L109" i="1" s="1"/>
  <c r="L110" i="1" a="1"/>
  <c r="L110" i="1" s="1"/>
  <c r="L111" i="1" a="1"/>
  <c r="L111" i="1" s="1"/>
  <c r="L112" i="1" a="1"/>
  <c r="L112" i="1" s="1"/>
  <c r="L113" i="1" a="1"/>
  <c r="L113" i="1" s="1"/>
  <c r="L114" i="1" a="1"/>
  <c r="L114" i="1" s="1"/>
  <c r="L115" i="1" a="1"/>
  <c r="L115" i="1" s="1"/>
  <c r="L116" i="1" a="1"/>
  <c r="L116" i="1" s="1"/>
  <c r="L117" i="1" a="1"/>
  <c r="L117" i="1" s="1"/>
  <c r="L118" i="1" a="1"/>
  <c r="L118" i="1" s="1"/>
  <c r="L119" i="1" a="1"/>
  <c r="L119" i="1" s="1"/>
  <c r="L120" i="1" a="1"/>
  <c r="L120" i="1" s="1"/>
  <c r="L121" i="1" a="1"/>
  <c r="L121" i="1" s="1"/>
  <c r="L122" i="1" a="1"/>
  <c r="L122" i="1" s="1"/>
  <c r="L123" i="1" a="1"/>
  <c r="L123" i="1" s="1"/>
  <c r="L124" i="1" a="1"/>
  <c r="L124" i="1" s="1"/>
  <c r="L125" i="1" a="1"/>
  <c r="L125" i="1" s="1"/>
  <c r="L126" i="1" a="1"/>
  <c r="L126" i="1" s="1"/>
  <c r="L127" i="1" a="1"/>
  <c r="L127" i="1" s="1"/>
  <c r="L128" i="1" a="1"/>
  <c r="L128" i="1" s="1"/>
  <c r="L129" i="1" a="1"/>
  <c r="L129" i="1" s="1"/>
  <c r="L130" i="1" a="1"/>
  <c r="L130" i="1" s="1"/>
  <c r="L131" i="1" a="1"/>
  <c r="L131" i="1" s="1"/>
  <c r="L132" i="1" a="1"/>
  <c r="L132" i="1" s="1"/>
  <c r="L133" i="1" a="1"/>
  <c r="L133" i="1" s="1"/>
  <c r="L134" i="1" a="1"/>
  <c r="L134" i="1" s="1"/>
  <c r="L135" i="1" a="1"/>
  <c r="L135" i="1" s="1"/>
  <c r="L136" i="1" a="1"/>
  <c r="L136" i="1" s="1"/>
  <c r="L137" i="1" a="1"/>
  <c r="L137" i="1" s="1"/>
  <c r="L138" i="1" a="1"/>
  <c r="L138" i="1" s="1"/>
  <c r="L139" i="1" a="1"/>
  <c r="L139" i="1" s="1"/>
  <c r="L140" i="1" a="1"/>
  <c r="L140" i="1" s="1"/>
  <c r="L141" i="1" a="1"/>
  <c r="L141" i="1" s="1"/>
  <c r="L142" i="1" a="1"/>
  <c r="L142" i="1" s="1"/>
  <c r="L143" i="1" a="1"/>
  <c r="L143" i="1" s="1"/>
  <c r="L144" i="1" a="1"/>
  <c r="L144" i="1" s="1"/>
  <c r="L145" i="1" a="1"/>
  <c r="L145" i="1" s="1"/>
  <c r="L146" i="1" a="1"/>
  <c r="L146" i="1" s="1"/>
  <c r="L147" i="1" a="1"/>
  <c r="L147" i="1" s="1"/>
  <c r="L148" i="1" a="1"/>
  <c r="L148" i="1" s="1"/>
  <c r="L149" i="1" a="1"/>
  <c r="L149" i="1" s="1"/>
  <c r="L150" i="1" a="1"/>
  <c r="L150" i="1" s="1"/>
  <c r="L151" i="1" a="1"/>
  <c r="L151" i="1" s="1"/>
  <c r="L152" i="1" a="1"/>
  <c r="L152" i="1" s="1"/>
  <c r="L153" i="1" a="1"/>
  <c r="L153" i="1" s="1"/>
  <c r="L154" i="1" a="1"/>
  <c r="L154" i="1" s="1"/>
  <c r="L155" i="1" a="1"/>
  <c r="L155" i="1" s="1"/>
  <c r="L156" i="1" a="1"/>
  <c r="L156" i="1" s="1"/>
  <c r="L157" i="1" a="1"/>
  <c r="L157" i="1" s="1"/>
  <c r="L158" i="1" a="1"/>
  <c r="L158" i="1" s="1"/>
  <c r="L159" i="1" a="1"/>
  <c r="L159" i="1" s="1"/>
  <c r="L160" i="1" a="1"/>
  <c r="L160" i="1" s="1"/>
  <c r="L161" i="1" a="1"/>
  <c r="L161" i="1" s="1"/>
  <c r="L162" i="1" a="1"/>
  <c r="L162" i="1" s="1"/>
  <c r="L163" i="1" a="1"/>
  <c r="L163" i="1" s="1"/>
  <c r="L164" i="1" a="1"/>
  <c r="L164" i="1" s="1"/>
  <c r="L165" i="1" a="1"/>
  <c r="L165" i="1" s="1"/>
  <c r="L166" i="1" a="1"/>
  <c r="L166" i="1" s="1"/>
  <c r="L167" i="1" a="1"/>
  <c r="L167" i="1" s="1"/>
  <c r="L168" i="1" a="1"/>
  <c r="L168" i="1" s="1"/>
  <c r="L169" i="1" a="1"/>
  <c r="L169" i="1" s="1"/>
  <c r="L170" i="1" a="1"/>
  <c r="L170" i="1" s="1"/>
  <c r="L171" i="1" a="1"/>
  <c r="L171" i="1" s="1"/>
  <c r="L172" i="1" a="1"/>
  <c r="L172" i="1" s="1"/>
  <c r="L173" i="1" a="1"/>
  <c r="L173" i="1" s="1"/>
  <c r="L174" i="1" a="1"/>
  <c r="L174" i="1" s="1"/>
  <c r="L175" i="1" a="1"/>
  <c r="L175" i="1" s="1"/>
  <c r="L176" i="1" a="1"/>
  <c r="L176" i="1" s="1"/>
  <c r="L177" i="1" a="1"/>
  <c r="L177" i="1" s="1"/>
  <c r="L178" i="1" a="1"/>
  <c r="L178" i="1" s="1"/>
  <c r="L179" i="1" a="1"/>
  <c r="L179" i="1" s="1"/>
  <c r="L180" i="1" a="1"/>
  <c r="L180" i="1" s="1"/>
  <c r="L181" i="1" a="1"/>
  <c r="L181" i="1" s="1"/>
  <c r="L182" i="1" a="1"/>
  <c r="L182" i="1" s="1"/>
  <c r="L183" i="1" a="1"/>
  <c r="L183" i="1" s="1"/>
  <c r="L184" i="1" a="1"/>
  <c r="L184" i="1" s="1"/>
  <c r="L185" i="1" a="1"/>
  <c r="L185" i="1" s="1"/>
  <c r="L186" i="1" a="1"/>
  <c r="L186" i="1" s="1"/>
  <c r="L187" i="1" a="1"/>
  <c r="L187" i="1" s="1"/>
  <c r="L188" i="1" a="1"/>
  <c r="L188" i="1" s="1"/>
  <c r="L189" i="1" a="1"/>
  <c r="L189" i="1" s="1"/>
  <c r="L190" i="1" a="1"/>
  <c r="L190" i="1" s="1"/>
  <c r="L191" i="1" a="1"/>
  <c r="L191" i="1" s="1"/>
  <c r="L192" i="1" a="1"/>
  <c r="L192" i="1" s="1"/>
  <c r="L193" i="1" a="1"/>
  <c r="L193" i="1" s="1"/>
  <c r="L194" i="1" a="1"/>
  <c r="L194" i="1" s="1"/>
  <c r="L195" i="1" a="1"/>
  <c r="L195" i="1" s="1"/>
  <c r="L196" i="1" a="1"/>
  <c r="L196" i="1" s="1"/>
  <c r="L197" i="1" a="1"/>
  <c r="L197" i="1" s="1"/>
  <c r="L198" i="1" a="1"/>
  <c r="L198" i="1" s="1"/>
  <c r="L199" i="1" a="1"/>
  <c r="L199" i="1" s="1"/>
  <c r="L200" i="1" a="1"/>
  <c r="L200" i="1" s="1"/>
  <c r="L201" i="1" a="1"/>
  <c r="L201" i="1" s="1"/>
  <c r="L202" i="1" a="1"/>
  <c r="L202" i="1" s="1"/>
  <c r="L203" i="1" a="1"/>
  <c r="L203" i="1" s="1"/>
  <c r="L204" i="1" a="1"/>
  <c r="L204" i="1" s="1"/>
  <c r="L205" i="1" a="1"/>
  <c r="L205" i="1" s="1"/>
  <c r="L206" i="1" a="1"/>
  <c r="L206" i="1" s="1"/>
  <c r="L207" i="1" a="1"/>
  <c r="L207" i="1" s="1"/>
  <c r="L208" i="1" a="1"/>
  <c r="L208" i="1" s="1"/>
  <c r="L209" i="1" a="1"/>
  <c r="L209" i="1" s="1"/>
  <c r="L210" i="1" a="1"/>
  <c r="L210" i="1" s="1"/>
  <c r="L211" i="1" a="1"/>
  <c r="L211" i="1" s="1"/>
  <c r="L212" i="1" a="1"/>
  <c r="L212" i="1" s="1"/>
  <c r="L213" i="1" a="1"/>
  <c r="L213" i="1" s="1"/>
  <c r="L214" i="1" a="1"/>
  <c r="L214" i="1" s="1"/>
  <c r="L215" i="1" a="1"/>
  <c r="L215" i="1" s="1"/>
  <c r="L216" i="1" a="1"/>
  <c r="L216" i="1" s="1"/>
  <c r="L217" i="1" a="1"/>
  <c r="L217" i="1" s="1"/>
  <c r="L218" i="1" a="1"/>
  <c r="L218" i="1" s="1"/>
  <c r="L219" i="1" a="1"/>
  <c r="L219" i="1" s="1"/>
  <c r="L220" i="1" a="1"/>
  <c r="L220" i="1" s="1"/>
  <c r="L221" i="1" a="1"/>
  <c r="L221" i="1" s="1"/>
  <c r="L222" i="1" a="1"/>
  <c r="L222" i="1" s="1"/>
  <c r="L223" i="1" a="1"/>
  <c r="L223" i="1" s="1"/>
  <c r="L224" i="1" a="1"/>
  <c r="L224" i="1" s="1"/>
  <c r="L225" i="1" a="1"/>
  <c r="L225" i="1" s="1"/>
  <c r="L226" i="1" a="1"/>
  <c r="L226" i="1" s="1"/>
  <c r="L227" i="1" a="1"/>
  <c r="L227" i="1" s="1"/>
  <c r="L228" i="1" a="1"/>
  <c r="L228" i="1" s="1"/>
  <c r="L229" i="1" a="1"/>
  <c r="L229" i="1" s="1"/>
  <c r="L230" i="1" a="1"/>
  <c r="L230" i="1" s="1"/>
  <c r="L231" i="1" a="1"/>
  <c r="L231" i="1" s="1"/>
  <c r="L232" i="1" a="1"/>
  <c r="L232" i="1" s="1"/>
  <c r="L233" i="1" a="1"/>
  <c r="L233" i="1" s="1"/>
  <c r="L234" i="1" a="1"/>
  <c r="L234" i="1" s="1"/>
  <c r="L235" i="1" a="1"/>
  <c r="L235" i="1" s="1"/>
  <c r="L236" i="1" a="1"/>
  <c r="L236" i="1" s="1"/>
  <c r="L237" i="1" a="1"/>
  <c r="L237" i="1" s="1"/>
  <c r="L238" i="1" a="1"/>
  <c r="L238" i="1" s="1"/>
  <c r="L239" i="1" a="1"/>
  <c r="L239" i="1" s="1"/>
  <c r="L240" i="1" a="1"/>
  <c r="L240" i="1" s="1"/>
  <c r="L241" i="1" a="1"/>
  <c r="L241" i="1" s="1"/>
  <c r="L242" i="1" a="1"/>
  <c r="L242" i="1" s="1"/>
  <c r="L243" i="1" a="1"/>
  <c r="L243" i="1" s="1"/>
  <c r="L244" i="1" a="1"/>
  <c r="L244" i="1" s="1"/>
  <c r="L245" i="1" a="1"/>
  <c r="L245" i="1" s="1"/>
  <c r="L246" i="1" a="1"/>
  <c r="L246" i="1" s="1"/>
  <c r="L247" i="1" a="1"/>
  <c r="L247" i="1" s="1"/>
  <c r="L248" i="1" a="1"/>
  <c r="L248" i="1" s="1"/>
  <c r="L249" i="1" a="1"/>
  <c r="L249" i="1" s="1"/>
  <c r="L250" i="1" a="1"/>
  <c r="L250" i="1" s="1"/>
  <c r="L251" i="1" a="1"/>
  <c r="L251" i="1" s="1"/>
  <c r="L252" i="1" a="1"/>
  <c r="L252" i="1" s="1"/>
  <c r="L253" i="1" a="1"/>
  <c r="L253" i="1" s="1"/>
  <c r="L254" i="1" a="1"/>
  <c r="L254" i="1" s="1"/>
  <c r="L255" i="1" a="1"/>
  <c r="L255" i="1" s="1"/>
  <c r="L256" i="1" a="1"/>
  <c r="L256" i="1" s="1"/>
  <c r="L257" i="1" a="1"/>
  <c r="L257" i="1" s="1"/>
  <c r="L258" i="1" a="1"/>
  <c r="L258" i="1" s="1"/>
  <c r="L259" i="1" a="1"/>
  <c r="L259" i="1" s="1"/>
  <c r="L260" i="1" a="1"/>
  <c r="L260" i="1" s="1"/>
  <c r="L261" i="1" a="1"/>
  <c r="L261" i="1" s="1"/>
  <c r="L262" i="1" a="1"/>
  <c r="L262" i="1" s="1"/>
  <c r="L263" i="1" a="1"/>
  <c r="L263" i="1" s="1"/>
  <c r="L264" i="1" a="1"/>
  <c r="L264" i="1" s="1"/>
  <c r="L265" i="1" a="1"/>
  <c r="L265" i="1" s="1"/>
  <c r="L266" i="1" a="1"/>
  <c r="L266" i="1" s="1"/>
  <c r="L267" i="1" a="1"/>
  <c r="L267" i="1" s="1"/>
  <c r="L268" i="1" a="1"/>
  <c r="L268" i="1" s="1"/>
  <c r="L269" i="1" a="1"/>
  <c r="L269" i="1" s="1"/>
  <c r="L270" i="1" a="1"/>
  <c r="L270" i="1" s="1"/>
  <c r="L271" i="1" a="1"/>
  <c r="L271" i="1" s="1"/>
  <c r="L272" i="1" a="1"/>
  <c r="L272" i="1" s="1"/>
  <c r="L273" i="1" a="1"/>
  <c r="L273" i="1" s="1"/>
  <c r="L274" i="1" a="1"/>
  <c r="L274" i="1" s="1"/>
  <c r="L275" i="1" a="1"/>
  <c r="L275" i="1" s="1"/>
  <c r="L276" i="1" a="1"/>
  <c r="L276" i="1" s="1"/>
  <c r="L277" i="1" a="1"/>
  <c r="L277" i="1" s="1"/>
  <c r="L278" i="1" a="1"/>
  <c r="L278" i="1" s="1"/>
  <c r="L279" i="1" a="1"/>
  <c r="L279" i="1" s="1"/>
  <c r="L280" i="1" a="1"/>
  <c r="L280" i="1" s="1"/>
  <c r="L281" i="1" a="1"/>
  <c r="L281" i="1" s="1"/>
  <c r="L282" i="1" a="1"/>
  <c r="L282" i="1" s="1"/>
  <c r="L283" i="1" a="1"/>
  <c r="L283" i="1" s="1"/>
  <c r="L284" i="1" a="1"/>
  <c r="L284" i="1" s="1"/>
  <c r="L285" i="1" a="1"/>
  <c r="L285" i="1" s="1"/>
  <c r="L286" i="1" a="1"/>
  <c r="L286" i="1" s="1"/>
  <c r="L287" i="1" a="1"/>
  <c r="L287" i="1" s="1"/>
  <c r="L288" i="1" a="1"/>
  <c r="L288" i="1" s="1"/>
  <c r="L289" i="1" a="1"/>
  <c r="L289" i="1" s="1"/>
  <c r="L290" i="1" a="1"/>
  <c r="L290" i="1" s="1"/>
  <c r="L291" i="1" a="1"/>
  <c r="L291" i="1" s="1"/>
  <c r="L292" i="1" a="1"/>
  <c r="L292" i="1" s="1"/>
  <c r="L293" i="1" a="1"/>
  <c r="L293" i="1" s="1"/>
  <c r="L294" i="1" a="1"/>
  <c r="L294" i="1" s="1"/>
  <c r="L295" i="1" a="1"/>
  <c r="L295" i="1" s="1"/>
  <c r="L296" i="1" a="1"/>
  <c r="L296" i="1" s="1"/>
  <c r="L297" i="1" a="1"/>
  <c r="L297" i="1" s="1"/>
  <c r="L298" i="1" a="1"/>
  <c r="L298" i="1" s="1"/>
  <c r="L299" i="1" a="1"/>
  <c r="L299" i="1" s="1"/>
  <c r="L300" i="1" a="1"/>
  <c r="L300" i="1" s="1"/>
  <c r="L301" i="1" a="1"/>
  <c r="L301" i="1" s="1"/>
  <c r="L302" i="1" a="1"/>
  <c r="L302" i="1" s="1"/>
  <c r="L303" i="1" a="1"/>
  <c r="L303" i="1" s="1"/>
  <c r="L304" i="1" a="1"/>
  <c r="L304" i="1" s="1"/>
  <c r="L305" i="1" a="1"/>
  <c r="L305" i="1" s="1"/>
  <c r="L306" i="1" a="1"/>
  <c r="L306" i="1" s="1"/>
  <c r="L307" i="1" a="1"/>
  <c r="L307" i="1" s="1"/>
  <c r="L308" i="1" a="1"/>
  <c r="L308" i="1" s="1"/>
  <c r="L309" i="1" a="1"/>
  <c r="L309" i="1" s="1"/>
  <c r="L310" i="1" a="1"/>
  <c r="L310" i="1" s="1"/>
  <c r="L311" i="1" a="1"/>
  <c r="L311" i="1" s="1"/>
  <c r="L312" i="1" a="1"/>
  <c r="L312" i="1" s="1"/>
  <c r="L313" i="1" a="1"/>
  <c r="L313" i="1" s="1"/>
  <c r="L314" i="1" a="1"/>
  <c r="L314" i="1" s="1"/>
  <c r="L315" i="1" a="1"/>
  <c r="L315" i="1" s="1"/>
  <c r="L316" i="1" a="1"/>
  <c r="L316" i="1" s="1"/>
  <c r="L317" i="1" a="1"/>
  <c r="L317" i="1" s="1"/>
  <c r="L318" i="1" a="1"/>
  <c r="L318" i="1" s="1"/>
  <c r="L319" i="1" a="1"/>
  <c r="L319" i="1" s="1"/>
  <c r="L320" i="1" a="1"/>
  <c r="L320" i="1" s="1"/>
  <c r="L321" i="1" a="1"/>
  <c r="L321" i="1" s="1"/>
  <c r="L322" i="1" a="1"/>
  <c r="L322" i="1" s="1"/>
  <c r="L323" i="1" a="1"/>
  <c r="L323" i="1" s="1"/>
  <c r="L324" i="1" a="1"/>
  <c r="L324" i="1" s="1"/>
  <c r="L325" i="1" a="1"/>
  <c r="L325" i="1" s="1"/>
  <c r="L326" i="1" a="1"/>
  <c r="L326" i="1" s="1"/>
  <c r="L327" i="1" a="1"/>
  <c r="L327" i="1" s="1"/>
  <c r="L328" i="1" a="1"/>
  <c r="L328" i="1" s="1"/>
  <c r="L329" i="1" a="1"/>
  <c r="L329" i="1" s="1"/>
  <c r="L330" i="1" a="1"/>
  <c r="L330" i="1" s="1"/>
  <c r="L331" i="1" a="1"/>
  <c r="L331" i="1" s="1"/>
  <c r="L332" i="1" a="1"/>
  <c r="L332" i="1" s="1"/>
  <c r="L333" i="1" a="1"/>
  <c r="L333" i="1" s="1"/>
  <c r="L334" i="1" a="1"/>
  <c r="L334" i="1" s="1"/>
  <c r="L335" i="1" a="1"/>
  <c r="L335" i="1" s="1"/>
  <c r="L336" i="1" a="1"/>
  <c r="L336" i="1" s="1"/>
  <c r="L337" i="1" a="1"/>
  <c r="L337" i="1" s="1"/>
  <c r="L338" i="1" a="1"/>
  <c r="L338" i="1" s="1"/>
  <c r="L339" i="1" a="1"/>
  <c r="L339" i="1" s="1"/>
  <c r="L340" i="1" a="1"/>
  <c r="L340" i="1" s="1"/>
  <c r="L341" i="1" a="1"/>
  <c r="L341" i="1" s="1"/>
  <c r="L342" i="1" a="1"/>
  <c r="L342" i="1" s="1"/>
  <c r="L343" i="1" a="1"/>
  <c r="L343" i="1" s="1"/>
  <c r="L344" i="1" a="1"/>
  <c r="L344" i="1" s="1"/>
  <c r="L345" i="1" a="1"/>
  <c r="L345" i="1" s="1"/>
  <c r="L346" i="1" a="1"/>
  <c r="L346" i="1" s="1"/>
  <c r="L347" i="1" a="1"/>
  <c r="L347" i="1" s="1"/>
  <c r="L348" i="1" a="1"/>
  <c r="L348" i="1" s="1"/>
  <c r="L349" i="1" a="1"/>
  <c r="L349" i="1" s="1"/>
  <c r="L350" i="1" a="1"/>
  <c r="L350" i="1" s="1"/>
  <c r="L351" i="1" a="1"/>
  <c r="L351" i="1" s="1"/>
  <c r="L352" i="1" a="1"/>
  <c r="L352" i="1" s="1"/>
  <c r="L353" i="1" a="1"/>
  <c r="L353" i="1" s="1"/>
  <c r="L354" i="1" a="1"/>
  <c r="L354" i="1" s="1"/>
  <c r="L355" i="1" a="1"/>
  <c r="L355" i="1" s="1"/>
  <c r="L356" i="1" a="1"/>
  <c r="L356" i="1" s="1"/>
  <c r="L357" i="1" a="1"/>
  <c r="L357" i="1" s="1"/>
  <c r="L358" i="1" a="1"/>
  <c r="L358" i="1" s="1"/>
  <c r="L359" i="1" a="1"/>
  <c r="L359" i="1" s="1"/>
  <c r="L360" i="1" a="1"/>
  <c r="L360" i="1" s="1"/>
  <c r="L361" i="1" a="1"/>
  <c r="L361" i="1" s="1"/>
  <c r="L362" i="1" a="1"/>
  <c r="L362" i="1" s="1"/>
  <c r="L363" i="1" a="1"/>
  <c r="L363" i="1" s="1"/>
  <c r="L364" i="1" a="1"/>
  <c r="L364" i="1" s="1"/>
  <c r="L365" i="1" a="1"/>
  <c r="L365" i="1" s="1"/>
  <c r="L366" i="1" a="1"/>
  <c r="L366" i="1" s="1"/>
  <c r="L367" i="1" a="1"/>
  <c r="L367" i="1" s="1"/>
  <c r="L368" i="1" a="1"/>
  <c r="L368" i="1" s="1"/>
  <c r="L369" i="1" a="1"/>
  <c r="L369" i="1" s="1"/>
  <c r="L370" i="1" a="1"/>
  <c r="L370" i="1" s="1"/>
  <c r="L371" i="1" a="1"/>
  <c r="L371" i="1" s="1"/>
  <c r="L372" i="1" a="1"/>
  <c r="L372" i="1" s="1"/>
  <c r="L373" i="1" a="1"/>
  <c r="L373" i="1" s="1"/>
  <c r="L374" i="1" a="1"/>
  <c r="L374" i="1" s="1"/>
  <c r="L375" i="1" a="1"/>
  <c r="L375" i="1" s="1"/>
  <c r="L376" i="1" a="1"/>
  <c r="L376" i="1" s="1"/>
  <c r="L377" i="1" a="1"/>
  <c r="L377" i="1" s="1"/>
  <c r="L378" i="1" a="1"/>
  <c r="L378" i="1" s="1"/>
  <c r="L379" i="1" a="1"/>
  <c r="L379" i="1" s="1"/>
  <c r="L380" i="1" a="1"/>
  <c r="L380" i="1" s="1"/>
  <c r="L381" i="1" a="1"/>
  <c r="L381" i="1" s="1"/>
  <c r="L382" i="1" a="1"/>
  <c r="L382" i="1" s="1"/>
  <c r="L383" i="1" a="1"/>
  <c r="L383" i="1" s="1"/>
  <c r="L384" i="1" a="1"/>
  <c r="L384" i="1" s="1"/>
  <c r="L385" i="1" a="1"/>
  <c r="L385" i="1" s="1"/>
  <c r="L386" i="1" a="1"/>
  <c r="L386" i="1" s="1"/>
  <c r="L387" i="1" a="1"/>
  <c r="L387" i="1" s="1"/>
  <c r="L388" i="1" a="1"/>
  <c r="L388" i="1" s="1"/>
  <c r="L389" i="1" a="1"/>
  <c r="L389" i="1" s="1"/>
  <c r="L390" i="1" a="1"/>
  <c r="L390" i="1" s="1"/>
  <c r="L391" i="1" a="1"/>
  <c r="L391" i="1" s="1"/>
  <c r="L392" i="1" a="1"/>
  <c r="L392" i="1" s="1"/>
  <c r="L393" i="1" a="1"/>
  <c r="L393" i="1" s="1"/>
  <c r="L394" i="1" a="1"/>
  <c r="L394" i="1" s="1"/>
  <c r="L395" i="1" a="1"/>
  <c r="L395" i="1" s="1"/>
  <c r="L396" i="1" a="1"/>
  <c r="L396" i="1" s="1"/>
  <c r="L397" i="1" a="1"/>
  <c r="L397" i="1" s="1"/>
  <c r="L398" i="1" a="1"/>
  <c r="L398" i="1" s="1"/>
  <c r="L399" i="1" a="1"/>
  <c r="L399" i="1" s="1"/>
  <c r="L400" i="1" a="1"/>
  <c r="L400" i="1" s="1"/>
  <c r="L401" i="1" a="1"/>
  <c r="L401" i="1" s="1"/>
  <c r="L402" i="1" a="1"/>
  <c r="L402" i="1" s="1"/>
  <c r="L403" i="1" a="1"/>
  <c r="L403" i="1" s="1"/>
  <c r="L404" i="1" a="1"/>
  <c r="L404" i="1" s="1"/>
  <c r="L405" i="1" a="1"/>
  <c r="L405" i="1" s="1"/>
  <c r="L406" i="1" a="1"/>
  <c r="L406" i="1" s="1"/>
  <c r="L407" i="1" a="1"/>
  <c r="L407" i="1" s="1"/>
  <c r="L408" i="1" a="1"/>
  <c r="L408" i="1" s="1"/>
  <c r="L409" i="1" a="1"/>
  <c r="L409" i="1" s="1"/>
  <c r="L410" i="1" a="1"/>
  <c r="L410" i="1" s="1"/>
  <c r="L411" i="1" a="1"/>
  <c r="L411" i="1" s="1"/>
  <c r="L412" i="1" a="1"/>
  <c r="L412" i="1" s="1"/>
  <c r="L413" i="1" a="1"/>
  <c r="L413" i="1" s="1"/>
  <c r="L414" i="1" a="1"/>
  <c r="L414" i="1" s="1"/>
  <c r="L415" i="1" a="1"/>
  <c r="L415" i="1" s="1"/>
  <c r="L416" i="1" a="1"/>
  <c r="L416" i="1" s="1"/>
  <c r="L417" i="1" a="1"/>
  <c r="L417" i="1" s="1"/>
  <c r="L418" i="1" a="1"/>
  <c r="L418" i="1" s="1"/>
  <c r="L419" i="1" a="1"/>
  <c r="L419" i="1" s="1"/>
  <c r="L420" i="1" a="1"/>
  <c r="L420" i="1" s="1"/>
  <c r="L421" i="1" a="1"/>
  <c r="L421" i="1" s="1"/>
  <c r="L422" i="1" a="1"/>
  <c r="L422" i="1" s="1"/>
  <c r="L423" i="1" a="1"/>
  <c r="L423" i="1" s="1"/>
  <c r="L424" i="1" a="1"/>
  <c r="L424" i="1" s="1"/>
  <c r="L425" i="1" a="1"/>
  <c r="L425" i="1" s="1"/>
  <c r="L426" i="1" a="1"/>
  <c r="L426" i="1" s="1"/>
  <c r="L427" i="1" a="1"/>
  <c r="L427" i="1" s="1"/>
  <c r="L428" i="1" a="1"/>
  <c r="L428" i="1" s="1"/>
  <c r="L429" i="1" a="1"/>
  <c r="L429" i="1" s="1"/>
  <c r="L430" i="1" a="1"/>
  <c r="L430" i="1" s="1"/>
  <c r="L431" i="1" a="1"/>
  <c r="L431" i="1" s="1"/>
  <c r="L432" i="1" a="1"/>
  <c r="L432" i="1" s="1"/>
  <c r="L433" i="1" a="1"/>
  <c r="L433" i="1" s="1"/>
  <c r="L434" i="1" a="1"/>
  <c r="L434" i="1" s="1"/>
  <c r="L435" i="1" a="1"/>
  <c r="L435" i="1" s="1"/>
  <c r="L436" i="1" a="1"/>
  <c r="L436" i="1" s="1"/>
  <c r="L437" i="1" a="1"/>
  <c r="L437" i="1" s="1"/>
  <c r="L438" i="1" a="1"/>
  <c r="L438" i="1" s="1"/>
  <c r="L439" i="1" a="1"/>
  <c r="L439" i="1" s="1"/>
  <c r="L440" i="1" a="1"/>
  <c r="L440" i="1" s="1"/>
  <c r="L441" i="1" a="1"/>
  <c r="L441" i="1" s="1"/>
  <c r="L442" i="1" a="1"/>
  <c r="L442" i="1" s="1"/>
  <c r="L443" i="1" a="1"/>
  <c r="L443" i="1" s="1"/>
  <c r="L444" i="1" a="1"/>
  <c r="L444" i="1" s="1"/>
  <c r="L445" i="1" a="1"/>
  <c r="L445" i="1" s="1"/>
  <c r="L446" i="1" a="1"/>
  <c r="L446" i="1" s="1"/>
  <c r="L447" i="1" a="1"/>
  <c r="L447" i="1" s="1"/>
  <c r="L448" i="1" a="1"/>
  <c r="L448" i="1" s="1"/>
  <c r="L449" i="1" a="1"/>
  <c r="L449" i="1" s="1"/>
  <c r="L450" i="1" a="1"/>
  <c r="L450" i="1" s="1"/>
  <c r="L451" i="1" a="1"/>
  <c r="L451" i="1" s="1"/>
  <c r="L452" i="1" a="1"/>
  <c r="L452" i="1" s="1"/>
  <c r="L453" i="1" a="1"/>
  <c r="L453" i="1" s="1"/>
  <c r="L454" i="1" a="1"/>
  <c r="L454" i="1" s="1"/>
  <c r="L455" i="1" a="1"/>
  <c r="L455" i="1" s="1"/>
  <c r="L456" i="1" a="1"/>
  <c r="L456" i="1" s="1"/>
  <c r="L457" i="1" a="1"/>
  <c r="L457" i="1" s="1"/>
  <c r="L458" i="1" a="1"/>
  <c r="L458" i="1" s="1"/>
  <c r="L459" i="1" a="1"/>
  <c r="L459" i="1" s="1"/>
  <c r="L460" i="1" a="1"/>
  <c r="L460" i="1" s="1"/>
  <c r="L461" i="1" a="1"/>
  <c r="L461" i="1" s="1"/>
  <c r="L462" i="1" a="1"/>
  <c r="L462" i="1" s="1"/>
  <c r="L463" i="1" a="1"/>
  <c r="L463" i="1" s="1"/>
  <c r="L464" i="1" a="1"/>
  <c r="L464" i="1" s="1"/>
  <c r="L465" i="1" a="1"/>
  <c r="L465" i="1" s="1"/>
  <c r="L466" i="1" a="1"/>
  <c r="L466" i="1" s="1"/>
  <c r="L467" i="1" a="1"/>
  <c r="L467" i="1" s="1"/>
  <c r="L468" i="1" a="1"/>
  <c r="L468" i="1" s="1"/>
  <c r="L469" i="1" a="1"/>
  <c r="L469" i="1" s="1"/>
  <c r="L470" i="1" a="1"/>
  <c r="L470" i="1" s="1"/>
  <c r="L471" i="1" a="1"/>
  <c r="L471" i="1" s="1"/>
  <c r="L472" i="1" a="1"/>
  <c r="L472" i="1" s="1"/>
  <c r="L473" i="1" a="1"/>
  <c r="L473" i="1" s="1"/>
  <c r="L474" i="1" a="1"/>
  <c r="L474" i="1" s="1"/>
  <c r="L475" i="1" a="1"/>
  <c r="L475" i="1" s="1"/>
  <c r="L476" i="1" a="1"/>
  <c r="L476" i="1" s="1"/>
  <c r="L477" i="1" a="1"/>
  <c r="L477" i="1" s="1"/>
  <c r="L478" i="1" a="1"/>
  <c r="L478" i="1" s="1"/>
  <c r="L479" i="1" a="1"/>
  <c r="L479" i="1" s="1"/>
  <c r="L480" i="1" a="1"/>
  <c r="L480" i="1" s="1"/>
  <c r="L481" i="1" a="1"/>
  <c r="L481" i="1" s="1"/>
  <c r="L482" i="1" a="1"/>
  <c r="L482" i="1" s="1"/>
  <c r="L483" i="1" a="1"/>
  <c r="L483" i="1" s="1"/>
  <c r="L484" i="1" a="1"/>
  <c r="L484" i="1" s="1"/>
  <c r="L485" i="1" a="1"/>
  <c r="L485" i="1" s="1"/>
  <c r="L486" i="1" a="1"/>
  <c r="L486" i="1" s="1"/>
  <c r="L487" i="1" a="1"/>
  <c r="L487" i="1" s="1"/>
  <c r="L488" i="1" a="1"/>
  <c r="L488" i="1" s="1"/>
  <c r="L489" i="1" a="1"/>
  <c r="L489" i="1" s="1"/>
  <c r="L490" i="1" a="1"/>
  <c r="L490" i="1" s="1"/>
  <c r="L491" i="1" a="1"/>
  <c r="L491" i="1" s="1"/>
  <c r="L492" i="1" a="1"/>
  <c r="L492" i="1" s="1"/>
  <c r="L493" i="1" a="1"/>
  <c r="L493" i="1" s="1"/>
  <c r="L494" i="1" a="1"/>
  <c r="L494" i="1" s="1"/>
  <c r="L495" i="1" a="1"/>
  <c r="L495" i="1" s="1"/>
  <c r="L496" i="1" a="1"/>
  <c r="L496" i="1" s="1"/>
  <c r="L497" i="1" a="1"/>
  <c r="L497" i="1" s="1"/>
  <c r="L498" i="1" a="1"/>
  <c r="L498" i="1" s="1"/>
  <c r="L499" i="1" a="1"/>
  <c r="L499" i="1" s="1"/>
  <c r="L500" i="1" a="1"/>
  <c r="L500" i="1" s="1"/>
  <c r="L501" i="1" a="1"/>
  <c r="L501" i="1" s="1"/>
  <c r="L502" i="1" a="1"/>
  <c r="L502" i="1" s="1"/>
  <c r="L503" i="1" a="1"/>
  <c r="L503" i="1" s="1"/>
  <c r="L504" i="1" a="1"/>
  <c r="L504" i="1" s="1"/>
  <c r="L505" i="1" a="1"/>
  <c r="L505" i="1" s="1"/>
  <c r="L506" i="1" a="1"/>
  <c r="L506" i="1" s="1"/>
  <c r="L507" i="1" a="1"/>
  <c r="L507" i="1" s="1"/>
  <c r="L508" i="1" a="1"/>
  <c r="L508" i="1" s="1"/>
  <c r="L509" i="1" a="1"/>
  <c r="L509" i="1" s="1"/>
  <c r="L510" i="1" a="1"/>
  <c r="L510" i="1" s="1"/>
  <c r="L511" i="1" a="1"/>
  <c r="L511" i="1" s="1"/>
  <c r="L512" i="1" a="1"/>
  <c r="L512" i="1" s="1"/>
  <c r="L513" i="1" a="1"/>
  <c r="L513" i="1" s="1"/>
  <c r="L514" i="1" a="1"/>
  <c r="L514" i="1" s="1"/>
  <c r="L515" i="1" a="1"/>
  <c r="L515" i="1" s="1"/>
  <c r="L516" i="1" a="1"/>
  <c r="L516" i="1" s="1"/>
  <c r="L517" i="1" a="1"/>
  <c r="L517" i="1" s="1"/>
  <c r="L518" i="1" a="1"/>
  <c r="L518" i="1" s="1"/>
  <c r="L519" i="1" a="1"/>
  <c r="L519" i="1" s="1"/>
  <c r="L520" i="1" a="1"/>
  <c r="L520" i="1" s="1"/>
  <c r="L521" i="1" a="1"/>
  <c r="L521" i="1" s="1"/>
  <c r="L522" i="1" a="1"/>
  <c r="L522" i="1" s="1"/>
  <c r="L523" i="1" a="1"/>
  <c r="L523" i="1" s="1"/>
  <c r="L524" i="1" a="1"/>
  <c r="L524" i="1" s="1"/>
  <c r="L525" i="1" a="1"/>
  <c r="L525" i="1" s="1"/>
  <c r="L526" i="1" a="1"/>
  <c r="L526" i="1" s="1"/>
  <c r="L527" i="1" a="1"/>
  <c r="L527" i="1" s="1"/>
  <c r="L528" i="1" a="1"/>
  <c r="L528" i="1" s="1"/>
  <c r="L529" i="1" a="1"/>
  <c r="L529" i="1" s="1"/>
  <c r="L530" i="1" a="1"/>
  <c r="L530" i="1" s="1"/>
  <c r="L531" i="1" a="1"/>
  <c r="L531" i="1" s="1"/>
  <c r="L532" i="1" a="1"/>
  <c r="L532" i="1" s="1"/>
  <c r="L533" i="1" a="1"/>
  <c r="L533" i="1" s="1"/>
  <c r="L534" i="1" a="1"/>
  <c r="L534" i="1" s="1"/>
  <c r="L535" i="1" a="1"/>
  <c r="L535" i="1" s="1"/>
  <c r="L536" i="1" a="1"/>
  <c r="L536" i="1" s="1"/>
  <c r="L537" i="1" a="1"/>
  <c r="L537" i="1" s="1"/>
  <c r="L538" i="1" a="1"/>
  <c r="L538" i="1" s="1"/>
  <c r="L539" i="1" a="1"/>
  <c r="L539" i="1" s="1"/>
  <c r="L540" i="1" a="1"/>
  <c r="L540" i="1" s="1"/>
  <c r="L541" i="1" a="1"/>
  <c r="L541" i="1" s="1"/>
  <c r="L542" i="1" a="1"/>
  <c r="L542" i="1" s="1"/>
  <c r="L543" i="1" a="1"/>
  <c r="L543" i="1" s="1"/>
  <c r="L544" i="1" a="1"/>
  <c r="L544" i="1" s="1"/>
  <c r="L545" i="1" a="1"/>
  <c r="L545" i="1" s="1"/>
  <c r="L546" i="1" a="1"/>
  <c r="L546" i="1" s="1"/>
  <c r="L547" i="1" a="1"/>
  <c r="L547" i="1" s="1"/>
  <c r="L548" i="1" a="1"/>
  <c r="L548" i="1" s="1"/>
  <c r="L549" i="1" a="1"/>
  <c r="L549" i="1" s="1"/>
  <c r="L550" i="1" a="1"/>
  <c r="L550" i="1" s="1"/>
  <c r="L551" i="1" a="1"/>
  <c r="L551" i="1" s="1"/>
  <c r="L552" i="1" a="1"/>
  <c r="L552" i="1" s="1"/>
  <c r="L553" i="1" a="1"/>
  <c r="L553" i="1" s="1"/>
  <c r="L554" i="1" a="1"/>
  <c r="L554" i="1" s="1"/>
  <c r="L555" i="1" a="1"/>
  <c r="L555" i="1" s="1"/>
  <c r="L556" i="1" a="1"/>
  <c r="L556" i="1" s="1"/>
  <c r="L557" i="1" a="1"/>
  <c r="L557" i="1" s="1"/>
  <c r="L558" i="1" a="1"/>
  <c r="L558" i="1" s="1"/>
  <c r="L559" i="1" a="1"/>
  <c r="L559" i="1" s="1"/>
  <c r="L560" i="1" a="1"/>
  <c r="L560" i="1" s="1"/>
  <c r="L561" i="1" a="1"/>
  <c r="L561" i="1" s="1"/>
  <c r="L562" i="1" a="1"/>
  <c r="L562" i="1" s="1"/>
  <c r="L563" i="1" a="1"/>
  <c r="L563" i="1" s="1"/>
  <c r="L564" i="1" a="1"/>
  <c r="L564" i="1" s="1"/>
  <c r="L565" i="1" a="1"/>
  <c r="L565" i="1" s="1"/>
  <c r="L566" i="1" a="1"/>
  <c r="L566" i="1" s="1"/>
  <c r="L567" i="1" a="1"/>
  <c r="L567" i="1" s="1"/>
  <c r="L568" i="1" a="1"/>
  <c r="L568" i="1" s="1"/>
  <c r="L569" i="1" a="1"/>
  <c r="L569" i="1" s="1"/>
  <c r="L570" i="1" a="1"/>
  <c r="L570" i="1" s="1"/>
  <c r="L571" i="1" a="1"/>
  <c r="L571" i="1" s="1"/>
  <c r="L572" i="1" a="1"/>
  <c r="L572" i="1" s="1"/>
  <c r="L573" i="1" a="1"/>
  <c r="L573" i="1" s="1"/>
  <c r="L574" i="1" a="1"/>
  <c r="L574" i="1" s="1"/>
  <c r="L575" i="1" a="1"/>
  <c r="L575" i="1" s="1"/>
  <c r="L576" i="1" a="1"/>
  <c r="L576" i="1" s="1"/>
  <c r="L577" i="1" a="1"/>
  <c r="L577" i="1" s="1"/>
  <c r="L578" i="1" a="1"/>
  <c r="L578" i="1" s="1"/>
  <c r="L579" i="1" a="1"/>
  <c r="L579" i="1" s="1"/>
  <c r="L580" i="1" a="1"/>
  <c r="L580" i="1" s="1"/>
  <c r="L581" i="1" a="1"/>
  <c r="L581" i="1" s="1"/>
  <c r="L582" i="1" a="1"/>
  <c r="L582" i="1" s="1"/>
  <c r="L583" i="1" a="1"/>
  <c r="L583" i="1" s="1"/>
  <c r="L584" i="1" a="1"/>
  <c r="L584" i="1" s="1"/>
  <c r="L585" i="1" a="1"/>
  <c r="L585" i="1" s="1"/>
  <c r="L586" i="1" a="1"/>
  <c r="L586" i="1" s="1"/>
  <c r="L587" i="1" a="1"/>
  <c r="L587" i="1" s="1"/>
  <c r="L588" i="1" a="1"/>
  <c r="L588" i="1" s="1"/>
  <c r="L589" i="1" a="1"/>
  <c r="L589" i="1" s="1"/>
  <c r="L590" i="1" a="1"/>
  <c r="L590" i="1" s="1"/>
  <c r="L591" i="1" a="1"/>
  <c r="L591" i="1" s="1"/>
  <c r="L592" i="1" a="1"/>
  <c r="L592" i="1" s="1"/>
  <c r="L593" i="1" a="1"/>
  <c r="L593" i="1" s="1"/>
  <c r="L594" i="1" a="1"/>
  <c r="L594" i="1" s="1"/>
  <c r="L595" i="1" a="1"/>
  <c r="L595" i="1" s="1"/>
  <c r="L596" i="1" a="1"/>
  <c r="L596" i="1" s="1"/>
  <c r="L597" i="1" a="1"/>
  <c r="L597" i="1" s="1"/>
  <c r="L598" i="1" a="1"/>
  <c r="L598" i="1" s="1"/>
  <c r="L599" i="1" a="1"/>
  <c r="L599" i="1" s="1"/>
  <c r="L600" i="1" a="1"/>
  <c r="L600" i="1" s="1"/>
  <c r="L601" i="1" a="1"/>
  <c r="L601" i="1" s="1"/>
  <c r="L602" i="1" a="1"/>
  <c r="L602" i="1" s="1"/>
  <c r="L603" i="1" a="1"/>
  <c r="L603" i="1" s="1"/>
  <c r="L604" i="1" a="1"/>
  <c r="L604" i="1" s="1"/>
  <c r="L605" i="1" a="1"/>
  <c r="L605" i="1" s="1"/>
  <c r="L606" i="1" a="1"/>
  <c r="L606" i="1" s="1"/>
  <c r="L607" i="1" a="1"/>
  <c r="L607" i="1" s="1"/>
  <c r="L608" i="1" a="1"/>
  <c r="L608" i="1" s="1"/>
  <c r="L609" i="1" a="1"/>
  <c r="L609" i="1" s="1"/>
  <c r="L610" i="1" a="1"/>
  <c r="L610" i="1" s="1"/>
  <c r="L611" i="1" a="1"/>
  <c r="L611" i="1" s="1"/>
  <c r="L612" i="1" a="1"/>
  <c r="L612" i="1" s="1"/>
  <c r="L613" i="1" a="1"/>
  <c r="L613" i="1" s="1"/>
  <c r="L614" i="1" a="1"/>
  <c r="L614" i="1" s="1"/>
  <c r="L615" i="1" a="1"/>
  <c r="L615" i="1" s="1"/>
  <c r="L616" i="1" a="1"/>
  <c r="L616" i="1" s="1"/>
  <c r="L617" i="1" a="1"/>
  <c r="L617" i="1" s="1"/>
  <c r="L618" i="1" a="1"/>
  <c r="L618" i="1" s="1"/>
  <c r="L619" i="1" a="1"/>
  <c r="L619" i="1" s="1"/>
  <c r="L620" i="1" a="1"/>
  <c r="L620" i="1" s="1"/>
  <c r="L621" i="1" a="1"/>
  <c r="L621" i="1" s="1"/>
  <c r="L622" i="1" a="1"/>
  <c r="L622" i="1" s="1"/>
  <c r="L623" i="1" a="1"/>
  <c r="L623" i="1" s="1"/>
  <c r="L624" i="1" a="1"/>
  <c r="L624" i="1" s="1"/>
  <c r="L625" i="1" a="1"/>
  <c r="L625" i="1" s="1"/>
  <c r="L626" i="1" a="1"/>
  <c r="L626" i="1" s="1"/>
  <c r="L627" i="1" a="1"/>
  <c r="L627" i="1" s="1"/>
  <c r="L628" i="1" a="1"/>
  <c r="L628" i="1" s="1"/>
  <c r="L629" i="1" a="1"/>
  <c r="L629" i="1" s="1"/>
  <c r="L630" i="1" a="1"/>
  <c r="L630" i="1" s="1"/>
  <c r="L631" i="1" a="1"/>
  <c r="L631" i="1" s="1"/>
  <c r="L632" i="1" a="1"/>
  <c r="L632" i="1" s="1"/>
  <c r="L633" i="1" a="1"/>
  <c r="L633" i="1" s="1"/>
  <c r="L634" i="1" a="1"/>
  <c r="L634" i="1" s="1"/>
  <c r="L635" i="1" a="1"/>
  <c r="L635" i="1" s="1"/>
  <c r="L636" i="1" a="1"/>
  <c r="L636" i="1" s="1"/>
  <c r="L637" i="1" a="1"/>
  <c r="L637" i="1" s="1"/>
  <c r="L638" i="1" a="1"/>
  <c r="L638" i="1" s="1"/>
  <c r="L639" i="1" a="1"/>
  <c r="L639" i="1" s="1"/>
  <c r="L640" i="1" a="1"/>
  <c r="L640" i="1" s="1"/>
  <c r="L641" i="1" a="1"/>
  <c r="L641" i="1" s="1"/>
  <c r="L642" i="1" a="1"/>
  <c r="L642" i="1" s="1"/>
  <c r="L643" i="1" a="1"/>
  <c r="L643" i="1" s="1"/>
  <c r="L644" i="1" a="1"/>
  <c r="L644" i="1" s="1"/>
  <c r="L645" i="1" a="1"/>
  <c r="L645" i="1" s="1"/>
  <c r="L646" i="1" a="1"/>
  <c r="L646" i="1" s="1"/>
  <c r="L647" i="1" a="1"/>
  <c r="L647" i="1" s="1"/>
  <c r="L648" i="1" a="1"/>
  <c r="L648" i="1" s="1"/>
  <c r="L649" i="1" a="1"/>
  <c r="L649" i="1" s="1"/>
  <c r="L650" i="1" a="1"/>
  <c r="L650" i="1" s="1"/>
  <c r="L651" i="1" a="1"/>
  <c r="L651" i="1" s="1"/>
  <c r="L652" i="1" a="1"/>
  <c r="L652" i="1" s="1"/>
  <c r="L653" i="1" a="1"/>
  <c r="L653" i="1" s="1"/>
  <c r="L654" i="1" a="1"/>
  <c r="L654" i="1" s="1"/>
  <c r="L655" i="1" a="1"/>
  <c r="L655" i="1" s="1"/>
  <c r="L656" i="1" a="1"/>
  <c r="L656" i="1" s="1"/>
  <c r="L657" i="1" a="1"/>
  <c r="L657" i="1" s="1"/>
  <c r="L658" i="1" a="1"/>
  <c r="L658" i="1" s="1"/>
  <c r="L659" i="1" a="1"/>
  <c r="L659" i="1" s="1"/>
  <c r="L660" i="1" a="1"/>
  <c r="L660" i="1" s="1"/>
  <c r="L661" i="1" a="1"/>
  <c r="L661" i="1" s="1"/>
  <c r="L662" i="1" a="1"/>
  <c r="L662" i="1" s="1"/>
  <c r="L663" i="1" a="1"/>
  <c r="L663" i="1" s="1"/>
  <c r="L664" i="1" a="1"/>
  <c r="L664" i="1" s="1"/>
  <c r="L665" i="1" a="1"/>
  <c r="L665" i="1" s="1"/>
  <c r="L666" i="1" a="1"/>
  <c r="L666" i="1" s="1"/>
  <c r="L667" i="1" a="1"/>
  <c r="L667" i="1" s="1"/>
  <c r="L668" i="1" a="1"/>
  <c r="L668" i="1" s="1"/>
  <c r="L669" i="1" a="1"/>
  <c r="L669" i="1" s="1"/>
  <c r="L670" i="1" a="1"/>
  <c r="L670" i="1" s="1"/>
  <c r="L671" i="1" a="1"/>
  <c r="L671" i="1" s="1"/>
  <c r="L672" i="1" a="1"/>
  <c r="L672" i="1" s="1"/>
  <c r="L673" i="1" a="1"/>
  <c r="L673" i="1" s="1"/>
  <c r="L674" i="1" a="1"/>
  <c r="L674" i="1" s="1"/>
  <c r="L675" i="1" a="1"/>
  <c r="L675" i="1" s="1"/>
  <c r="L676" i="1" a="1"/>
  <c r="L676" i="1" s="1"/>
  <c r="L677" i="1" a="1"/>
  <c r="L677" i="1" s="1"/>
  <c r="L678" i="1" a="1"/>
  <c r="L678" i="1" s="1"/>
  <c r="L679" i="1" a="1"/>
  <c r="L679" i="1" s="1"/>
  <c r="L680" i="1" a="1"/>
  <c r="L680" i="1" s="1"/>
  <c r="L681" i="1" a="1"/>
  <c r="L681" i="1" s="1"/>
  <c r="L682" i="1" a="1"/>
  <c r="L682" i="1" s="1"/>
  <c r="L683" i="1" a="1"/>
  <c r="L683" i="1" s="1"/>
  <c r="L684" i="1" a="1"/>
  <c r="L684" i="1" s="1"/>
  <c r="L685" i="1" a="1"/>
  <c r="L685" i="1" s="1"/>
  <c r="L686" i="1" a="1"/>
  <c r="L686" i="1" s="1"/>
  <c r="L687" i="1" a="1"/>
  <c r="L687" i="1" s="1"/>
  <c r="L688" i="1" a="1"/>
  <c r="L688" i="1" s="1"/>
  <c r="L689" i="1" a="1"/>
  <c r="L689" i="1" s="1"/>
  <c r="L690" i="1" a="1"/>
  <c r="L690" i="1" s="1"/>
  <c r="L691" i="1" a="1"/>
  <c r="L691" i="1" s="1"/>
  <c r="L692" i="1" a="1"/>
  <c r="L692" i="1" s="1"/>
  <c r="L693" i="1" a="1"/>
  <c r="L693" i="1" s="1"/>
  <c r="L694" i="1" a="1"/>
  <c r="L694" i="1" s="1"/>
  <c r="L695" i="1" a="1"/>
  <c r="L695" i="1" s="1"/>
  <c r="L696" i="1" a="1"/>
  <c r="L696" i="1" s="1"/>
  <c r="L697" i="1" a="1"/>
  <c r="L697" i="1" s="1"/>
  <c r="L698" i="1" a="1"/>
  <c r="L698" i="1" s="1"/>
  <c r="L699" i="1" a="1"/>
  <c r="L699" i="1" s="1"/>
  <c r="L700" i="1" a="1"/>
  <c r="L700" i="1" s="1"/>
  <c r="L701" i="1" a="1"/>
  <c r="L701" i="1" s="1"/>
  <c r="L702" i="1" a="1"/>
  <c r="L702" i="1" s="1"/>
  <c r="L703" i="1" a="1"/>
  <c r="L703" i="1" s="1"/>
  <c r="L704" i="1" a="1"/>
  <c r="L704" i="1" s="1"/>
  <c r="L705" i="1" a="1"/>
  <c r="L705" i="1" s="1"/>
  <c r="L706" i="1" a="1"/>
  <c r="L706" i="1" s="1"/>
  <c r="L707" i="1" a="1"/>
  <c r="L707" i="1" s="1"/>
  <c r="L708" i="1" a="1"/>
  <c r="L708" i="1" s="1"/>
  <c r="L709" i="1" a="1"/>
  <c r="L709" i="1" s="1"/>
  <c r="L710" i="1" a="1"/>
  <c r="L710" i="1" s="1"/>
  <c r="L711" i="1" a="1"/>
  <c r="L711" i="1" s="1"/>
  <c r="L712" i="1" a="1"/>
  <c r="L712" i="1" s="1"/>
  <c r="L713" i="1" a="1"/>
  <c r="L713" i="1" s="1"/>
  <c r="L714" i="1" a="1"/>
  <c r="L714" i="1" s="1"/>
  <c r="L715" i="1" a="1"/>
  <c r="L715" i="1" s="1"/>
  <c r="L716" i="1" a="1"/>
  <c r="L716" i="1" s="1"/>
  <c r="L717" i="1" a="1"/>
  <c r="L717" i="1" s="1"/>
  <c r="L718" i="1" a="1"/>
  <c r="L718" i="1" s="1"/>
  <c r="L719" i="1" a="1"/>
  <c r="L719" i="1" s="1"/>
  <c r="L720" i="1" a="1"/>
  <c r="L720" i="1" s="1"/>
  <c r="L721" i="1" a="1"/>
  <c r="L721" i="1" s="1"/>
  <c r="L722" i="1" a="1"/>
  <c r="L722" i="1" s="1"/>
  <c r="L723" i="1" a="1"/>
  <c r="L723" i="1" s="1"/>
  <c r="L724" i="1" a="1"/>
  <c r="L724" i="1" s="1"/>
  <c r="L725" i="1" a="1"/>
  <c r="L725" i="1" s="1"/>
  <c r="L726" i="1" a="1"/>
  <c r="L726" i="1" s="1"/>
  <c r="L727" i="1" a="1"/>
  <c r="L727" i="1" s="1"/>
  <c r="L728" i="1" a="1"/>
  <c r="L728" i="1" s="1"/>
  <c r="L729" i="1" a="1"/>
  <c r="L729" i="1" s="1"/>
  <c r="L730" i="1" a="1"/>
  <c r="L730" i="1" s="1"/>
  <c r="L731" i="1" a="1"/>
  <c r="L731" i="1" s="1"/>
  <c r="L732" i="1" a="1"/>
  <c r="L732" i="1" s="1"/>
  <c r="L733" i="1" a="1"/>
  <c r="L733" i="1" s="1"/>
  <c r="L734" i="1" a="1"/>
  <c r="L734" i="1" s="1"/>
  <c r="L735" i="1" a="1"/>
  <c r="L735" i="1" s="1"/>
  <c r="L736" i="1" a="1"/>
  <c r="L736" i="1" s="1"/>
  <c r="L737" i="1" a="1"/>
  <c r="L737" i="1" s="1"/>
  <c r="L738" i="1" a="1"/>
  <c r="L738" i="1" s="1"/>
  <c r="L739" i="1" a="1"/>
  <c r="L739" i="1" s="1"/>
  <c r="L740" i="1" a="1"/>
  <c r="L740" i="1" s="1"/>
  <c r="L741" i="1" a="1"/>
  <c r="L741" i="1" s="1"/>
  <c r="L742" i="1" a="1"/>
  <c r="L742" i="1" s="1"/>
  <c r="L743" i="1" a="1"/>
  <c r="L743" i="1" s="1"/>
  <c r="L744" i="1" a="1"/>
  <c r="L744" i="1" s="1"/>
  <c r="L745" i="1" a="1"/>
  <c r="L745" i="1" s="1"/>
  <c r="L746" i="1" a="1"/>
  <c r="L746" i="1" s="1"/>
  <c r="L747" i="1" a="1"/>
  <c r="L747" i="1" s="1"/>
  <c r="L748" i="1" a="1"/>
  <c r="L748" i="1" s="1"/>
  <c r="L749" i="1" a="1"/>
  <c r="L749" i="1" s="1"/>
  <c r="L750" i="1" a="1"/>
  <c r="L750" i="1" s="1"/>
  <c r="L751" i="1" a="1"/>
  <c r="L751" i="1" s="1"/>
  <c r="L752" i="1" a="1"/>
  <c r="L752" i="1" s="1"/>
  <c r="L753" i="1" a="1"/>
  <c r="L753" i="1" s="1"/>
  <c r="L754" i="1" a="1"/>
  <c r="L754" i="1" s="1"/>
  <c r="L755" i="1" a="1"/>
  <c r="L755" i="1" s="1"/>
  <c r="L756" i="1" a="1"/>
  <c r="L756" i="1" s="1"/>
  <c r="L757" i="1" a="1"/>
  <c r="L757" i="1" s="1"/>
  <c r="L758" i="1" a="1"/>
  <c r="L758" i="1" s="1"/>
  <c r="L759" i="1" a="1"/>
  <c r="L759" i="1" s="1"/>
  <c r="L760" i="1" a="1"/>
  <c r="L760" i="1" s="1"/>
  <c r="L761" i="1" a="1"/>
  <c r="L761" i="1" s="1"/>
  <c r="L762" i="1" a="1"/>
  <c r="L762" i="1" s="1"/>
  <c r="L763" i="1" a="1"/>
  <c r="L763" i="1" s="1"/>
  <c r="L764" i="1" a="1"/>
  <c r="L764" i="1" s="1"/>
  <c r="L765" i="1" a="1"/>
  <c r="L765" i="1" s="1"/>
  <c r="L766" i="1" a="1"/>
  <c r="L766" i="1" s="1"/>
  <c r="L767" i="1" a="1"/>
  <c r="L767" i="1" s="1"/>
  <c r="L768" i="1" a="1"/>
  <c r="L768" i="1" s="1"/>
  <c r="L769" i="1" a="1"/>
  <c r="L769" i="1" s="1"/>
  <c r="L770" i="1" a="1"/>
  <c r="L770" i="1" s="1"/>
  <c r="L771" i="1" a="1"/>
  <c r="L771" i="1" s="1"/>
  <c r="L772" i="1" a="1"/>
  <c r="L772" i="1" s="1"/>
  <c r="L773" i="1" a="1"/>
  <c r="L773" i="1" s="1"/>
  <c r="L774" i="1" a="1"/>
  <c r="L774" i="1" s="1"/>
  <c r="L775" i="1" a="1"/>
  <c r="L775" i="1" s="1"/>
  <c r="L776" i="1" a="1"/>
  <c r="L776" i="1" s="1"/>
  <c r="L777" i="1" a="1"/>
  <c r="L777" i="1" s="1"/>
  <c r="L778" i="1" a="1"/>
  <c r="L778" i="1" s="1"/>
  <c r="L779" i="1" a="1"/>
  <c r="L779" i="1" s="1"/>
  <c r="L780" i="1" a="1"/>
  <c r="L780" i="1" s="1"/>
  <c r="L781" i="1" a="1"/>
  <c r="L781" i="1" s="1"/>
  <c r="L782" i="1" a="1"/>
  <c r="L782" i="1" s="1"/>
  <c r="L783" i="1" a="1"/>
  <c r="L783" i="1" s="1"/>
  <c r="L784" i="1" a="1"/>
  <c r="L784" i="1" s="1"/>
  <c r="L785" i="1" a="1"/>
  <c r="L785" i="1" s="1"/>
  <c r="L786" i="1" a="1"/>
  <c r="L786" i="1" s="1"/>
  <c r="L787" i="1" a="1"/>
  <c r="L787" i="1" s="1"/>
  <c r="L788" i="1" a="1"/>
  <c r="L788" i="1" s="1"/>
  <c r="L789" i="1" a="1"/>
  <c r="L789" i="1" s="1"/>
  <c r="L790" i="1" a="1"/>
  <c r="L790" i="1" s="1"/>
  <c r="L791" i="1" a="1"/>
  <c r="L791" i="1" s="1"/>
  <c r="L792" i="1" a="1"/>
  <c r="L792" i="1" s="1"/>
  <c r="L793" i="1" a="1"/>
  <c r="L793" i="1" s="1"/>
  <c r="L794" i="1" a="1"/>
  <c r="L794" i="1" s="1"/>
  <c r="L795" i="1" a="1"/>
  <c r="L795" i="1" s="1"/>
  <c r="L796" i="1" a="1"/>
  <c r="L796" i="1" s="1"/>
  <c r="L797" i="1" a="1"/>
  <c r="L797" i="1" s="1"/>
  <c r="L798" i="1" a="1"/>
  <c r="L798" i="1" s="1"/>
  <c r="L799" i="1" a="1"/>
  <c r="L799" i="1" s="1"/>
  <c r="L800" i="1" a="1"/>
  <c r="L800" i="1" s="1"/>
  <c r="L801" i="1" a="1"/>
  <c r="L801" i="1" s="1"/>
  <c r="L802" i="1" a="1"/>
  <c r="L802" i="1" s="1"/>
  <c r="L803" i="1" a="1"/>
  <c r="L803" i="1" s="1"/>
  <c r="L804" i="1" a="1"/>
  <c r="L804" i="1" s="1"/>
  <c r="L805" i="1" a="1"/>
  <c r="L805" i="1" s="1"/>
  <c r="L806" i="1" a="1"/>
  <c r="L806" i="1" s="1"/>
  <c r="L807" i="1" a="1"/>
  <c r="L807" i="1" s="1"/>
  <c r="L808" i="1" a="1"/>
  <c r="L808" i="1" s="1"/>
  <c r="L809" i="1" a="1"/>
  <c r="L809" i="1" s="1"/>
  <c r="L810" i="1" a="1"/>
  <c r="L810" i="1" s="1"/>
  <c r="L811" i="1" a="1"/>
  <c r="L811" i="1" s="1"/>
  <c r="L812" i="1" a="1"/>
  <c r="L812" i="1" s="1"/>
  <c r="L813" i="1" a="1"/>
  <c r="L813" i="1" s="1"/>
  <c r="L814" i="1" a="1"/>
  <c r="L814" i="1" s="1"/>
  <c r="L815" i="1" a="1"/>
  <c r="L815" i="1" s="1"/>
  <c r="L816" i="1" a="1"/>
  <c r="L816" i="1" s="1"/>
  <c r="L817" i="1" a="1"/>
  <c r="L817" i="1" s="1"/>
  <c r="L818" i="1" a="1"/>
  <c r="L818" i="1" s="1"/>
  <c r="L819" i="1" a="1"/>
  <c r="L819" i="1" s="1"/>
  <c r="L820" i="1" a="1"/>
  <c r="L820" i="1" s="1"/>
  <c r="L821" i="1" a="1"/>
  <c r="L821" i="1" s="1"/>
  <c r="L822" i="1" a="1"/>
  <c r="L822" i="1" s="1"/>
  <c r="L823" i="1" a="1"/>
  <c r="L823" i="1" s="1"/>
  <c r="L824" i="1" a="1"/>
  <c r="L824" i="1" s="1"/>
  <c r="L825" i="1" a="1"/>
  <c r="L825" i="1" s="1"/>
  <c r="L826" i="1" a="1"/>
  <c r="L826" i="1" s="1"/>
  <c r="L827" i="1" a="1"/>
  <c r="L827" i="1" s="1"/>
  <c r="L828" i="1" a="1"/>
  <c r="L828" i="1" s="1"/>
  <c r="L829" i="1" a="1"/>
  <c r="L829" i="1" s="1"/>
  <c r="L830" i="1" a="1"/>
  <c r="L830" i="1" s="1"/>
  <c r="L831" i="1" a="1"/>
  <c r="L831" i="1" s="1"/>
  <c r="L832" i="1" a="1"/>
  <c r="L832" i="1" s="1"/>
  <c r="L833" i="1" a="1"/>
  <c r="L833" i="1" s="1"/>
  <c r="L834" i="1" a="1"/>
  <c r="L834" i="1" s="1"/>
  <c r="L835" i="1" a="1"/>
  <c r="L835" i="1" s="1"/>
  <c r="L836" i="1" a="1"/>
  <c r="L836" i="1" s="1"/>
  <c r="L837" i="1" a="1"/>
  <c r="L837" i="1" s="1"/>
  <c r="L838" i="1" a="1"/>
  <c r="L838" i="1" s="1"/>
  <c r="L839" i="1" a="1"/>
  <c r="L839" i="1" s="1"/>
  <c r="L840" i="1" a="1"/>
  <c r="L840" i="1" s="1"/>
  <c r="L841" i="1" a="1"/>
  <c r="L841" i="1" s="1"/>
  <c r="L842" i="1" a="1"/>
  <c r="L842" i="1" s="1"/>
  <c r="L843" i="1" a="1"/>
  <c r="L843" i="1" s="1"/>
  <c r="L844" i="1" a="1"/>
  <c r="L844" i="1" s="1"/>
  <c r="L845" i="1" a="1"/>
  <c r="L845" i="1" s="1"/>
  <c r="L846" i="1" a="1"/>
  <c r="L846" i="1" s="1"/>
  <c r="L847" i="1" a="1"/>
  <c r="L847" i="1" s="1"/>
  <c r="L848" i="1" a="1"/>
  <c r="L848" i="1" s="1"/>
  <c r="L849" i="1" a="1"/>
  <c r="L849" i="1" s="1"/>
  <c r="L850" i="1" a="1"/>
  <c r="L850" i="1" s="1"/>
  <c r="L851" i="1" a="1"/>
  <c r="L851" i="1" s="1"/>
  <c r="L852" i="1" a="1"/>
  <c r="L852" i="1" s="1"/>
  <c r="L853" i="1" a="1"/>
  <c r="L853" i="1" s="1"/>
  <c r="L854" i="1" a="1"/>
  <c r="L854" i="1" s="1"/>
  <c r="L855" i="1" a="1"/>
  <c r="L855" i="1" s="1"/>
  <c r="L856" i="1" a="1"/>
  <c r="L856" i="1" s="1"/>
  <c r="L857" i="1" a="1"/>
  <c r="L857" i="1" s="1"/>
  <c r="L858" i="1" a="1"/>
  <c r="L858" i="1" s="1"/>
  <c r="L859" i="1" a="1"/>
  <c r="L859" i="1" s="1"/>
  <c r="L860" i="1" a="1"/>
  <c r="L860" i="1" s="1"/>
  <c r="L861" i="1" a="1"/>
  <c r="L861" i="1" s="1"/>
  <c r="L862" i="1" a="1"/>
  <c r="L862" i="1" s="1"/>
  <c r="L863" i="1" a="1"/>
  <c r="L863" i="1" s="1"/>
  <c r="L864" i="1" a="1"/>
  <c r="L864" i="1" s="1"/>
  <c r="L865" i="1" a="1"/>
  <c r="L865" i="1" s="1"/>
  <c r="L866" i="1" a="1"/>
  <c r="L866" i="1" s="1"/>
  <c r="L867" i="1" a="1"/>
  <c r="L867" i="1" s="1"/>
  <c r="L868" i="1" a="1"/>
  <c r="L868" i="1" s="1"/>
  <c r="L869" i="1" a="1"/>
  <c r="L869" i="1" s="1"/>
  <c r="L870" i="1" a="1"/>
  <c r="L870" i="1" s="1"/>
  <c r="L871" i="1" a="1"/>
  <c r="L871" i="1" s="1"/>
  <c r="L872" i="1" a="1"/>
  <c r="L872" i="1" s="1"/>
  <c r="L873" i="1" a="1"/>
  <c r="L873" i="1" s="1"/>
  <c r="L874" i="1" a="1"/>
  <c r="L874" i="1" s="1"/>
  <c r="L875" i="1" a="1"/>
  <c r="L875" i="1" s="1"/>
  <c r="L876" i="1" a="1"/>
  <c r="L876" i="1" s="1"/>
  <c r="L877" i="1" a="1"/>
  <c r="L877" i="1" s="1"/>
  <c r="L878" i="1" a="1"/>
  <c r="L878" i="1" s="1"/>
  <c r="L879" i="1" a="1"/>
  <c r="L879" i="1" s="1"/>
  <c r="L880" i="1" a="1"/>
  <c r="L880" i="1" s="1"/>
  <c r="L881" i="1" a="1"/>
  <c r="L881" i="1" s="1"/>
  <c r="L882" i="1" a="1"/>
  <c r="L882" i="1" s="1"/>
  <c r="L883" i="1" a="1"/>
  <c r="L883" i="1" s="1"/>
  <c r="L884" i="1" a="1"/>
  <c r="L884" i="1" s="1"/>
  <c r="L885" i="1" a="1"/>
  <c r="L885" i="1" s="1"/>
  <c r="L886" i="1" a="1"/>
  <c r="L886" i="1" s="1"/>
  <c r="L887" i="1" a="1"/>
  <c r="L887" i="1" s="1"/>
  <c r="L888" i="1" a="1"/>
  <c r="L888" i="1" s="1"/>
  <c r="L889" i="1" a="1"/>
  <c r="L889" i="1" s="1"/>
  <c r="L890" i="1" a="1"/>
  <c r="L890" i="1" s="1"/>
  <c r="L891" i="1" a="1"/>
  <c r="L891" i="1" s="1"/>
  <c r="L892" i="1" a="1"/>
  <c r="L892" i="1" s="1"/>
  <c r="L893" i="1" a="1"/>
  <c r="L893" i="1" s="1"/>
  <c r="L894" i="1" a="1"/>
  <c r="L894" i="1" s="1"/>
  <c r="L895" i="1" a="1"/>
  <c r="L895" i="1" s="1"/>
  <c r="L896" i="1" a="1"/>
  <c r="L896" i="1" s="1"/>
  <c r="L897" i="1" a="1"/>
  <c r="L897" i="1" s="1"/>
  <c r="L898" i="1" a="1"/>
  <c r="L898" i="1" s="1"/>
  <c r="L899" i="1" a="1"/>
  <c r="L899" i="1" s="1"/>
  <c r="L900" i="1" a="1"/>
  <c r="L900" i="1" s="1"/>
  <c r="L901" i="1" a="1"/>
  <c r="L901" i="1" s="1"/>
  <c r="L902" i="1" a="1"/>
  <c r="L902" i="1" s="1"/>
  <c r="L903" i="1" a="1"/>
  <c r="L903" i="1" s="1"/>
  <c r="L904" i="1" a="1"/>
  <c r="L904" i="1" s="1"/>
  <c r="L905" i="1" a="1"/>
  <c r="L905" i="1" s="1"/>
  <c r="L906" i="1" a="1"/>
  <c r="L906" i="1" s="1"/>
  <c r="L907" i="1" a="1"/>
  <c r="L907" i="1" s="1"/>
  <c r="L908" i="1" a="1"/>
  <c r="L908" i="1" s="1"/>
  <c r="L909" i="1" a="1"/>
  <c r="L909" i="1" s="1"/>
  <c r="L910" i="1" a="1"/>
  <c r="L910" i="1" s="1"/>
  <c r="L911" i="1" a="1"/>
  <c r="L911" i="1" s="1"/>
  <c r="L912" i="1" a="1"/>
  <c r="L912" i="1" s="1"/>
  <c r="L913" i="1" a="1"/>
  <c r="L913" i="1" s="1"/>
  <c r="L914" i="1" a="1"/>
  <c r="L914" i="1" s="1"/>
  <c r="L915" i="1" a="1"/>
  <c r="L915" i="1" s="1"/>
  <c r="L916" i="1" a="1"/>
  <c r="L916" i="1" s="1"/>
  <c r="L917" i="1" a="1"/>
  <c r="L917" i="1" s="1"/>
  <c r="L918" i="1" a="1"/>
  <c r="L918" i="1" s="1"/>
  <c r="L919" i="1" a="1"/>
  <c r="L919" i="1" s="1"/>
  <c r="L920" i="1" a="1"/>
  <c r="L920" i="1" s="1"/>
  <c r="L921" i="1" a="1"/>
  <c r="L921" i="1" s="1"/>
  <c r="L922" i="1" a="1"/>
  <c r="L922" i="1" s="1"/>
  <c r="L923" i="1" a="1"/>
  <c r="L923" i="1" s="1"/>
  <c r="L924" i="1" a="1"/>
  <c r="L924" i="1" s="1"/>
  <c r="L925" i="1" a="1"/>
  <c r="L925" i="1" s="1"/>
  <c r="L926" i="1" a="1"/>
  <c r="L926" i="1" s="1"/>
  <c r="L927" i="1" a="1"/>
  <c r="L927" i="1" s="1"/>
  <c r="L928" i="1" a="1"/>
  <c r="L928" i="1" s="1"/>
  <c r="L929" i="1" a="1"/>
  <c r="L929" i="1" s="1"/>
  <c r="L930" i="1" a="1"/>
  <c r="L930" i="1" s="1"/>
  <c r="L931" i="1" a="1"/>
  <c r="L931" i="1" s="1"/>
  <c r="L932" i="1" a="1"/>
  <c r="L932" i="1" s="1"/>
  <c r="L933" i="1" a="1"/>
  <c r="L933" i="1" s="1"/>
  <c r="L934" i="1" a="1"/>
  <c r="L934" i="1" s="1"/>
  <c r="L935" i="1" a="1"/>
  <c r="L935" i="1" s="1"/>
  <c r="L936" i="1" a="1"/>
  <c r="L936" i="1" s="1"/>
  <c r="L937" i="1" a="1"/>
  <c r="L937" i="1" s="1"/>
  <c r="L938" i="1" a="1"/>
  <c r="L938" i="1" s="1"/>
  <c r="L939" i="1" a="1"/>
  <c r="L939" i="1" s="1"/>
  <c r="L940" i="1" a="1"/>
  <c r="L940" i="1" s="1"/>
  <c r="L941" i="1" a="1"/>
  <c r="L941" i="1" s="1"/>
  <c r="L942" i="1" a="1"/>
  <c r="L942" i="1" s="1"/>
  <c r="L943" i="1" a="1"/>
  <c r="L943" i="1" s="1"/>
  <c r="L944" i="1" a="1"/>
  <c r="L944" i="1" s="1"/>
  <c r="L945" i="1" a="1"/>
  <c r="L945" i="1" s="1"/>
  <c r="L946" i="1" a="1"/>
  <c r="L946" i="1" s="1"/>
  <c r="L947" i="1" a="1"/>
  <c r="L947" i="1" s="1"/>
  <c r="L948" i="1" a="1"/>
  <c r="L948" i="1" s="1"/>
  <c r="L949" i="1" a="1"/>
  <c r="L949" i="1" s="1"/>
  <c r="L950" i="1" a="1"/>
  <c r="L950" i="1" s="1"/>
  <c r="L951" i="1" a="1"/>
  <c r="L951" i="1" s="1"/>
  <c r="L952" i="1" a="1"/>
  <c r="L952" i="1" s="1"/>
  <c r="L953" i="1" a="1"/>
  <c r="L953" i="1" s="1"/>
  <c r="L954" i="1" a="1"/>
  <c r="L954" i="1" s="1"/>
  <c r="L955" i="1" a="1"/>
  <c r="L955" i="1" s="1"/>
  <c r="L956" i="1" a="1"/>
  <c r="L956" i="1" s="1"/>
  <c r="L957" i="1" a="1"/>
  <c r="L957" i="1" s="1"/>
  <c r="L958" i="1" a="1"/>
  <c r="L958" i="1" s="1"/>
  <c r="L959" i="1" a="1"/>
  <c r="L959" i="1" s="1"/>
  <c r="L960" i="1" a="1"/>
  <c r="L960" i="1" s="1"/>
  <c r="L961" i="1" a="1"/>
  <c r="L961" i="1" s="1"/>
  <c r="L962" i="1" a="1"/>
  <c r="L962" i="1" s="1"/>
  <c r="L963" i="1" a="1"/>
  <c r="L963" i="1" s="1"/>
  <c r="L964" i="1" a="1"/>
  <c r="L964" i="1" s="1"/>
  <c r="L965" i="1" a="1"/>
  <c r="L965" i="1" s="1"/>
  <c r="L966" i="1" a="1"/>
  <c r="L966" i="1" s="1"/>
  <c r="L967" i="1" a="1"/>
  <c r="L967" i="1" s="1"/>
  <c r="L968" i="1" a="1"/>
  <c r="L968" i="1" s="1"/>
  <c r="L969" i="1" a="1"/>
  <c r="L969" i="1" s="1"/>
  <c r="L970" i="1" a="1"/>
  <c r="L970" i="1" s="1"/>
  <c r="L971" i="1" a="1"/>
  <c r="L971" i="1" s="1"/>
  <c r="L972" i="1" a="1"/>
  <c r="L972" i="1" s="1"/>
  <c r="L973" i="1" a="1"/>
  <c r="L973" i="1" s="1"/>
  <c r="L974" i="1" a="1"/>
  <c r="L974" i="1" s="1"/>
  <c r="L975" i="1" a="1"/>
  <c r="L975" i="1" s="1"/>
  <c r="L976" i="1" a="1"/>
  <c r="L976" i="1" s="1"/>
  <c r="L977" i="1" a="1"/>
  <c r="L977" i="1" s="1"/>
  <c r="L978" i="1" a="1"/>
  <c r="L978" i="1" s="1"/>
  <c r="L979" i="1" a="1"/>
  <c r="L979" i="1" s="1"/>
  <c r="L980" i="1" a="1"/>
  <c r="L980" i="1" s="1"/>
  <c r="L981" i="1" a="1"/>
  <c r="L981" i="1" s="1"/>
  <c r="L982" i="1" a="1"/>
  <c r="L982" i="1" s="1"/>
  <c r="L983" i="1" a="1"/>
  <c r="L983" i="1" s="1"/>
  <c r="L984" i="1" a="1"/>
  <c r="L984" i="1" s="1"/>
  <c r="L985" i="1" a="1"/>
  <c r="L985" i="1" s="1"/>
  <c r="L986" i="1" a="1"/>
  <c r="L986" i="1" s="1"/>
  <c r="L987" i="1" a="1"/>
  <c r="L987" i="1" s="1"/>
  <c r="L988" i="1" a="1"/>
  <c r="L988" i="1" s="1"/>
  <c r="L989" i="1" a="1"/>
  <c r="L989" i="1" s="1"/>
  <c r="L990" i="1" a="1"/>
  <c r="L990" i="1" s="1"/>
  <c r="L991" i="1" a="1"/>
  <c r="L991" i="1" s="1"/>
  <c r="L992" i="1" a="1"/>
  <c r="L992" i="1" s="1"/>
  <c r="L993" i="1" a="1"/>
  <c r="L993" i="1" s="1"/>
  <c r="L994" i="1" a="1"/>
  <c r="L994" i="1" s="1"/>
  <c r="L995" i="1" a="1"/>
  <c r="L995" i="1" s="1"/>
  <c r="L996" i="1" a="1"/>
  <c r="L996" i="1" s="1"/>
  <c r="L997" i="1" a="1"/>
  <c r="L997" i="1" s="1"/>
  <c r="L998" i="1" a="1"/>
  <c r="L998" i="1" s="1"/>
  <c r="L999" i="1" a="1"/>
  <c r="L999" i="1" s="1"/>
  <c r="L1000" i="1" a="1"/>
  <c r="L1000" i="1" s="1"/>
  <c r="L1001" i="1" a="1"/>
  <c r="L1001" i="1" s="1"/>
  <c r="K1001" i="1"/>
  <c r="I1001" i="1"/>
  <c r="H1001" i="1"/>
  <c r="K1000" i="1"/>
  <c r="I1000" i="1"/>
  <c r="H1000" i="1"/>
  <c r="K999" i="1"/>
  <c r="I999" i="1"/>
  <c r="H999" i="1"/>
  <c r="K998" i="1"/>
  <c r="I998" i="1"/>
  <c r="H998" i="1"/>
  <c r="K997" i="1"/>
  <c r="I997" i="1"/>
  <c r="H997" i="1"/>
  <c r="K996" i="1"/>
  <c r="I996" i="1"/>
  <c r="H996" i="1"/>
  <c r="K995" i="1"/>
  <c r="I995" i="1"/>
  <c r="H995" i="1"/>
  <c r="K994" i="1"/>
  <c r="I994" i="1"/>
  <c r="H994" i="1"/>
  <c r="K993" i="1"/>
  <c r="I993" i="1"/>
  <c r="H993" i="1"/>
  <c r="K992" i="1"/>
  <c r="I992" i="1"/>
  <c r="H992" i="1"/>
  <c r="K991" i="1"/>
  <c r="I991" i="1"/>
  <c r="H991" i="1"/>
  <c r="K990" i="1"/>
  <c r="I990" i="1"/>
  <c r="H990" i="1"/>
  <c r="K989" i="1"/>
  <c r="I989" i="1"/>
  <c r="H989" i="1"/>
  <c r="K988" i="1"/>
  <c r="I988" i="1"/>
  <c r="H988" i="1"/>
  <c r="K987" i="1"/>
  <c r="I987" i="1"/>
  <c r="H987" i="1"/>
  <c r="K986" i="1"/>
  <c r="I986" i="1"/>
  <c r="H986" i="1"/>
  <c r="K985" i="1"/>
  <c r="I985" i="1"/>
  <c r="H985" i="1"/>
  <c r="K984" i="1"/>
  <c r="I984" i="1"/>
  <c r="H984" i="1"/>
  <c r="K983" i="1"/>
  <c r="I983" i="1"/>
  <c r="H983" i="1"/>
  <c r="K982" i="1"/>
  <c r="I982" i="1"/>
  <c r="H982" i="1"/>
  <c r="K981" i="1"/>
  <c r="I981" i="1"/>
  <c r="H981" i="1"/>
  <c r="K980" i="1"/>
  <c r="I980" i="1"/>
  <c r="H980" i="1"/>
  <c r="K979" i="1"/>
  <c r="I979" i="1"/>
  <c r="H979" i="1"/>
  <c r="K978" i="1"/>
  <c r="I978" i="1"/>
  <c r="H978" i="1"/>
  <c r="K977" i="1"/>
  <c r="I977" i="1"/>
  <c r="H977" i="1"/>
  <c r="K976" i="1"/>
  <c r="I976" i="1"/>
  <c r="H976" i="1"/>
  <c r="K975" i="1"/>
  <c r="I975" i="1"/>
  <c r="H975" i="1"/>
  <c r="K974" i="1"/>
  <c r="I974" i="1"/>
  <c r="H974" i="1"/>
  <c r="K973" i="1"/>
  <c r="I973" i="1"/>
  <c r="H973" i="1"/>
  <c r="K972" i="1"/>
  <c r="I972" i="1"/>
  <c r="H972" i="1"/>
  <c r="K971" i="1"/>
  <c r="I971" i="1"/>
  <c r="H971" i="1"/>
  <c r="K970" i="1"/>
  <c r="I970" i="1"/>
  <c r="H970" i="1"/>
  <c r="K969" i="1"/>
  <c r="I969" i="1"/>
  <c r="H969" i="1"/>
  <c r="K968" i="1"/>
  <c r="I968" i="1"/>
  <c r="H968" i="1"/>
  <c r="K967" i="1"/>
  <c r="I967" i="1"/>
  <c r="H967" i="1"/>
  <c r="K966" i="1"/>
  <c r="I966" i="1"/>
  <c r="H966" i="1"/>
  <c r="K965" i="1"/>
  <c r="I965" i="1"/>
  <c r="H965" i="1"/>
  <c r="K964" i="1"/>
  <c r="I964" i="1"/>
  <c r="H964" i="1"/>
  <c r="K963" i="1"/>
  <c r="I963" i="1"/>
  <c r="H963" i="1"/>
  <c r="K962" i="1"/>
  <c r="I962" i="1"/>
  <c r="H962" i="1"/>
  <c r="K961" i="1"/>
  <c r="I961" i="1"/>
  <c r="H961" i="1"/>
  <c r="K960" i="1"/>
  <c r="I960" i="1"/>
  <c r="H960" i="1"/>
  <c r="K959" i="1"/>
  <c r="I959" i="1"/>
  <c r="H959" i="1"/>
  <c r="K958" i="1"/>
  <c r="I958" i="1"/>
  <c r="H958" i="1"/>
  <c r="K957" i="1"/>
  <c r="I957" i="1"/>
  <c r="H957" i="1"/>
  <c r="K956" i="1"/>
  <c r="I956" i="1"/>
  <c r="H956" i="1"/>
  <c r="K955" i="1"/>
  <c r="I955" i="1"/>
  <c r="H955" i="1"/>
  <c r="K954" i="1"/>
  <c r="I954" i="1"/>
  <c r="H954" i="1"/>
  <c r="K953" i="1"/>
  <c r="I953" i="1"/>
  <c r="H953" i="1"/>
  <c r="K952" i="1"/>
  <c r="I952" i="1"/>
  <c r="H952" i="1"/>
  <c r="K951" i="1"/>
  <c r="I951" i="1"/>
  <c r="H951" i="1"/>
  <c r="K950" i="1"/>
  <c r="I950" i="1"/>
  <c r="H950" i="1"/>
  <c r="K949" i="1"/>
  <c r="I949" i="1"/>
  <c r="H949" i="1"/>
  <c r="K948" i="1"/>
  <c r="I948" i="1"/>
  <c r="H948" i="1"/>
  <c r="K947" i="1"/>
  <c r="I947" i="1"/>
  <c r="H947" i="1"/>
  <c r="K946" i="1"/>
  <c r="I946" i="1"/>
  <c r="H946" i="1"/>
  <c r="K945" i="1"/>
  <c r="I945" i="1"/>
  <c r="H945" i="1"/>
  <c r="K944" i="1"/>
  <c r="I944" i="1"/>
  <c r="H944" i="1"/>
  <c r="K943" i="1"/>
  <c r="I943" i="1"/>
  <c r="H943" i="1"/>
  <c r="K942" i="1"/>
  <c r="I942" i="1"/>
  <c r="H942" i="1"/>
  <c r="K941" i="1"/>
  <c r="I941" i="1"/>
  <c r="H941" i="1"/>
  <c r="K940" i="1"/>
  <c r="I940" i="1"/>
  <c r="H940" i="1"/>
  <c r="K939" i="1"/>
  <c r="I939" i="1"/>
  <c r="H939" i="1"/>
  <c r="K938" i="1"/>
  <c r="I938" i="1"/>
  <c r="H938" i="1"/>
  <c r="K937" i="1"/>
  <c r="I937" i="1"/>
  <c r="H937" i="1"/>
  <c r="K936" i="1"/>
  <c r="I936" i="1"/>
  <c r="H936" i="1"/>
  <c r="K935" i="1"/>
  <c r="I935" i="1"/>
  <c r="H935" i="1"/>
  <c r="K934" i="1"/>
  <c r="I934" i="1"/>
  <c r="H934" i="1"/>
  <c r="K933" i="1"/>
  <c r="I933" i="1"/>
  <c r="H933" i="1"/>
  <c r="K932" i="1"/>
  <c r="I932" i="1"/>
  <c r="H932" i="1"/>
  <c r="K931" i="1"/>
  <c r="I931" i="1"/>
  <c r="H931" i="1"/>
  <c r="K930" i="1"/>
  <c r="I930" i="1"/>
  <c r="H930" i="1"/>
  <c r="K929" i="1"/>
  <c r="I929" i="1"/>
  <c r="H929" i="1"/>
  <c r="K928" i="1"/>
  <c r="I928" i="1"/>
  <c r="H928" i="1"/>
  <c r="K927" i="1"/>
  <c r="I927" i="1"/>
  <c r="H927" i="1"/>
  <c r="K926" i="1"/>
  <c r="I926" i="1"/>
  <c r="H926" i="1"/>
  <c r="K925" i="1"/>
  <c r="I925" i="1"/>
  <c r="H925" i="1"/>
  <c r="K924" i="1"/>
  <c r="I924" i="1"/>
  <c r="H924" i="1"/>
  <c r="K923" i="1"/>
  <c r="I923" i="1"/>
  <c r="H923" i="1"/>
  <c r="K922" i="1"/>
  <c r="I922" i="1"/>
  <c r="H922" i="1"/>
  <c r="K921" i="1"/>
  <c r="I921" i="1"/>
  <c r="H921" i="1"/>
  <c r="K920" i="1"/>
  <c r="I920" i="1"/>
  <c r="H920" i="1"/>
  <c r="K919" i="1"/>
  <c r="I919" i="1"/>
  <c r="H919" i="1"/>
  <c r="K918" i="1"/>
  <c r="I918" i="1"/>
  <c r="H918" i="1"/>
  <c r="K917" i="1"/>
  <c r="I917" i="1"/>
  <c r="H917" i="1"/>
  <c r="K916" i="1"/>
  <c r="I916" i="1"/>
  <c r="H916" i="1"/>
  <c r="K915" i="1"/>
  <c r="I915" i="1"/>
  <c r="H915" i="1"/>
  <c r="K914" i="1"/>
  <c r="I914" i="1"/>
  <c r="H914" i="1"/>
  <c r="K913" i="1"/>
  <c r="I913" i="1"/>
  <c r="H913" i="1"/>
  <c r="K912" i="1"/>
  <c r="I912" i="1"/>
  <c r="H912" i="1"/>
  <c r="K911" i="1"/>
  <c r="I911" i="1"/>
  <c r="H911" i="1"/>
  <c r="K910" i="1"/>
  <c r="I910" i="1"/>
  <c r="H910" i="1"/>
  <c r="K909" i="1"/>
  <c r="I909" i="1"/>
  <c r="H909" i="1"/>
  <c r="K908" i="1"/>
  <c r="I908" i="1"/>
  <c r="H908" i="1"/>
  <c r="K907" i="1"/>
  <c r="I907" i="1"/>
  <c r="H907" i="1"/>
  <c r="K906" i="1"/>
  <c r="I906" i="1"/>
  <c r="H906" i="1"/>
  <c r="K905" i="1"/>
  <c r="I905" i="1"/>
  <c r="H905" i="1"/>
  <c r="K904" i="1"/>
  <c r="I904" i="1"/>
  <c r="H904" i="1"/>
  <c r="K903" i="1"/>
  <c r="I903" i="1"/>
  <c r="H903" i="1"/>
  <c r="K902" i="1"/>
  <c r="I902" i="1"/>
  <c r="H902" i="1"/>
  <c r="K901" i="1"/>
  <c r="I901" i="1"/>
  <c r="H901" i="1"/>
  <c r="K900" i="1"/>
  <c r="I900" i="1"/>
  <c r="H900" i="1"/>
  <c r="K899" i="1"/>
  <c r="I899" i="1"/>
  <c r="H899" i="1"/>
  <c r="K898" i="1"/>
  <c r="I898" i="1"/>
  <c r="H898" i="1"/>
  <c r="K897" i="1"/>
  <c r="I897" i="1"/>
  <c r="H897" i="1"/>
  <c r="K896" i="1"/>
  <c r="I896" i="1"/>
  <c r="H896" i="1"/>
  <c r="K895" i="1"/>
  <c r="I895" i="1"/>
  <c r="H895" i="1"/>
  <c r="K894" i="1"/>
  <c r="I894" i="1"/>
  <c r="H894" i="1"/>
  <c r="K893" i="1"/>
  <c r="I893" i="1"/>
  <c r="H893" i="1"/>
  <c r="K892" i="1"/>
  <c r="I892" i="1"/>
  <c r="H892" i="1"/>
  <c r="K891" i="1"/>
  <c r="I891" i="1"/>
  <c r="H891" i="1"/>
  <c r="K890" i="1"/>
  <c r="I890" i="1"/>
  <c r="H890" i="1"/>
  <c r="K889" i="1"/>
  <c r="I889" i="1"/>
  <c r="H889" i="1"/>
  <c r="K888" i="1"/>
  <c r="I888" i="1"/>
  <c r="H888" i="1"/>
  <c r="K887" i="1"/>
  <c r="I887" i="1"/>
  <c r="H887" i="1"/>
  <c r="K886" i="1"/>
  <c r="I886" i="1"/>
  <c r="H886" i="1"/>
  <c r="K885" i="1"/>
  <c r="I885" i="1"/>
  <c r="H885" i="1"/>
  <c r="K884" i="1"/>
  <c r="I884" i="1"/>
  <c r="H884" i="1"/>
  <c r="K883" i="1"/>
  <c r="I883" i="1"/>
  <c r="H883" i="1"/>
  <c r="K882" i="1"/>
  <c r="I882" i="1"/>
  <c r="H882" i="1"/>
  <c r="K881" i="1"/>
  <c r="I881" i="1"/>
  <c r="H881" i="1"/>
  <c r="K880" i="1"/>
  <c r="I880" i="1"/>
  <c r="H880" i="1"/>
  <c r="K879" i="1"/>
  <c r="I879" i="1"/>
  <c r="H879" i="1"/>
  <c r="K878" i="1"/>
  <c r="I878" i="1"/>
  <c r="H878" i="1"/>
  <c r="K877" i="1"/>
  <c r="I877" i="1"/>
  <c r="H877" i="1"/>
  <c r="K876" i="1"/>
  <c r="I876" i="1"/>
  <c r="H876" i="1"/>
  <c r="K875" i="1"/>
  <c r="I875" i="1"/>
  <c r="H875" i="1"/>
  <c r="K874" i="1"/>
  <c r="I874" i="1"/>
  <c r="H874" i="1"/>
  <c r="K873" i="1"/>
  <c r="I873" i="1"/>
  <c r="H873" i="1"/>
  <c r="K872" i="1"/>
  <c r="I872" i="1"/>
  <c r="H872" i="1"/>
  <c r="K871" i="1"/>
  <c r="I871" i="1"/>
  <c r="H871" i="1"/>
  <c r="K870" i="1"/>
  <c r="I870" i="1"/>
  <c r="H870" i="1"/>
  <c r="K869" i="1"/>
  <c r="I869" i="1"/>
  <c r="H869" i="1"/>
  <c r="K868" i="1"/>
  <c r="I868" i="1"/>
  <c r="H868" i="1"/>
  <c r="K867" i="1"/>
  <c r="I867" i="1"/>
  <c r="H867" i="1"/>
  <c r="K866" i="1"/>
  <c r="I866" i="1"/>
  <c r="H866" i="1"/>
  <c r="K865" i="1"/>
  <c r="I865" i="1"/>
  <c r="H865" i="1"/>
  <c r="K864" i="1"/>
  <c r="I864" i="1"/>
  <c r="H864" i="1"/>
  <c r="K863" i="1"/>
  <c r="I863" i="1"/>
  <c r="H863" i="1"/>
  <c r="K862" i="1"/>
  <c r="I862" i="1"/>
  <c r="H862" i="1"/>
  <c r="K861" i="1"/>
  <c r="I861" i="1"/>
  <c r="H861" i="1"/>
  <c r="K860" i="1"/>
  <c r="I860" i="1"/>
  <c r="H860" i="1"/>
  <c r="K859" i="1"/>
  <c r="I859" i="1"/>
  <c r="H859" i="1"/>
  <c r="K858" i="1"/>
  <c r="I858" i="1"/>
  <c r="H858" i="1"/>
  <c r="K857" i="1"/>
  <c r="I857" i="1"/>
  <c r="H857" i="1"/>
  <c r="K856" i="1"/>
  <c r="I856" i="1"/>
  <c r="H856" i="1"/>
  <c r="K855" i="1"/>
  <c r="I855" i="1"/>
  <c r="H855" i="1"/>
  <c r="K854" i="1"/>
  <c r="I854" i="1"/>
  <c r="H854" i="1"/>
  <c r="K853" i="1"/>
  <c r="I853" i="1"/>
  <c r="H853" i="1"/>
  <c r="K852" i="1"/>
  <c r="I852" i="1"/>
  <c r="H852" i="1"/>
  <c r="K851" i="1"/>
  <c r="I851" i="1"/>
  <c r="H851" i="1"/>
  <c r="K850" i="1"/>
  <c r="I850" i="1"/>
  <c r="H850" i="1"/>
  <c r="K849" i="1"/>
  <c r="I849" i="1"/>
  <c r="H849" i="1"/>
  <c r="K848" i="1"/>
  <c r="I848" i="1"/>
  <c r="H848" i="1"/>
  <c r="K847" i="1"/>
  <c r="I847" i="1"/>
  <c r="H847" i="1"/>
  <c r="K846" i="1"/>
  <c r="I846" i="1"/>
  <c r="H846" i="1"/>
  <c r="K845" i="1"/>
  <c r="I845" i="1"/>
  <c r="H845" i="1"/>
  <c r="K844" i="1"/>
  <c r="I844" i="1"/>
  <c r="H844" i="1"/>
  <c r="K843" i="1"/>
  <c r="I843" i="1"/>
  <c r="H843" i="1"/>
  <c r="K842" i="1"/>
  <c r="I842" i="1"/>
  <c r="H842" i="1"/>
  <c r="K841" i="1"/>
  <c r="I841" i="1"/>
  <c r="H841" i="1"/>
  <c r="K840" i="1"/>
  <c r="I840" i="1"/>
  <c r="H840" i="1"/>
  <c r="K839" i="1"/>
  <c r="I839" i="1"/>
  <c r="H839" i="1"/>
  <c r="K838" i="1"/>
  <c r="I838" i="1"/>
  <c r="H838" i="1"/>
  <c r="K837" i="1"/>
  <c r="I837" i="1"/>
  <c r="H837" i="1"/>
  <c r="K836" i="1"/>
  <c r="I836" i="1"/>
  <c r="H836" i="1"/>
  <c r="K835" i="1"/>
  <c r="I835" i="1"/>
  <c r="H835" i="1"/>
  <c r="K834" i="1"/>
  <c r="I834" i="1"/>
  <c r="H834" i="1"/>
  <c r="K833" i="1"/>
  <c r="I833" i="1"/>
  <c r="H833" i="1"/>
  <c r="K832" i="1"/>
  <c r="I832" i="1"/>
  <c r="H832" i="1"/>
  <c r="K831" i="1"/>
  <c r="I831" i="1"/>
  <c r="H831" i="1"/>
  <c r="K830" i="1"/>
  <c r="I830" i="1"/>
  <c r="H830" i="1"/>
  <c r="K829" i="1"/>
  <c r="I829" i="1"/>
  <c r="H829" i="1"/>
  <c r="K828" i="1"/>
  <c r="I828" i="1"/>
  <c r="H828" i="1"/>
  <c r="K827" i="1"/>
  <c r="I827" i="1"/>
  <c r="H827" i="1"/>
  <c r="K826" i="1"/>
  <c r="I826" i="1"/>
  <c r="H826" i="1"/>
  <c r="K825" i="1"/>
  <c r="I825" i="1"/>
  <c r="H825" i="1"/>
  <c r="K824" i="1"/>
  <c r="I824" i="1"/>
  <c r="H824" i="1"/>
  <c r="K823" i="1"/>
  <c r="I823" i="1"/>
  <c r="H823" i="1"/>
  <c r="K822" i="1"/>
  <c r="I822" i="1"/>
  <c r="H822" i="1"/>
  <c r="K821" i="1"/>
  <c r="I821" i="1"/>
  <c r="H821" i="1"/>
  <c r="K820" i="1"/>
  <c r="I820" i="1"/>
  <c r="H820" i="1"/>
  <c r="K819" i="1"/>
  <c r="I819" i="1"/>
  <c r="H819" i="1"/>
  <c r="K818" i="1"/>
  <c r="I818" i="1"/>
  <c r="H818" i="1"/>
  <c r="K817" i="1"/>
  <c r="I817" i="1"/>
  <c r="H817" i="1"/>
  <c r="K816" i="1"/>
  <c r="I816" i="1"/>
  <c r="H816" i="1"/>
  <c r="K815" i="1"/>
  <c r="I815" i="1"/>
  <c r="H815" i="1"/>
  <c r="K814" i="1"/>
  <c r="I814" i="1"/>
  <c r="H814" i="1"/>
  <c r="K813" i="1"/>
  <c r="I813" i="1"/>
  <c r="H813" i="1"/>
  <c r="K812" i="1"/>
  <c r="I812" i="1"/>
  <c r="H812" i="1"/>
  <c r="K811" i="1"/>
  <c r="I811" i="1"/>
  <c r="H811" i="1"/>
  <c r="K810" i="1"/>
  <c r="I810" i="1"/>
  <c r="H810" i="1"/>
  <c r="K809" i="1"/>
  <c r="I809" i="1"/>
  <c r="H809" i="1"/>
  <c r="K808" i="1"/>
  <c r="I808" i="1"/>
  <c r="H808" i="1"/>
  <c r="K807" i="1"/>
  <c r="I807" i="1"/>
  <c r="H807" i="1"/>
  <c r="K806" i="1"/>
  <c r="I806" i="1"/>
  <c r="H806" i="1"/>
  <c r="K805" i="1"/>
  <c r="I805" i="1"/>
  <c r="H805" i="1"/>
  <c r="K804" i="1"/>
  <c r="I804" i="1"/>
  <c r="H804" i="1"/>
  <c r="K803" i="1"/>
  <c r="I803" i="1"/>
  <c r="H803" i="1"/>
  <c r="K802" i="1"/>
  <c r="I802" i="1"/>
  <c r="H802" i="1"/>
  <c r="K801" i="1"/>
  <c r="I801" i="1"/>
  <c r="H801" i="1"/>
  <c r="K800" i="1"/>
  <c r="I800" i="1"/>
  <c r="H800" i="1"/>
  <c r="K799" i="1"/>
  <c r="I799" i="1"/>
  <c r="H799" i="1"/>
  <c r="K798" i="1"/>
  <c r="I798" i="1"/>
  <c r="H798" i="1"/>
  <c r="K797" i="1"/>
  <c r="I797" i="1"/>
  <c r="H797" i="1"/>
  <c r="K796" i="1"/>
  <c r="I796" i="1"/>
  <c r="H796" i="1"/>
  <c r="K795" i="1"/>
  <c r="I795" i="1"/>
  <c r="H795" i="1"/>
  <c r="K794" i="1"/>
  <c r="I794" i="1"/>
  <c r="H794" i="1"/>
  <c r="K793" i="1"/>
  <c r="I793" i="1"/>
  <c r="H793" i="1"/>
  <c r="K792" i="1"/>
  <c r="I792" i="1"/>
  <c r="H792" i="1"/>
  <c r="K791" i="1"/>
  <c r="I791" i="1"/>
  <c r="H791" i="1"/>
  <c r="K790" i="1"/>
  <c r="I790" i="1"/>
  <c r="H790" i="1"/>
  <c r="K789" i="1"/>
  <c r="I789" i="1"/>
  <c r="H789" i="1"/>
  <c r="K788" i="1"/>
  <c r="I788" i="1"/>
  <c r="H788" i="1"/>
  <c r="K787" i="1"/>
  <c r="I787" i="1"/>
  <c r="H787" i="1"/>
  <c r="K786" i="1"/>
  <c r="I786" i="1"/>
  <c r="H786" i="1"/>
  <c r="K785" i="1"/>
  <c r="I785" i="1"/>
  <c r="H785" i="1"/>
  <c r="K784" i="1"/>
  <c r="I784" i="1"/>
  <c r="H784" i="1"/>
  <c r="K783" i="1"/>
  <c r="I783" i="1"/>
  <c r="H783" i="1"/>
  <c r="K782" i="1"/>
  <c r="I782" i="1"/>
  <c r="H782" i="1"/>
  <c r="K781" i="1"/>
  <c r="I781" i="1"/>
  <c r="H781" i="1"/>
  <c r="K780" i="1"/>
  <c r="I780" i="1"/>
  <c r="H780" i="1"/>
  <c r="K779" i="1"/>
  <c r="I779" i="1"/>
  <c r="H779" i="1"/>
  <c r="K778" i="1"/>
  <c r="I778" i="1"/>
  <c r="H778" i="1"/>
  <c r="K777" i="1"/>
  <c r="I777" i="1"/>
  <c r="H777" i="1"/>
  <c r="K776" i="1"/>
  <c r="I776" i="1"/>
  <c r="H776" i="1"/>
  <c r="K775" i="1"/>
  <c r="I775" i="1"/>
  <c r="H775" i="1"/>
  <c r="K774" i="1"/>
  <c r="I774" i="1"/>
  <c r="H774" i="1"/>
  <c r="K773" i="1"/>
  <c r="I773" i="1"/>
  <c r="H773" i="1"/>
  <c r="K772" i="1"/>
  <c r="I772" i="1"/>
  <c r="H772" i="1"/>
  <c r="K771" i="1"/>
  <c r="I771" i="1"/>
  <c r="H771" i="1"/>
  <c r="K770" i="1"/>
  <c r="I770" i="1"/>
  <c r="H770" i="1"/>
  <c r="K769" i="1"/>
  <c r="I769" i="1"/>
  <c r="H769" i="1"/>
  <c r="K768" i="1"/>
  <c r="I768" i="1"/>
  <c r="H768" i="1"/>
  <c r="K767" i="1"/>
  <c r="I767" i="1"/>
  <c r="H767" i="1"/>
  <c r="K766" i="1"/>
  <c r="I766" i="1"/>
  <c r="H766" i="1"/>
  <c r="K765" i="1"/>
  <c r="I765" i="1"/>
  <c r="H765" i="1"/>
  <c r="K764" i="1"/>
  <c r="I764" i="1"/>
  <c r="H764" i="1"/>
  <c r="K763" i="1"/>
  <c r="I763" i="1"/>
  <c r="H763" i="1"/>
  <c r="K762" i="1"/>
  <c r="I762" i="1"/>
  <c r="H762" i="1"/>
  <c r="K761" i="1"/>
  <c r="I761" i="1"/>
  <c r="H761" i="1"/>
  <c r="K760" i="1"/>
  <c r="I760" i="1"/>
  <c r="H760" i="1"/>
  <c r="K759" i="1"/>
  <c r="I759" i="1"/>
  <c r="H759" i="1"/>
  <c r="K758" i="1"/>
  <c r="I758" i="1"/>
  <c r="H758" i="1"/>
  <c r="K757" i="1"/>
  <c r="I757" i="1"/>
  <c r="H757" i="1"/>
  <c r="K756" i="1"/>
  <c r="I756" i="1"/>
  <c r="H756" i="1"/>
  <c r="K755" i="1"/>
  <c r="I755" i="1"/>
  <c r="H755" i="1"/>
  <c r="K754" i="1"/>
  <c r="I754" i="1"/>
  <c r="H754" i="1"/>
  <c r="K753" i="1"/>
  <c r="I753" i="1"/>
  <c r="H753" i="1"/>
  <c r="K752" i="1"/>
  <c r="I752" i="1"/>
  <c r="H752" i="1"/>
  <c r="K751" i="1"/>
  <c r="I751" i="1"/>
  <c r="H751" i="1"/>
  <c r="K750" i="1"/>
  <c r="I750" i="1"/>
  <c r="H750" i="1"/>
  <c r="K749" i="1"/>
  <c r="I749" i="1"/>
  <c r="H749" i="1"/>
  <c r="K748" i="1"/>
  <c r="I748" i="1"/>
  <c r="H748" i="1"/>
  <c r="K747" i="1"/>
  <c r="I747" i="1"/>
  <c r="H747" i="1"/>
  <c r="K746" i="1"/>
  <c r="I746" i="1"/>
  <c r="H746" i="1"/>
  <c r="K745" i="1"/>
  <c r="I745" i="1"/>
  <c r="H745" i="1"/>
  <c r="K744" i="1"/>
  <c r="I744" i="1"/>
  <c r="H744" i="1"/>
  <c r="K743" i="1"/>
  <c r="I743" i="1"/>
  <c r="H743" i="1"/>
  <c r="K742" i="1"/>
  <c r="I742" i="1"/>
  <c r="H742" i="1"/>
  <c r="K741" i="1"/>
  <c r="I741" i="1"/>
  <c r="H741" i="1"/>
  <c r="K740" i="1"/>
  <c r="I740" i="1"/>
  <c r="H740" i="1"/>
  <c r="K739" i="1"/>
  <c r="I739" i="1"/>
  <c r="H739" i="1"/>
  <c r="K738" i="1"/>
  <c r="I738" i="1"/>
  <c r="H738" i="1"/>
  <c r="K737" i="1"/>
  <c r="I737" i="1"/>
  <c r="H737" i="1"/>
  <c r="K736" i="1"/>
  <c r="I736" i="1"/>
  <c r="H736" i="1"/>
  <c r="K735" i="1"/>
  <c r="I735" i="1"/>
  <c r="H735" i="1"/>
  <c r="K734" i="1"/>
  <c r="I734" i="1"/>
  <c r="H734" i="1"/>
  <c r="K733" i="1"/>
  <c r="I733" i="1"/>
  <c r="H733" i="1"/>
  <c r="K732" i="1"/>
  <c r="I732" i="1"/>
  <c r="H732" i="1"/>
  <c r="K731" i="1"/>
  <c r="I731" i="1"/>
  <c r="H731" i="1"/>
  <c r="K730" i="1"/>
  <c r="I730" i="1"/>
  <c r="H730" i="1"/>
  <c r="K729" i="1"/>
  <c r="I729" i="1"/>
  <c r="H729" i="1"/>
  <c r="K728" i="1"/>
  <c r="I728" i="1"/>
  <c r="H728" i="1"/>
  <c r="K727" i="1"/>
  <c r="I727" i="1"/>
  <c r="H727" i="1"/>
  <c r="K726" i="1"/>
  <c r="I726" i="1"/>
  <c r="H726" i="1"/>
  <c r="K725" i="1"/>
  <c r="I725" i="1"/>
  <c r="H725" i="1"/>
  <c r="K724" i="1"/>
  <c r="I724" i="1"/>
  <c r="H724" i="1"/>
  <c r="K723" i="1"/>
  <c r="I723" i="1"/>
  <c r="H723" i="1"/>
  <c r="K722" i="1"/>
  <c r="I722" i="1"/>
  <c r="H722" i="1"/>
  <c r="K721" i="1"/>
  <c r="I721" i="1"/>
  <c r="H721" i="1"/>
  <c r="K720" i="1"/>
  <c r="I720" i="1"/>
  <c r="H720" i="1"/>
  <c r="K719" i="1"/>
  <c r="I719" i="1"/>
  <c r="H719" i="1"/>
  <c r="K718" i="1"/>
  <c r="I718" i="1"/>
  <c r="H718" i="1"/>
  <c r="K717" i="1"/>
  <c r="I717" i="1"/>
  <c r="H717" i="1"/>
  <c r="K716" i="1"/>
  <c r="I716" i="1"/>
  <c r="H716" i="1"/>
  <c r="K715" i="1"/>
  <c r="I715" i="1"/>
  <c r="H715" i="1"/>
  <c r="K714" i="1"/>
  <c r="I714" i="1"/>
  <c r="H714" i="1"/>
  <c r="K713" i="1"/>
  <c r="I713" i="1"/>
  <c r="H713" i="1"/>
  <c r="K712" i="1"/>
  <c r="I712" i="1"/>
  <c r="H712" i="1"/>
  <c r="K711" i="1"/>
  <c r="I711" i="1"/>
  <c r="H711" i="1"/>
  <c r="K710" i="1"/>
  <c r="I710" i="1"/>
  <c r="H710" i="1"/>
  <c r="K709" i="1"/>
  <c r="I709" i="1"/>
  <c r="H709" i="1"/>
  <c r="K708" i="1"/>
  <c r="I708" i="1"/>
  <c r="H708" i="1"/>
  <c r="K707" i="1"/>
  <c r="I707" i="1"/>
  <c r="H707" i="1"/>
  <c r="K706" i="1"/>
  <c r="I706" i="1"/>
  <c r="H706" i="1"/>
  <c r="K705" i="1"/>
  <c r="I705" i="1"/>
  <c r="H705" i="1"/>
  <c r="K704" i="1"/>
  <c r="I704" i="1"/>
  <c r="H704" i="1"/>
  <c r="K703" i="1"/>
  <c r="I703" i="1"/>
  <c r="H703" i="1"/>
  <c r="K702" i="1"/>
  <c r="I702" i="1"/>
  <c r="H702" i="1"/>
  <c r="K701" i="1"/>
  <c r="I701" i="1"/>
  <c r="H701" i="1"/>
  <c r="K700" i="1"/>
  <c r="I700" i="1"/>
  <c r="H700" i="1"/>
  <c r="K699" i="1"/>
  <c r="I699" i="1"/>
  <c r="H699" i="1"/>
  <c r="K698" i="1"/>
  <c r="I698" i="1"/>
  <c r="H698" i="1"/>
  <c r="K697" i="1"/>
  <c r="I697" i="1"/>
  <c r="H697" i="1"/>
  <c r="K696" i="1"/>
  <c r="I696" i="1"/>
  <c r="H696" i="1"/>
  <c r="K695" i="1"/>
  <c r="I695" i="1"/>
  <c r="H695" i="1"/>
  <c r="K694" i="1"/>
  <c r="I694" i="1"/>
  <c r="H694" i="1"/>
  <c r="K693" i="1"/>
  <c r="I693" i="1"/>
  <c r="H693" i="1"/>
  <c r="K692" i="1"/>
  <c r="I692" i="1"/>
  <c r="H692" i="1"/>
  <c r="K691" i="1"/>
  <c r="I691" i="1"/>
  <c r="H691" i="1"/>
  <c r="K690" i="1"/>
  <c r="I690" i="1"/>
  <c r="H690" i="1"/>
  <c r="K689" i="1"/>
  <c r="I689" i="1"/>
  <c r="H689" i="1"/>
  <c r="K688" i="1"/>
  <c r="I688" i="1"/>
  <c r="H688" i="1"/>
  <c r="K687" i="1"/>
  <c r="I687" i="1"/>
  <c r="H687" i="1"/>
  <c r="K686" i="1"/>
  <c r="I686" i="1"/>
  <c r="H686" i="1"/>
  <c r="K685" i="1"/>
  <c r="I685" i="1"/>
  <c r="H685" i="1"/>
  <c r="K684" i="1"/>
  <c r="I684" i="1"/>
  <c r="H684" i="1"/>
  <c r="K683" i="1"/>
  <c r="I683" i="1"/>
  <c r="H683" i="1"/>
  <c r="K682" i="1"/>
  <c r="I682" i="1"/>
  <c r="H682" i="1"/>
  <c r="K681" i="1"/>
  <c r="I681" i="1"/>
  <c r="H681" i="1"/>
  <c r="K680" i="1"/>
  <c r="I680" i="1"/>
  <c r="H680" i="1"/>
  <c r="K679" i="1"/>
  <c r="I679" i="1"/>
  <c r="H679" i="1"/>
  <c r="K678" i="1"/>
  <c r="I678" i="1"/>
  <c r="H678" i="1"/>
  <c r="K677" i="1"/>
  <c r="I677" i="1"/>
  <c r="H677" i="1"/>
  <c r="K676" i="1"/>
  <c r="I676" i="1"/>
  <c r="H676" i="1"/>
  <c r="K675" i="1"/>
  <c r="I675" i="1"/>
  <c r="H675" i="1"/>
  <c r="K674" i="1"/>
  <c r="I674" i="1"/>
  <c r="H674" i="1"/>
  <c r="K673" i="1"/>
  <c r="I673" i="1"/>
  <c r="H673" i="1"/>
  <c r="K672" i="1"/>
  <c r="I672" i="1"/>
  <c r="H672" i="1"/>
  <c r="K671" i="1"/>
  <c r="I671" i="1"/>
  <c r="H671" i="1"/>
  <c r="K670" i="1"/>
  <c r="I670" i="1"/>
  <c r="H670" i="1"/>
  <c r="K669" i="1"/>
  <c r="I669" i="1"/>
  <c r="H669" i="1"/>
  <c r="K668" i="1"/>
  <c r="I668" i="1"/>
  <c r="H668" i="1"/>
  <c r="K667" i="1"/>
  <c r="I667" i="1"/>
  <c r="H667" i="1"/>
  <c r="K666" i="1"/>
  <c r="I666" i="1"/>
  <c r="H666" i="1"/>
  <c r="K665" i="1"/>
  <c r="I665" i="1"/>
  <c r="H665" i="1"/>
  <c r="K664" i="1"/>
  <c r="I664" i="1"/>
  <c r="H664" i="1"/>
  <c r="K663" i="1"/>
  <c r="I663" i="1"/>
  <c r="H663" i="1"/>
  <c r="K662" i="1"/>
  <c r="I662" i="1"/>
  <c r="H662" i="1"/>
  <c r="K661" i="1"/>
  <c r="I661" i="1"/>
  <c r="H661" i="1"/>
  <c r="K660" i="1"/>
  <c r="I660" i="1"/>
  <c r="H660" i="1"/>
  <c r="K659" i="1"/>
  <c r="I659" i="1"/>
  <c r="H659" i="1"/>
  <c r="K658" i="1"/>
  <c r="I658" i="1"/>
  <c r="H658" i="1"/>
  <c r="K657" i="1"/>
  <c r="I657" i="1"/>
  <c r="H657" i="1"/>
  <c r="K656" i="1"/>
  <c r="I656" i="1"/>
  <c r="H656" i="1"/>
  <c r="K655" i="1"/>
  <c r="I655" i="1"/>
  <c r="H655" i="1"/>
  <c r="K654" i="1"/>
  <c r="I654" i="1"/>
  <c r="H654" i="1"/>
  <c r="K653" i="1"/>
  <c r="I653" i="1"/>
  <c r="H653" i="1"/>
  <c r="K652" i="1"/>
  <c r="I652" i="1"/>
  <c r="H652" i="1"/>
  <c r="K651" i="1"/>
  <c r="I651" i="1"/>
  <c r="H651" i="1"/>
  <c r="K650" i="1"/>
  <c r="I650" i="1"/>
  <c r="H650" i="1"/>
  <c r="K649" i="1"/>
  <c r="I649" i="1"/>
  <c r="H649" i="1"/>
  <c r="K648" i="1"/>
  <c r="I648" i="1"/>
  <c r="H648" i="1"/>
  <c r="K647" i="1"/>
  <c r="I647" i="1"/>
  <c r="H647" i="1"/>
  <c r="K646" i="1"/>
  <c r="I646" i="1"/>
  <c r="H646" i="1"/>
  <c r="K645" i="1"/>
  <c r="I645" i="1"/>
  <c r="H645" i="1"/>
  <c r="K644" i="1"/>
  <c r="I644" i="1"/>
  <c r="H644" i="1"/>
  <c r="K643" i="1"/>
  <c r="I643" i="1"/>
  <c r="H643" i="1"/>
  <c r="K642" i="1"/>
  <c r="I642" i="1"/>
  <c r="H642" i="1"/>
  <c r="K641" i="1"/>
  <c r="I641" i="1"/>
  <c r="H641" i="1"/>
  <c r="K640" i="1"/>
  <c r="I640" i="1"/>
  <c r="H640" i="1"/>
  <c r="K639" i="1"/>
  <c r="I639" i="1"/>
  <c r="H639" i="1"/>
  <c r="K638" i="1"/>
  <c r="I638" i="1"/>
  <c r="H638" i="1"/>
  <c r="K637" i="1"/>
  <c r="I637" i="1"/>
  <c r="H637" i="1"/>
  <c r="K636" i="1"/>
  <c r="I636" i="1"/>
  <c r="H636" i="1"/>
  <c r="K635" i="1"/>
  <c r="I635" i="1"/>
  <c r="H635" i="1"/>
  <c r="K634" i="1"/>
  <c r="I634" i="1"/>
  <c r="H634" i="1"/>
  <c r="K633" i="1"/>
  <c r="I633" i="1"/>
  <c r="H633" i="1"/>
  <c r="K632" i="1"/>
  <c r="I632" i="1"/>
  <c r="H632" i="1"/>
  <c r="K631" i="1"/>
  <c r="I631" i="1"/>
  <c r="H631" i="1"/>
  <c r="K630" i="1"/>
  <c r="I630" i="1"/>
  <c r="H630" i="1"/>
  <c r="K629" i="1"/>
  <c r="I629" i="1"/>
  <c r="H629" i="1"/>
  <c r="K628" i="1"/>
  <c r="I628" i="1"/>
  <c r="H628" i="1"/>
  <c r="K627" i="1"/>
  <c r="I627" i="1"/>
  <c r="H627" i="1"/>
  <c r="K626" i="1"/>
  <c r="I626" i="1"/>
  <c r="H626" i="1"/>
  <c r="K625" i="1"/>
  <c r="I625" i="1"/>
  <c r="H625" i="1"/>
  <c r="K624" i="1"/>
  <c r="I624" i="1"/>
  <c r="H624" i="1"/>
  <c r="K623" i="1"/>
  <c r="I623" i="1"/>
  <c r="H623" i="1"/>
  <c r="K622" i="1"/>
  <c r="I622" i="1"/>
  <c r="H622" i="1"/>
  <c r="K621" i="1"/>
  <c r="I621" i="1"/>
  <c r="H621" i="1"/>
  <c r="K620" i="1"/>
  <c r="I620" i="1"/>
  <c r="H620" i="1"/>
  <c r="K619" i="1"/>
  <c r="I619" i="1"/>
  <c r="H619" i="1"/>
  <c r="K618" i="1"/>
  <c r="I618" i="1"/>
  <c r="H618" i="1"/>
  <c r="K617" i="1"/>
  <c r="I617" i="1"/>
  <c r="H617" i="1"/>
  <c r="K616" i="1"/>
  <c r="I616" i="1"/>
  <c r="H616" i="1"/>
  <c r="K615" i="1"/>
  <c r="I615" i="1"/>
  <c r="H615" i="1"/>
  <c r="K614" i="1"/>
  <c r="I614" i="1"/>
  <c r="H614" i="1"/>
  <c r="K613" i="1"/>
  <c r="I613" i="1"/>
  <c r="H613" i="1"/>
  <c r="K612" i="1"/>
  <c r="I612" i="1"/>
  <c r="H612" i="1"/>
  <c r="K611" i="1"/>
  <c r="I611" i="1"/>
  <c r="H611" i="1"/>
  <c r="K610" i="1"/>
  <c r="I610" i="1"/>
  <c r="H610" i="1"/>
  <c r="K609" i="1"/>
  <c r="I609" i="1"/>
  <c r="H609" i="1"/>
  <c r="K608" i="1"/>
  <c r="I608" i="1"/>
  <c r="H608" i="1"/>
  <c r="K607" i="1"/>
  <c r="I607" i="1"/>
  <c r="H607" i="1"/>
  <c r="K606" i="1"/>
  <c r="I606" i="1"/>
  <c r="H606" i="1"/>
  <c r="K605" i="1"/>
  <c r="I605" i="1"/>
  <c r="H605" i="1"/>
  <c r="K604" i="1"/>
  <c r="I604" i="1"/>
  <c r="H604" i="1"/>
  <c r="K603" i="1"/>
  <c r="I603" i="1"/>
  <c r="H603" i="1"/>
  <c r="K602" i="1"/>
  <c r="I602" i="1"/>
  <c r="H602" i="1"/>
  <c r="K601" i="1"/>
  <c r="I601" i="1"/>
  <c r="H601" i="1"/>
  <c r="K600" i="1"/>
  <c r="I600" i="1"/>
  <c r="H600" i="1"/>
  <c r="K599" i="1"/>
  <c r="I599" i="1"/>
  <c r="H599" i="1"/>
  <c r="K598" i="1"/>
  <c r="I598" i="1"/>
  <c r="H598" i="1"/>
  <c r="K597" i="1"/>
  <c r="I597" i="1"/>
  <c r="H597" i="1"/>
  <c r="K596" i="1"/>
  <c r="I596" i="1"/>
  <c r="H596" i="1"/>
  <c r="K595" i="1"/>
  <c r="I595" i="1"/>
  <c r="H595" i="1"/>
  <c r="K594" i="1"/>
  <c r="I594" i="1"/>
  <c r="H594" i="1"/>
  <c r="K593" i="1"/>
  <c r="I593" i="1"/>
  <c r="H593" i="1"/>
  <c r="K592" i="1"/>
  <c r="I592" i="1"/>
  <c r="H592" i="1"/>
  <c r="K591" i="1"/>
  <c r="I591" i="1"/>
  <c r="H591" i="1"/>
  <c r="K590" i="1"/>
  <c r="I590" i="1"/>
  <c r="H590" i="1"/>
  <c r="K589" i="1"/>
  <c r="I589" i="1"/>
  <c r="H589" i="1"/>
  <c r="K588" i="1"/>
  <c r="I588" i="1"/>
  <c r="H588" i="1"/>
  <c r="K587" i="1"/>
  <c r="I587" i="1"/>
  <c r="H587" i="1"/>
  <c r="K586" i="1"/>
  <c r="I586" i="1"/>
  <c r="H586" i="1"/>
  <c r="K585" i="1"/>
  <c r="I585" i="1"/>
  <c r="H585" i="1"/>
  <c r="K584" i="1"/>
  <c r="I584" i="1"/>
  <c r="H584" i="1"/>
  <c r="K583" i="1"/>
  <c r="I583" i="1"/>
  <c r="H583" i="1"/>
  <c r="K582" i="1"/>
  <c r="I582" i="1"/>
  <c r="H582" i="1"/>
  <c r="K581" i="1"/>
  <c r="I581" i="1"/>
  <c r="H581" i="1"/>
  <c r="K580" i="1"/>
  <c r="I580" i="1"/>
  <c r="H580" i="1"/>
  <c r="K579" i="1"/>
  <c r="I579" i="1"/>
  <c r="H579" i="1"/>
  <c r="K578" i="1"/>
  <c r="I578" i="1"/>
  <c r="H578" i="1"/>
  <c r="K577" i="1"/>
  <c r="I577" i="1"/>
  <c r="H577" i="1"/>
  <c r="K576" i="1"/>
  <c r="I576" i="1"/>
  <c r="H576" i="1"/>
  <c r="K575" i="1"/>
  <c r="I575" i="1"/>
  <c r="H575" i="1"/>
  <c r="K574" i="1"/>
  <c r="I574" i="1"/>
  <c r="H574" i="1"/>
  <c r="K573" i="1"/>
  <c r="I573" i="1"/>
  <c r="H573" i="1"/>
  <c r="K572" i="1"/>
  <c r="I572" i="1"/>
  <c r="H572" i="1"/>
  <c r="K571" i="1"/>
  <c r="I571" i="1"/>
  <c r="H571" i="1"/>
  <c r="K570" i="1"/>
  <c r="I570" i="1"/>
  <c r="H570" i="1"/>
  <c r="K569" i="1"/>
  <c r="I569" i="1"/>
  <c r="H569" i="1"/>
  <c r="K568" i="1"/>
  <c r="I568" i="1"/>
  <c r="H568" i="1"/>
  <c r="K567" i="1"/>
  <c r="I567" i="1"/>
  <c r="H567" i="1"/>
  <c r="K566" i="1"/>
  <c r="I566" i="1"/>
  <c r="H566" i="1"/>
  <c r="K565" i="1"/>
  <c r="I565" i="1"/>
  <c r="H565" i="1"/>
  <c r="K564" i="1"/>
  <c r="I564" i="1"/>
  <c r="H564" i="1"/>
  <c r="K563" i="1"/>
  <c r="I563" i="1"/>
  <c r="H563" i="1"/>
  <c r="K562" i="1"/>
  <c r="I562" i="1"/>
  <c r="H562" i="1"/>
  <c r="K561" i="1"/>
  <c r="I561" i="1"/>
  <c r="H561" i="1"/>
  <c r="K560" i="1"/>
  <c r="I560" i="1"/>
  <c r="H560" i="1"/>
  <c r="K559" i="1"/>
  <c r="I559" i="1"/>
  <c r="H559" i="1"/>
  <c r="K558" i="1"/>
  <c r="I558" i="1"/>
  <c r="H558" i="1"/>
  <c r="K557" i="1"/>
  <c r="I557" i="1"/>
  <c r="H557" i="1"/>
  <c r="K556" i="1"/>
  <c r="I556" i="1"/>
  <c r="H556" i="1"/>
  <c r="K555" i="1"/>
  <c r="I555" i="1"/>
  <c r="H555" i="1"/>
  <c r="K554" i="1"/>
  <c r="I554" i="1"/>
  <c r="H554" i="1"/>
  <c r="K553" i="1"/>
  <c r="I553" i="1"/>
  <c r="H553" i="1"/>
  <c r="K552" i="1"/>
  <c r="I552" i="1"/>
  <c r="H552" i="1"/>
  <c r="K551" i="1"/>
  <c r="I551" i="1"/>
  <c r="H551" i="1"/>
  <c r="K550" i="1"/>
  <c r="I550" i="1"/>
  <c r="H550" i="1"/>
  <c r="K549" i="1"/>
  <c r="I549" i="1"/>
  <c r="H549" i="1"/>
  <c r="K548" i="1"/>
  <c r="I548" i="1"/>
  <c r="H548" i="1"/>
  <c r="K547" i="1"/>
  <c r="I547" i="1"/>
  <c r="H547" i="1"/>
  <c r="K546" i="1"/>
  <c r="I546" i="1"/>
  <c r="H546" i="1"/>
  <c r="K545" i="1"/>
  <c r="I545" i="1"/>
  <c r="H545" i="1"/>
  <c r="K544" i="1"/>
  <c r="I544" i="1"/>
  <c r="H544" i="1"/>
  <c r="K543" i="1"/>
  <c r="I543" i="1"/>
  <c r="H543" i="1"/>
  <c r="K542" i="1"/>
  <c r="I542" i="1"/>
  <c r="H542" i="1"/>
  <c r="K541" i="1"/>
  <c r="I541" i="1"/>
  <c r="H541" i="1"/>
  <c r="K540" i="1"/>
  <c r="I540" i="1"/>
  <c r="H540" i="1"/>
  <c r="K539" i="1"/>
  <c r="I539" i="1"/>
  <c r="H539" i="1"/>
  <c r="K538" i="1"/>
  <c r="I538" i="1"/>
  <c r="H538" i="1"/>
  <c r="K537" i="1"/>
  <c r="I537" i="1"/>
  <c r="H537" i="1"/>
  <c r="K536" i="1"/>
  <c r="I536" i="1"/>
  <c r="H536" i="1"/>
  <c r="K535" i="1"/>
  <c r="I535" i="1"/>
  <c r="H535" i="1"/>
  <c r="K534" i="1"/>
  <c r="I534" i="1"/>
  <c r="H534" i="1"/>
  <c r="K533" i="1"/>
  <c r="I533" i="1"/>
  <c r="H533" i="1"/>
  <c r="K532" i="1"/>
  <c r="I532" i="1"/>
  <c r="H532" i="1"/>
  <c r="K531" i="1"/>
  <c r="I531" i="1"/>
  <c r="H531" i="1"/>
  <c r="K530" i="1"/>
  <c r="I530" i="1"/>
  <c r="H530" i="1"/>
  <c r="K529" i="1"/>
  <c r="I529" i="1"/>
  <c r="H529" i="1"/>
  <c r="K528" i="1"/>
  <c r="I528" i="1"/>
  <c r="H528" i="1"/>
  <c r="K527" i="1"/>
  <c r="I527" i="1"/>
  <c r="H527" i="1"/>
  <c r="K526" i="1"/>
  <c r="I526" i="1"/>
  <c r="H526" i="1"/>
  <c r="K525" i="1"/>
  <c r="I525" i="1"/>
  <c r="H525" i="1"/>
  <c r="K524" i="1"/>
  <c r="I524" i="1"/>
  <c r="H524" i="1"/>
  <c r="K523" i="1"/>
  <c r="I523" i="1"/>
  <c r="H523" i="1"/>
  <c r="K522" i="1"/>
  <c r="I522" i="1"/>
  <c r="H522" i="1"/>
  <c r="K521" i="1"/>
  <c r="I521" i="1"/>
  <c r="H521" i="1"/>
  <c r="K520" i="1"/>
  <c r="I520" i="1"/>
  <c r="H520" i="1"/>
  <c r="K519" i="1"/>
  <c r="I519" i="1"/>
  <c r="H519" i="1"/>
  <c r="K518" i="1"/>
  <c r="I518" i="1"/>
  <c r="H518" i="1"/>
  <c r="K517" i="1"/>
  <c r="I517" i="1"/>
  <c r="H517" i="1"/>
  <c r="K516" i="1"/>
  <c r="I516" i="1"/>
  <c r="H516" i="1"/>
  <c r="K515" i="1"/>
  <c r="I515" i="1"/>
  <c r="H515" i="1"/>
  <c r="K514" i="1"/>
  <c r="I514" i="1"/>
  <c r="H514" i="1"/>
  <c r="K513" i="1"/>
  <c r="I513" i="1"/>
  <c r="H513" i="1"/>
  <c r="K512" i="1"/>
  <c r="I512" i="1"/>
  <c r="H512" i="1"/>
  <c r="K511" i="1"/>
  <c r="I511" i="1"/>
  <c r="H511" i="1"/>
  <c r="K510" i="1"/>
  <c r="I510" i="1"/>
  <c r="H510" i="1"/>
  <c r="K509" i="1"/>
  <c r="I509" i="1"/>
  <c r="H509" i="1"/>
  <c r="K508" i="1"/>
  <c r="I508" i="1"/>
  <c r="H508" i="1"/>
  <c r="K507" i="1"/>
  <c r="I507" i="1"/>
  <c r="H507" i="1"/>
  <c r="K506" i="1"/>
  <c r="I506" i="1"/>
  <c r="H506" i="1"/>
  <c r="K505" i="1"/>
  <c r="I505" i="1"/>
  <c r="H505" i="1"/>
  <c r="K504" i="1"/>
  <c r="I504" i="1"/>
  <c r="H504" i="1"/>
  <c r="K503" i="1"/>
  <c r="I503" i="1"/>
  <c r="H503" i="1"/>
  <c r="K502" i="1"/>
  <c r="I502" i="1"/>
  <c r="H502" i="1"/>
  <c r="K501" i="1"/>
  <c r="I501" i="1"/>
  <c r="H501" i="1"/>
  <c r="K500" i="1"/>
  <c r="I500" i="1"/>
  <c r="H500" i="1"/>
  <c r="K499" i="1"/>
  <c r="I499" i="1"/>
  <c r="H499" i="1"/>
  <c r="K498" i="1"/>
  <c r="I498" i="1"/>
  <c r="H498" i="1"/>
  <c r="K497" i="1"/>
  <c r="I497" i="1"/>
  <c r="H497" i="1"/>
  <c r="K496" i="1"/>
  <c r="I496" i="1"/>
  <c r="H496" i="1"/>
  <c r="K495" i="1"/>
  <c r="I495" i="1"/>
  <c r="H495" i="1"/>
  <c r="K494" i="1"/>
  <c r="I494" i="1"/>
  <c r="H494" i="1"/>
  <c r="K493" i="1"/>
  <c r="I493" i="1"/>
  <c r="H493" i="1"/>
  <c r="K492" i="1"/>
  <c r="I492" i="1"/>
  <c r="H492" i="1"/>
  <c r="K491" i="1"/>
  <c r="I491" i="1"/>
  <c r="H491" i="1"/>
  <c r="K490" i="1"/>
  <c r="I490" i="1"/>
  <c r="H490" i="1"/>
  <c r="K489" i="1"/>
  <c r="I489" i="1"/>
  <c r="H489" i="1"/>
  <c r="K488" i="1"/>
  <c r="I488" i="1"/>
  <c r="H488" i="1"/>
  <c r="K487" i="1"/>
  <c r="I487" i="1"/>
  <c r="H487" i="1"/>
  <c r="K486" i="1"/>
  <c r="I486" i="1"/>
  <c r="H486" i="1"/>
  <c r="K485" i="1"/>
  <c r="I485" i="1"/>
  <c r="H485" i="1"/>
  <c r="K484" i="1"/>
  <c r="I484" i="1"/>
  <c r="H484" i="1"/>
  <c r="K483" i="1"/>
  <c r="I483" i="1"/>
  <c r="H483" i="1"/>
  <c r="K482" i="1"/>
  <c r="I482" i="1"/>
  <c r="H482" i="1"/>
  <c r="K481" i="1"/>
  <c r="I481" i="1"/>
  <c r="H481" i="1"/>
  <c r="K480" i="1"/>
  <c r="I480" i="1"/>
  <c r="H480" i="1"/>
  <c r="K479" i="1"/>
  <c r="I479" i="1"/>
  <c r="H479" i="1"/>
  <c r="K478" i="1"/>
  <c r="I478" i="1"/>
  <c r="H478" i="1"/>
  <c r="K477" i="1"/>
  <c r="I477" i="1"/>
  <c r="H477" i="1"/>
  <c r="K476" i="1"/>
  <c r="I476" i="1"/>
  <c r="H476" i="1"/>
  <c r="K475" i="1"/>
  <c r="I475" i="1"/>
  <c r="H475" i="1"/>
  <c r="K474" i="1"/>
  <c r="I474" i="1"/>
  <c r="H474" i="1"/>
  <c r="K473" i="1"/>
  <c r="I473" i="1"/>
  <c r="H473" i="1"/>
  <c r="K472" i="1"/>
  <c r="I472" i="1"/>
  <c r="H472" i="1"/>
  <c r="K471" i="1"/>
  <c r="I471" i="1"/>
  <c r="H471" i="1"/>
  <c r="K470" i="1"/>
  <c r="I470" i="1"/>
  <c r="H470" i="1"/>
  <c r="K469" i="1"/>
  <c r="I469" i="1"/>
  <c r="H469" i="1"/>
  <c r="K468" i="1"/>
  <c r="I468" i="1"/>
  <c r="H468" i="1"/>
  <c r="K467" i="1"/>
  <c r="I467" i="1"/>
  <c r="H467" i="1"/>
  <c r="K466" i="1"/>
  <c r="I466" i="1"/>
  <c r="H466" i="1"/>
  <c r="K465" i="1"/>
  <c r="I465" i="1"/>
  <c r="H465" i="1"/>
  <c r="K464" i="1"/>
  <c r="I464" i="1"/>
  <c r="H464" i="1"/>
  <c r="K463" i="1"/>
  <c r="I463" i="1"/>
  <c r="H463" i="1"/>
  <c r="K462" i="1"/>
  <c r="I462" i="1"/>
  <c r="H462" i="1"/>
  <c r="K461" i="1"/>
  <c r="I461" i="1"/>
  <c r="H461" i="1"/>
  <c r="K460" i="1"/>
  <c r="I460" i="1"/>
  <c r="H460" i="1"/>
  <c r="K459" i="1"/>
  <c r="I459" i="1"/>
  <c r="H459" i="1"/>
  <c r="K458" i="1"/>
  <c r="I458" i="1"/>
  <c r="H458" i="1"/>
  <c r="K457" i="1"/>
  <c r="I457" i="1"/>
  <c r="H457" i="1"/>
  <c r="K456" i="1"/>
  <c r="I456" i="1"/>
  <c r="H456" i="1"/>
  <c r="K455" i="1"/>
  <c r="I455" i="1"/>
  <c r="H455" i="1"/>
  <c r="K454" i="1"/>
  <c r="I454" i="1"/>
  <c r="H454" i="1"/>
  <c r="K453" i="1"/>
  <c r="I453" i="1"/>
  <c r="H453" i="1"/>
  <c r="K452" i="1"/>
  <c r="I452" i="1"/>
  <c r="H452" i="1"/>
  <c r="K451" i="1"/>
  <c r="I451" i="1"/>
  <c r="H451" i="1"/>
  <c r="K450" i="1"/>
  <c r="I450" i="1"/>
  <c r="H450" i="1"/>
  <c r="K449" i="1"/>
  <c r="I449" i="1"/>
  <c r="H449" i="1"/>
  <c r="K448" i="1"/>
  <c r="I448" i="1"/>
  <c r="H448" i="1"/>
  <c r="K447" i="1"/>
  <c r="I447" i="1"/>
  <c r="H447" i="1"/>
  <c r="K446" i="1"/>
  <c r="I446" i="1"/>
  <c r="H446" i="1"/>
  <c r="K445" i="1"/>
  <c r="I445" i="1"/>
  <c r="H445" i="1"/>
  <c r="K444" i="1"/>
  <c r="I444" i="1"/>
  <c r="H444" i="1"/>
  <c r="K443" i="1"/>
  <c r="I443" i="1"/>
  <c r="H443" i="1"/>
  <c r="K442" i="1"/>
  <c r="I442" i="1"/>
  <c r="H442" i="1"/>
  <c r="K441" i="1"/>
  <c r="I441" i="1"/>
  <c r="H441" i="1"/>
  <c r="K440" i="1"/>
  <c r="I440" i="1"/>
  <c r="H440" i="1"/>
  <c r="K439" i="1"/>
  <c r="I439" i="1"/>
  <c r="H439" i="1"/>
  <c r="K438" i="1"/>
  <c r="I438" i="1"/>
  <c r="H438" i="1"/>
  <c r="K437" i="1"/>
  <c r="I437" i="1"/>
  <c r="H437" i="1"/>
  <c r="K436" i="1"/>
  <c r="I436" i="1"/>
  <c r="H436" i="1"/>
  <c r="K435" i="1"/>
  <c r="I435" i="1"/>
  <c r="H435" i="1"/>
  <c r="K434" i="1"/>
  <c r="I434" i="1"/>
  <c r="H434" i="1"/>
  <c r="K433" i="1"/>
  <c r="I433" i="1"/>
  <c r="H433" i="1"/>
  <c r="K432" i="1"/>
  <c r="I432" i="1"/>
  <c r="H432" i="1"/>
  <c r="K431" i="1"/>
  <c r="I431" i="1"/>
  <c r="H431" i="1"/>
  <c r="K430" i="1"/>
  <c r="I430" i="1"/>
  <c r="H430" i="1"/>
  <c r="K429" i="1"/>
  <c r="I429" i="1"/>
  <c r="H429" i="1"/>
  <c r="K428" i="1"/>
  <c r="I428" i="1"/>
  <c r="H428" i="1"/>
  <c r="K427" i="1"/>
  <c r="I427" i="1"/>
  <c r="H427" i="1"/>
  <c r="K426" i="1"/>
  <c r="I426" i="1"/>
  <c r="H426" i="1"/>
  <c r="K425" i="1"/>
  <c r="I425" i="1"/>
  <c r="H425" i="1"/>
  <c r="K424" i="1"/>
  <c r="I424" i="1"/>
  <c r="H424" i="1"/>
  <c r="K423" i="1"/>
  <c r="I423" i="1"/>
  <c r="H423" i="1"/>
  <c r="K422" i="1"/>
  <c r="I422" i="1"/>
  <c r="H422" i="1"/>
  <c r="K421" i="1"/>
  <c r="I421" i="1"/>
  <c r="H421" i="1"/>
  <c r="K420" i="1"/>
  <c r="I420" i="1"/>
  <c r="H420" i="1"/>
  <c r="K419" i="1"/>
  <c r="I419" i="1"/>
  <c r="H419" i="1"/>
  <c r="K418" i="1"/>
  <c r="I418" i="1"/>
  <c r="H418" i="1"/>
  <c r="K417" i="1"/>
  <c r="I417" i="1"/>
  <c r="H417" i="1"/>
  <c r="K416" i="1"/>
  <c r="I416" i="1"/>
  <c r="H416" i="1"/>
  <c r="K415" i="1"/>
  <c r="I415" i="1"/>
  <c r="H415" i="1"/>
  <c r="K414" i="1"/>
  <c r="I414" i="1"/>
  <c r="H414" i="1"/>
  <c r="K413" i="1"/>
  <c r="I413" i="1"/>
  <c r="H413" i="1"/>
  <c r="K412" i="1"/>
  <c r="I412" i="1"/>
  <c r="H412" i="1"/>
  <c r="K411" i="1"/>
  <c r="I411" i="1"/>
  <c r="H411" i="1"/>
  <c r="K410" i="1"/>
  <c r="I410" i="1"/>
  <c r="H410" i="1"/>
  <c r="K409" i="1"/>
  <c r="I409" i="1"/>
  <c r="H409" i="1"/>
  <c r="K408" i="1"/>
  <c r="I408" i="1"/>
  <c r="H408" i="1"/>
  <c r="K407" i="1"/>
  <c r="I407" i="1"/>
  <c r="H407" i="1"/>
  <c r="K406" i="1"/>
  <c r="I406" i="1"/>
  <c r="H406" i="1"/>
  <c r="K405" i="1"/>
  <c r="I405" i="1"/>
  <c r="H405" i="1"/>
  <c r="K404" i="1"/>
  <c r="I404" i="1"/>
  <c r="H404" i="1"/>
  <c r="K403" i="1"/>
  <c r="I403" i="1"/>
  <c r="H403" i="1"/>
  <c r="K402" i="1"/>
  <c r="I402" i="1"/>
  <c r="H402" i="1"/>
  <c r="K401" i="1"/>
  <c r="I401" i="1"/>
  <c r="H401" i="1"/>
  <c r="K400" i="1"/>
  <c r="I400" i="1"/>
  <c r="H400" i="1"/>
  <c r="K399" i="1"/>
  <c r="I399" i="1"/>
  <c r="H399" i="1"/>
  <c r="K398" i="1"/>
  <c r="I398" i="1"/>
  <c r="H398" i="1"/>
  <c r="K397" i="1"/>
  <c r="I397" i="1"/>
  <c r="H397" i="1"/>
  <c r="K396" i="1"/>
  <c r="I396" i="1"/>
  <c r="H396" i="1"/>
  <c r="K395" i="1"/>
  <c r="I395" i="1"/>
  <c r="H395" i="1"/>
  <c r="K394" i="1"/>
  <c r="I394" i="1"/>
  <c r="H394" i="1"/>
  <c r="K393" i="1"/>
  <c r="I393" i="1"/>
  <c r="H393" i="1"/>
  <c r="K392" i="1"/>
  <c r="I392" i="1"/>
  <c r="H392" i="1"/>
  <c r="K391" i="1"/>
  <c r="I391" i="1"/>
  <c r="H391" i="1"/>
  <c r="K390" i="1"/>
  <c r="I390" i="1"/>
  <c r="H390" i="1"/>
  <c r="K389" i="1"/>
  <c r="I389" i="1"/>
  <c r="H389" i="1"/>
  <c r="K388" i="1"/>
  <c r="I388" i="1"/>
  <c r="H388" i="1"/>
  <c r="K387" i="1"/>
  <c r="I387" i="1"/>
  <c r="H387" i="1"/>
  <c r="K386" i="1"/>
  <c r="I386" i="1"/>
  <c r="H386" i="1"/>
  <c r="K385" i="1"/>
  <c r="I385" i="1"/>
  <c r="H385" i="1"/>
  <c r="K384" i="1"/>
  <c r="I384" i="1"/>
  <c r="H384" i="1"/>
  <c r="K383" i="1"/>
  <c r="I383" i="1"/>
  <c r="H383" i="1"/>
  <c r="K382" i="1"/>
  <c r="I382" i="1"/>
  <c r="H382" i="1"/>
  <c r="K381" i="1"/>
  <c r="I381" i="1"/>
  <c r="H381" i="1"/>
  <c r="K380" i="1"/>
  <c r="I380" i="1"/>
  <c r="H380" i="1"/>
  <c r="K379" i="1"/>
  <c r="I379" i="1"/>
  <c r="H379" i="1"/>
  <c r="K378" i="1"/>
  <c r="I378" i="1"/>
  <c r="H378" i="1"/>
  <c r="K377" i="1"/>
  <c r="I377" i="1"/>
  <c r="H377" i="1"/>
  <c r="K376" i="1"/>
  <c r="I376" i="1"/>
  <c r="H376" i="1"/>
  <c r="K375" i="1"/>
  <c r="I375" i="1"/>
  <c r="H375" i="1"/>
  <c r="K374" i="1"/>
  <c r="I374" i="1"/>
  <c r="H374" i="1"/>
  <c r="K373" i="1"/>
  <c r="I373" i="1"/>
  <c r="H373" i="1"/>
  <c r="K372" i="1"/>
  <c r="I372" i="1"/>
  <c r="H372" i="1"/>
  <c r="K371" i="1"/>
  <c r="I371" i="1"/>
  <c r="H371" i="1"/>
  <c r="K370" i="1"/>
  <c r="I370" i="1"/>
  <c r="H370" i="1"/>
  <c r="K369" i="1"/>
  <c r="I369" i="1"/>
  <c r="H369" i="1"/>
  <c r="K368" i="1"/>
  <c r="I368" i="1"/>
  <c r="H368" i="1"/>
  <c r="K367" i="1"/>
  <c r="I367" i="1"/>
  <c r="H367" i="1"/>
  <c r="K366" i="1"/>
  <c r="I366" i="1"/>
  <c r="H366" i="1"/>
  <c r="K365" i="1"/>
  <c r="I365" i="1"/>
  <c r="H365" i="1"/>
  <c r="K364" i="1"/>
  <c r="I364" i="1"/>
  <c r="H364" i="1"/>
  <c r="K363" i="1"/>
  <c r="I363" i="1"/>
  <c r="H363" i="1"/>
  <c r="K362" i="1"/>
  <c r="I362" i="1"/>
  <c r="H362" i="1"/>
  <c r="K361" i="1"/>
  <c r="I361" i="1"/>
  <c r="H361" i="1"/>
  <c r="K360" i="1"/>
  <c r="I360" i="1"/>
  <c r="H360" i="1"/>
  <c r="K359" i="1"/>
  <c r="I359" i="1"/>
  <c r="H359" i="1"/>
  <c r="K358" i="1"/>
  <c r="I358" i="1"/>
  <c r="H358" i="1"/>
  <c r="K357" i="1"/>
  <c r="I357" i="1"/>
  <c r="H357" i="1"/>
  <c r="K356" i="1"/>
  <c r="I356" i="1"/>
  <c r="H356" i="1"/>
  <c r="K355" i="1"/>
  <c r="I355" i="1"/>
  <c r="H355" i="1"/>
  <c r="K354" i="1"/>
  <c r="I354" i="1"/>
  <c r="H354" i="1"/>
  <c r="K353" i="1"/>
  <c r="I353" i="1"/>
  <c r="H353" i="1"/>
  <c r="K352" i="1"/>
  <c r="I352" i="1"/>
  <c r="H352" i="1"/>
  <c r="K351" i="1"/>
  <c r="I351" i="1"/>
  <c r="H351" i="1"/>
  <c r="K350" i="1"/>
  <c r="I350" i="1"/>
  <c r="H350" i="1"/>
  <c r="K349" i="1"/>
  <c r="I349" i="1"/>
  <c r="H349" i="1"/>
  <c r="K348" i="1"/>
  <c r="I348" i="1"/>
  <c r="H348" i="1"/>
  <c r="K347" i="1"/>
  <c r="I347" i="1"/>
  <c r="H347" i="1"/>
  <c r="K346" i="1"/>
  <c r="I346" i="1"/>
  <c r="H346" i="1"/>
  <c r="K345" i="1"/>
  <c r="I345" i="1"/>
  <c r="H345" i="1"/>
  <c r="K344" i="1"/>
  <c r="I344" i="1"/>
  <c r="H344" i="1"/>
  <c r="K343" i="1"/>
  <c r="I343" i="1"/>
  <c r="H343" i="1"/>
  <c r="K342" i="1"/>
  <c r="I342" i="1"/>
  <c r="H342" i="1"/>
  <c r="K341" i="1"/>
  <c r="I341" i="1"/>
  <c r="H341" i="1"/>
  <c r="K340" i="1"/>
  <c r="I340" i="1"/>
  <c r="H340" i="1"/>
  <c r="K339" i="1"/>
  <c r="I339" i="1"/>
  <c r="H339" i="1"/>
  <c r="K338" i="1"/>
  <c r="I338" i="1"/>
  <c r="H338" i="1"/>
  <c r="K337" i="1"/>
  <c r="I337" i="1"/>
  <c r="H337" i="1"/>
  <c r="K336" i="1"/>
  <c r="I336" i="1"/>
  <c r="H336" i="1"/>
  <c r="K335" i="1"/>
  <c r="I335" i="1"/>
  <c r="H335" i="1"/>
  <c r="K334" i="1"/>
  <c r="I334" i="1"/>
  <c r="H334" i="1"/>
  <c r="K333" i="1"/>
  <c r="I333" i="1"/>
  <c r="H333" i="1"/>
  <c r="K332" i="1"/>
  <c r="I332" i="1"/>
  <c r="H332" i="1"/>
  <c r="K331" i="1"/>
  <c r="I331" i="1"/>
  <c r="H331" i="1"/>
  <c r="K330" i="1"/>
  <c r="I330" i="1"/>
  <c r="H330" i="1"/>
  <c r="K329" i="1"/>
  <c r="I329" i="1"/>
  <c r="H329" i="1"/>
  <c r="K328" i="1"/>
  <c r="I328" i="1"/>
  <c r="H328" i="1"/>
  <c r="K327" i="1"/>
  <c r="I327" i="1"/>
  <c r="H327" i="1"/>
  <c r="K326" i="1"/>
  <c r="I326" i="1"/>
  <c r="H326" i="1"/>
  <c r="K325" i="1"/>
  <c r="I325" i="1"/>
  <c r="H325" i="1"/>
  <c r="K324" i="1"/>
  <c r="I324" i="1"/>
  <c r="H324" i="1"/>
  <c r="K323" i="1"/>
  <c r="I323" i="1"/>
  <c r="H323" i="1"/>
  <c r="K322" i="1"/>
  <c r="I322" i="1"/>
  <c r="H322" i="1"/>
  <c r="K321" i="1"/>
  <c r="I321" i="1"/>
  <c r="H321" i="1"/>
  <c r="K320" i="1"/>
  <c r="I320" i="1"/>
  <c r="H320" i="1"/>
  <c r="K319" i="1"/>
  <c r="I319" i="1"/>
  <c r="H319" i="1"/>
  <c r="K318" i="1"/>
  <c r="I318" i="1"/>
  <c r="H318" i="1"/>
  <c r="K317" i="1"/>
  <c r="I317" i="1"/>
  <c r="H317" i="1"/>
  <c r="K316" i="1"/>
  <c r="I316" i="1"/>
  <c r="H316" i="1"/>
  <c r="K315" i="1"/>
  <c r="I315" i="1"/>
  <c r="H315" i="1"/>
  <c r="K314" i="1"/>
  <c r="I314" i="1"/>
  <c r="H314" i="1"/>
  <c r="K313" i="1"/>
  <c r="I313" i="1"/>
  <c r="H313" i="1"/>
  <c r="K312" i="1"/>
  <c r="I312" i="1"/>
  <c r="H312" i="1"/>
  <c r="K311" i="1"/>
  <c r="I311" i="1"/>
  <c r="H311" i="1"/>
  <c r="K310" i="1"/>
  <c r="I310" i="1"/>
  <c r="H310" i="1"/>
  <c r="K309" i="1"/>
  <c r="I309" i="1"/>
  <c r="H309" i="1"/>
  <c r="K308" i="1"/>
  <c r="I308" i="1"/>
  <c r="H308" i="1"/>
  <c r="K307" i="1"/>
  <c r="I307" i="1"/>
  <c r="H307" i="1"/>
  <c r="K306" i="1"/>
  <c r="I306" i="1"/>
  <c r="H306" i="1"/>
  <c r="K305" i="1"/>
  <c r="I305" i="1"/>
  <c r="H305" i="1"/>
  <c r="K304" i="1"/>
  <c r="I304" i="1"/>
  <c r="H304" i="1"/>
  <c r="K303" i="1"/>
  <c r="I303" i="1"/>
  <c r="H303" i="1"/>
  <c r="K302" i="1"/>
  <c r="I302" i="1"/>
  <c r="H302" i="1"/>
  <c r="K301" i="1"/>
  <c r="I301" i="1"/>
  <c r="H301" i="1"/>
  <c r="K300" i="1"/>
  <c r="I300" i="1"/>
  <c r="H300" i="1"/>
  <c r="K299" i="1"/>
  <c r="I299" i="1"/>
  <c r="H299" i="1"/>
  <c r="K298" i="1"/>
  <c r="I298" i="1"/>
  <c r="H298" i="1"/>
  <c r="K297" i="1"/>
  <c r="I297" i="1"/>
  <c r="H297" i="1"/>
  <c r="K296" i="1"/>
  <c r="I296" i="1"/>
  <c r="H296" i="1"/>
  <c r="K295" i="1"/>
  <c r="I295" i="1"/>
  <c r="H295" i="1"/>
  <c r="K294" i="1"/>
  <c r="I294" i="1"/>
  <c r="H294" i="1"/>
  <c r="K293" i="1"/>
  <c r="I293" i="1"/>
  <c r="H293" i="1"/>
  <c r="K292" i="1"/>
  <c r="I292" i="1"/>
  <c r="H292" i="1"/>
  <c r="K291" i="1"/>
  <c r="I291" i="1"/>
  <c r="H291" i="1"/>
  <c r="K290" i="1"/>
  <c r="I290" i="1"/>
  <c r="H290" i="1"/>
  <c r="K289" i="1"/>
  <c r="I289" i="1"/>
  <c r="H289" i="1"/>
  <c r="K288" i="1"/>
  <c r="I288" i="1"/>
  <c r="H288" i="1"/>
  <c r="K287" i="1"/>
  <c r="I287" i="1"/>
  <c r="H287" i="1"/>
  <c r="K286" i="1"/>
  <c r="I286" i="1"/>
  <c r="H286" i="1"/>
  <c r="K285" i="1"/>
  <c r="I285" i="1"/>
  <c r="H285" i="1"/>
  <c r="K284" i="1"/>
  <c r="I284" i="1"/>
  <c r="H284" i="1"/>
  <c r="K283" i="1"/>
  <c r="I283" i="1"/>
  <c r="H283" i="1"/>
  <c r="K282" i="1"/>
  <c r="I282" i="1"/>
  <c r="H282" i="1"/>
  <c r="K281" i="1"/>
  <c r="I281" i="1"/>
  <c r="H281" i="1"/>
  <c r="K280" i="1"/>
  <c r="I280" i="1"/>
  <c r="H280" i="1"/>
  <c r="K279" i="1"/>
  <c r="I279" i="1"/>
  <c r="H279" i="1"/>
  <c r="K278" i="1"/>
  <c r="I278" i="1"/>
  <c r="H278" i="1"/>
  <c r="K277" i="1"/>
  <c r="I277" i="1"/>
  <c r="H277" i="1"/>
  <c r="K276" i="1"/>
  <c r="I276" i="1"/>
  <c r="H276" i="1"/>
  <c r="K275" i="1"/>
  <c r="I275" i="1"/>
  <c r="H275" i="1"/>
  <c r="K274" i="1"/>
  <c r="I274" i="1"/>
  <c r="H274" i="1"/>
  <c r="K273" i="1"/>
  <c r="I273" i="1"/>
  <c r="H273" i="1"/>
  <c r="K272" i="1"/>
  <c r="I272" i="1"/>
  <c r="H272" i="1"/>
  <c r="K271" i="1"/>
  <c r="I271" i="1"/>
  <c r="H271" i="1"/>
  <c r="K270" i="1"/>
  <c r="I270" i="1"/>
  <c r="H270" i="1"/>
  <c r="K269" i="1"/>
  <c r="I269" i="1"/>
  <c r="H269" i="1"/>
  <c r="K268" i="1"/>
  <c r="I268" i="1"/>
  <c r="H268" i="1"/>
  <c r="K267" i="1"/>
  <c r="I267" i="1"/>
  <c r="H267" i="1"/>
  <c r="K266" i="1"/>
  <c r="I266" i="1"/>
  <c r="H266" i="1"/>
  <c r="K265" i="1"/>
  <c r="I265" i="1"/>
  <c r="H265" i="1"/>
  <c r="K264" i="1"/>
  <c r="I264" i="1"/>
  <c r="H264" i="1"/>
  <c r="K263" i="1"/>
  <c r="I263" i="1"/>
  <c r="H263" i="1"/>
  <c r="K262" i="1"/>
  <c r="I262" i="1"/>
  <c r="H262" i="1"/>
  <c r="K261" i="1"/>
  <c r="I261" i="1"/>
  <c r="H261" i="1"/>
  <c r="K260" i="1"/>
  <c r="I260" i="1"/>
  <c r="H260" i="1"/>
  <c r="K259" i="1"/>
  <c r="I259" i="1"/>
  <c r="H259" i="1"/>
  <c r="K258" i="1"/>
  <c r="I258" i="1"/>
  <c r="H258" i="1"/>
  <c r="K257" i="1"/>
  <c r="I257" i="1"/>
  <c r="H257" i="1"/>
  <c r="K256" i="1"/>
  <c r="I256" i="1"/>
  <c r="H256" i="1"/>
  <c r="K255" i="1"/>
  <c r="I255" i="1"/>
  <c r="H255" i="1"/>
  <c r="K254" i="1"/>
  <c r="I254" i="1"/>
  <c r="H254" i="1"/>
  <c r="K253" i="1"/>
  <c r="I253" i="1"/>
  <c r="H253" i="1"/>
  <c r="K252" i="1"/>
  <c r="I252" i="1"/>
  <c r="H252" i="1"/>
  <c r="K251" i="1"/>
  <c r="I251" i="1"/>
  <c r="H251" i="1"/>
  <c r="K250" i="1"/>
  <c r="I250" i="1"/>
  <c r="H250" i="1"/>
  <c r="K249" i="1"/>
  <c r="I249" i="1"/>
  <c r="H249" i="1"/>
  <c r="K248" i="1"/>
  <c r="I248" i="1"/>
  <c r="H248" i="1"/>
  <c r="K247" i="1"/>
  <c r="I247" i="1"/>
  <c r="H247" i="1"/>
  <c r="K246" i="1"/>
  <c r="I246" i="1"/>
  <c r="H246" i="1"/>
  <c r="K245" i="1"/>
  <c r="I245" i="1"/>
  <c r="H245" i="1"/>
  <c r="K244" i="1"/>
  <c r="I244" i="1"/>
  <c r="H244" i="1"/>
  <c r="K243" i="1"/>
  <c r="I243" i="1"/>
  <c r="H243" i="1"/>
  <c r="K242" i="1"/>
  <c r="I242" i="1"/>
  <c r="H242" i="1"/>
  <c r="K241" i="1"/>
  <c r="I241" i="1"/>
  <c r="H241" i="1"/>
  <c r="K240" i="1"/>
  <c r="I240" i="1"/>
  <c r="H240" i="1"/>
  <c r="K239" i="1"/>
  <c r="I239" i="1"/>
  <c r="H239" i="1"/>
  <c r="K238" i="1"/>
  <c r="I238" i="1"/>
  <c r="H238" i="1"/>
  <c r="K237" i="1"/>
  <c r="I237" i="1"/>
  <c r="H237" i="1"/>
  <c r="K236" i="1"/>
  <c r="I236" i="1"/>
  <c r="H236" i="1"/>
  <c r="K235" i="1"/>
  <c r="I235" i="1"/>
  <c r="H235" i="1"/>
  <c r="K234" i="1"/>
  <c r="I234" i="1"/>
  <c r="H234" i="1"/>
  <c r="K233" i="1"/>
  <c r="I233" i="1"/>
  <c r="H233" i="1"/>
  <c r="K232" i="1"/>
  <c r="I232" i="1"/>
  <c r="H232" i="1"/>
  <c r="K231" i="1"/>
  <c r="I231" i="1"/>
  <c r="H231" i="1"/>
  <c r="K230" i="1"/>
  <c r="I230" i="1"/>
  <c r="H230" i="1"/>
  <c r="K229" i="1"/>
  <c r="I229" i="1"/>
  <c r="H229" i="1"/>
  <c r="K228" i="1"/>
  <c r="I228" i="1"/>
  <c r="H228" i="1"/>
  <c r="K227" i="1"/>
  <c r="I227" i="1"/>
  <c r="H227" i="1"/>
  <c r="K226" i="1"/>
  <c r="I226" i="1"/>
  <c r="H226" i="1"/>
  <c r="K225" i="1"/>
  <c r="I225" i="1"/>
  <c r="H225" i="1"/>
  <c r="K224" i="1"/>
  <c r="I224" i="1"/>
  <c r="H224" i="1"/>
  <c r="K223" i="1"/>
  <c r="I223" i="1"/>
  <c r="H223" i="1"/>
  <c r="K222" i="1"/>
  <c r="I222" i="1"/>
  <c r="H222" i="1"/>
  <c r="K221" i="1"/>
  <c r="I221" i="1"/>
  <c r="H221" i="1"/>
  <c r="K220" i="1"/>
  <c r="I220" i="1"/>
  <c r="H220" i="1"/>
  <c r="K219" i="1"/>
  <c r="I219" i="1"/>
  <c r="H219" i="1"/>
  <c r="K218" i="1"/>
  <c r="I218" i="1"/>
  <c r="H218" i="1"/>
  <c r="K217" i="1"/>
  <c r="I217" i="1"/>
  <c r="H217" i="1"/>
  <c r="K216" i="1"/>
  <c r="I216" i="1"/>
  <c r="H216" i="1"/>
  <c r="K215" i="1"/>
  <c r="I215" i="1"/>
  <c r="H215" i="1"/>
  <c r="K214" i="1"/>
  <c r="I214" i="1"/>
  <c r="H214" i="1"/>
  <c r="K213" i="1"/>
  <c r="I213" i="1"/>
  <c r="H213" i="1"/>
  <c r="K212" i="1"/>
  <c r="I212" i="1"/>
  <c r="H212" i="1"/>
  <c r="K211" i="1"/>
  <c r="I211" i="1"/>
  <c r="H211" i="1"/>
  <c r="K210" i="1"/>
  <c r="I210" i="1"/>
  <c r="H210" i="1"/>
  <c r="K209" i="1"/>
  <c r="I209" i="1"/>
  <c r="H209" i="1"/>
  <c r="K208" i="1"/>
  <c r="I208" i="1"/>
  <c r="H208" i="1"/>
  <c r="K207" i="1"/>
  <c r="I207" i="1"/>
  <c r="H207" i="1"/>
  <c r="K206" i="1"/>
  <c r="I206" i="1"/>
  <c r="H206" i="1"/>
  <c r="K205" i="1"/>
  <c r="I205" i="1"/>
  <c r="H205" i="1"/>
  <c r="K204" i="1"/>
  <c r="I204" i="1"/>
  <c r="H204" i="1"/>
  <c r="K203" i="1"/>
  <c r="I203" i="1"/>
  <c r="H203" i="1"/>
  <c r="K202" i="1"/>
  <c r="I202" i="1"/>
  <c r="H202" i="1"/>
  <c r="K201" i="1"/>
  <c r="I201" i="1"/>
  <c r="H201" i="1"/>
  <c r="K200" i="1"/>
  <c r="I200" i="1"/>
  <c r="H200" i="1"/>
  <c r="K199" i="1"/>
  <c r="I199" i="1"/>
  <c r="H199" i="1"/>
  <c r="K198" i="1"/>
  <c r="I198" i="1"/>
  <c r="H198" i="1"/>
  <c r="K197" i="1"/>
  <c r="I197" i="1"/>
  <c r="H197" i="1"/>
  <c r="K196" i="1"/>
  <c r="I196" i="1"/>
  <c r="H196" i="1"/>
  <c r="K195" i="1"/>
  <c r="I195" i="1"/>
  <c r="H195" i="1"/>
  <c r="K194" i="1"/>
  <c r="I194" i="1"/>
  <c r="H194" i="1"/>
  <c r="K193" i="1"/>
  <c r="I193" i="1"/>
  <c r="H193" i="1"/>
  <c r="K192" i="1"/>
  <c r="I192" i="1"/>
  <c r="H192" i="1"/>
  <c r="K191" i="1"/>
  <c r="I191" i="1"/>
  <c r="H191" i="1"/>
  <c r="K190" i="1"/>
  <c r="I190" i="1"/>
  <c r="H190" i="1"/>
  <c r="K189" i="1"/>
  <c r="I189" i="1"/>
  <c r="H189" i="1"/>
  <c r="K188" i="1"/>
  <c r="I188" i="1"/>
  <c r="H188" i="1"/>
  <c r="K187" i="1"/>
  <c r="I187" i="1"/>
  <c r="H187" i="1"/>
  <c r="K186" i="1"/>
  <c r="I186" i="1"/>
  <c r="H186" i="1"/>
  <c r="K185" i="1"/>
  <c r="I185" i="1"/>
  <c r="H185" i="1"/>
  <c r="K184" i="1"/>
  <c r="I184" i="1"/>
  <c r="H184" i="1"/>
  <c r="K183" i="1"/>
  <c r="I183" i="1"/>
  <c r="H183" i="1"/>
  <c r="K182" i="1"/>
  <c r="I182" i="1"/>
  <c r="H182" i="1"/>
  <c r="K181" i="1"/>
  <c r="I181" i="1"/>
  <c r="H181" i="1"/>
  <c r="K180" i="1"/>
  <c r="I180" i="1"/>
  <c r="H180" i="1"/>
  <c r="K179" i="1"/>
  <c r="I179" i="1"/>
  <c r="H179" i="1"/>
  <c r="K178" i="1"/>
  <c r="I178" i="1"/>
  <c r="H178" i="1"/>
  <c r="K177" i="1"/>
  <c r="I177" i="1"/>
  <c r="H177" i="1"/>
  <c r="K176" i="1"/>
  <c r="I176" i="1"/>
  <c r="H176" i="1"/>
  <c r="K175" i="1"/>
  <c r="I175" i="1"/>
  <c r="H175" i="1"/>
  <c r="K174" i="1"/>
  <c r="I174" i="1"/>
  <c r="H174" i="1"/>
  <c r="K173" i="1"/>
  <c r="I173" i="1"/>
  <c r="H173" i="1"/>
  <c r="K172" i="1"/>
  <c r="I172" i="1"/>
  <c r="H172" i="1"/>
  <c r="K171" i="1"/>
  <c r="I171" i="1"/>
  <c r="H171" i="1"/>
  <c r="K170" i="1"/>
  <c r="I170" i="1"/>
  <c r="H170" i="1"/>
  <c r="K169" i="1"/>
  <c r="I169" i="1"/>
  <c r="H169" i="1"/>
  <c r="K168" i="1"/>
  <c r="I168" i="1"/>
  <c r="H168" i="1"/>
  <c r="K167" i="1"/>
  <c r="I167" i="1"/>
  <c r="H167" i="1"/>
  <c r="K166" i="1"/>
  <c r="I166" i="1"/>
  <c r="H166" i="1"/>
  <c r="K165" i="1"/>
  <c r="I165" i="1"/>
  <c r="H165" i="1"/>
  <c r="K164" i="1"/>
  <c r="I164" i="1"/>
  <c r="H164" i="1"/>
  <c r="K163" i="1"/>
  <c r="I163" i="1"/>
  <c r="H163" i="1"/>
  <c r="K162" i="1"/>
  <c r="I162" i="1"/>
  <c r="H162" i="1"/>
  <c r="K161" i="1"/>
  <c r="I161" i="1"/>
  <c r="H161" i="1"/>
  <c r="K160" i="1"/>
  <c r="I160" i="1"/>
  <c r="H160" i="1"/>
  <c r="K159" i="1"/>
  <c r="I159" i="1"/>
  <c r="H159" i="1"/>
  <c r="K158" i="1"/>
  <c r="I158" i="1"/>
  <c r="H158" i="1"/>
  <c r="K157" i="1"/>
  <c r="I157" i="1"/>
  <c r="H157" i="1"/>
  <c r="K156" i="1"/>
  <c r="I156" i="1"/>
  <c r="H156" i="1"/>
  <c r="K155" i="1"/>
  <c r="I155" i="1"/>
  <c r="H155" i="1"/>
  <c r="K154" i="1"/>
  <c r="I154" i="1"/>
  <c r="H154" i="1"/>
  <c r="K153" i="1"/>
  <c r="I153" i="1"/>
  <c r="H153" i="1"/>
  <c r="K152" i="1"/>
  <c r="I152" i="1"/>
  <c r="H152" i="1"/>
  <c r="K151" i="1"/>
  <c r="I151" i="1"/>
  <c r="H151" i="1"/>
  <c r="K150" i="1"/>
  <c r="I150" i="1"/>
  <c r="H150" i="1"/>
  <c r="K149" i="1"/>
  <c r="I149" i="1"/>
  <c r="H149" i="1"/>
  <c r="K148" i="1"/>
  <c r="I148" i="1"/>
  <c r="H148" i="1"/>
  <c r="K147" i="1"/>
  <c r="I147" i="1"/>
  <c r="H147" i="1"/>
  <c r="K146" i="1"/>
  <c r="I146" i="1"/>
  <c r="H146" i="1"/>
  <c r="K145" i="1"/>
  <c r="I145" i="1"/>
  <c r="H145" i="1"/>
  <c r="K144" i="1"/>
  <c r="I144" i="1"/>
  <c r="H144" i="1"/>
  <c r="K143" i="1"/>
  <c r="I143" i="1"/>
  <c r="H143" i="1"/>
  <c r="K142" i="1"/>
  <c r="I142" i="1"/>
  <c r="H142" i="1"/>
  <c r="K141" i="1"/>
  <c r="I141" i="1"/>
  <c r="H141" i="1"/>
  <c r="K140" i="1"/>
  <c r="I140" i="1"/>
  <c r="H140" i="1"/>
  <c r="K139" i="1"/>
  <c r="I139" i="1"/>
  <c r="H139" i="1"/>
  <c r="K138" i="1"/>
  <c r="I138" i="1"/>
  <c r="H138" i="1"/>
  <c r="K137" i="1"/>
  <c r="I137" i="1"/>
  <c r="H137" i="1"/>
  <c r="K136" i="1"/>
  <c r="I136" i="1"/>
  <c r="H136" i="1"/>
  <c r="K135" i="1"/>
  <c r="I135" i="1"/>
  <c r="H135" i="1"/>
  <c r="K134" i="1"/>
  <c r="I134" i="1"/>
  <c r="H134" i="1"/>
  <c r="K133" i="1"/>
  <c r="I133" i="1"/>
  <c r="H133" i="1"/>
  <c r="K132" i="1"/>
  <c r="I132" i="1"/>
  <c r="H132" i="1"/>
  <c r="K131" i="1"/>
  <c r="I131" i="1"/>
  <c r="H131" i="1"/>
  <c r="K130" i="1"/>
  <c r="I130" i="1"/>
  <c r="H130" i="1"/>
  <c r="K129" i="1"/>
  <c r="I129" i="1"/>
  <c r="H129" i="1"/>
  <c r="K128" i="1"/>
  <c r="I128" i="1"/>
  <c r="H128" i="1"/>
  <c r="K127" i="1"/>
  <c r="I127" i="1"/>
  <c r="H127" i="1"/>
  <c r="K126" i="1"/>
  <c r="I126" i="1"/>
  <c r="H126" i="1"/>
  <c r="K125" i="1"/>
  <c r="I125" i="1"/>
  <c r="H125" i="1"/>
  <c r="K124" i="1"/>
  <c r="I124" i="1"/>
  <c r="H124" i="1"/>
  <c r="K123" i="1"/>
  <c r="I123" i="1"/>
  <c r="H123" i="1"/>
  <c r="K122" i="1"/>
  <c r="I122" i="1"/>
  <c r="H122" i="1"/>
  <c r="K121" i="1"/>
  <c r="I121" i="1"/>
  <c r="H121" i="1"/>
  <c r="K120" i="1"/>
  <c r="I120" i="1"/>
  <c r="H120" i="1"/>
  <c r="K119" i="1"/>
  <c r="I119" i="1"/>
  <c r="H119" i="1"/>
  <c r="K118" i="1"/>
  <c r="I118" i="1"/>
  <c r="H118" i="1"/>
  <c r="K117" i="1"/>
  <c r="I117" i="1"/>
  <c r="H117" i="1"/>
  <c r="K116" i="1"/>
  <c r="I116" i="1"/>
  <c r="H116" i="1"/>
  <c r="K115" i="1"/>
  <c r="I115" i="1"/>
  <c r="H115" i="1"/>
  <c r="K114" i="1"/>
  <c r="I114" i="1"/>
  <c r="H114" i="1"/>
  <c r="K113" i="1"/>
  <c r="I113" i="1"/>
  <c r="H113" i="1"/>
  <c r="K112" i="1"/>
  <c r="I112" i="1"/>
  <c r="H112" i="1"/>
  <c r="K111" i="1"/>
  <c r="I111" i="1"/>
  <c r="H111" i="1"/>
  <c r="K110" i="1"/>
  <c r="I110" i="1"/>
  <c r="H110" i="1"/>
  <c r="K109" i="1"/>
  <c r="I109" i="1"/>
  <c r="H109" i="1"/>
  <c r="K108" i="1"/>
  <c r="I108" i="1"/>
  <c r="H108" i="1"/>
  <c r="K107" i="1"/>
  <c r="I107" i="1"/>
  <c r="H107" i="1"/>
  <c r="K106" i="1"/>
  <c r="I106" i="1"/>
  <c r="H106" i="1"/>
  <c r="K105" i="1"/>
  <c r="I105" i="1"/>
  <c r="H105" i="1"/>
  <c r="K104" i="1"/>
  <c r="I104" i="1"/>
  <c r="H104" i="1"/>
  <c r="K103" i="1"/>
  <c r="I103" i="1"/>
  <c r="H103" i="1"/>
  <c r="K102" i="1"/>
  <c r="I102" i="1"/>
  <c r="H102" i="1"/>
  <c r="K101" i="1"/>
  <c r="I101" i="1"/>
  <c r="H101" i="1"/>
  <c r="K100" i="1"/>
  <c r="I100" i="1"/>
  <c r="H100" i="1"/>
  <c r="K99" i="1"/>
  <c r="I99" i="1"/>
  <c r="H99" i="1"/>
  <c r="K98" i="1"/>
  <c r="I98" i="1"/>
  <c r="H98" i="1"/>
  <c r="K97" i="1"/>
  <c r="I97" i="1"/>
  <c r="H97" i="1"/>
  <c r="K96" i="1"/>
  <c r="I96" i="1"/>
  <c r="H96" i="1"/>
  <c r="K95" i="1"/>
  <c r="I95" i="1"/>
  <c r="H95" i="1"/>
  <c r="K94" i="1"/>
  <c r="I94" i="1"/>
  <c r="H94" i="1"/>
  <c r="K93" i="1"/>
  <c r="I93" i="1"/>
  <c r="H93" i="1"/>
  <c r="K92" i="1"/>
  <c r="I92" i="1"/>
  <c r="H92" i="1"/>
  <c r="K91" i="1"/>
  <c r="I91" i="1"/>
  <c r="H91" i="1"/>
  <c r="K90" i="1"/>
  <c r="I90" i="1"/>
  <c r="H90" i="1"/>
  <c r="K89" i="1"/>
  <c r="I89" i="1"/>
  <c r="H89" i="1"/>
  <c r="K88" i="1"/>
  <c r="I88" i="1"/>
  <c r="H88" i="1"/>
  <c r="K87" i="1"/>
  <c r="I87" i="1"/>
  <c r="H87" i="1"/>
  <c r="K86" i="1"/>
  <c r="I86" i="1"/>
  <c r="H86" i="1"/>
  <c r="K85" i="1"/>
  <c r="I85" i="1"/>
  <c r="H85" i="1"/>
  <c r="K84" i="1"/>
  <c r="I84" i="1"/>
  <c r="H84" i="1"/>
  <c r="K83" i="1"/>
  <c r="I83" i="1"/>
  <c r="H83" i="1"/>
  <c r="K82" i="1"/>
  <c r="I82" i="1"/>
  <c r="H82" i="1"/>
  <c r="K81" i="1"/>
  <c r="I81" i="1"/>
  <c r="H81" i="1"/>
  <c r="K80" i="1"/>
  <c r="I80" i="1"/>
  <c r="H80" i="1"/>
  <c r="K79" i="1"/>
  <c r="I79" i="1"/>
  <c r="H79" i="1"/>
  <c r="K78" i="1"/>
  <c r="I78" i="1"/>
  <c r="H78" i="1"/>
  <c r="K77" i="1"/>
  <c r="I77" i="1"/>
  <c r="H77" i="1"/>
  <c r="K76" i="1"/>
  <c r="I76" i="1"/>
  <c r="H76" i="1"/>
  <c r="K75" i="1"/>
  <c r="I75" i="1"/>
  <c r="H75" i="1"/>
  <c r="K74" i="1"/>
  <c r="I74" i="1"/>
  <c r="H74" i="1"/>
  <c r="K73" i="1"/>
  <c r="I73" i="1"/>
  <c r="H73" i="1"/>
  <c r="K72" i="1"/>
  <c r="I72" i="1"/>
  <c r="H72" i="1"/>
  <c r="K71" i="1"/>
  <c r="I71" i="1"/>
  <c r="H71" i="1"/>
  <c r="K70" i="1"/>
  <c r="I70" i="1"/>
  <c r="H70" i="1"/>
  <c r="K69" i="1"/>
  <c r="I69" i="1"/>
  <c r="H69" i="1"/>
  <c r="K68" i="1"/>
  <c r="I68" i="1"/>
  <c r="H68" i="1"/>
  <c r="K67" i="1"/>
  <c r="I67" i="1"/>
  <c r="H67" i="1"/>
  <c r="K66" i="1"/>
  <c r="I66" i="1"/>
  <c r="H66" i="1"/>
  <c r="K65" i="1"/>
  <c r="I65" i="1"/>
  <c r="H65" i="1"/>
  <c r="K64" i="1"/>
  <c r="I64" i="1"/>
  <c r="H64" i="1"/>
  <c r="K63" i="1"/>
  <c r="I63" i="1"/>
  <c r="H63" i="1"/>
  <c r="K62" i="1"/>
  <c r="I62" i="1"/>
  <c r="H62" i="1"/>
  <c r="K61" i="1"/>
  <c r="I61" i="1"/>
  <c r="H61" i="1"/>
  <c r="K60" i="1"/>
  <c r="I60" i="1"/>
  <c r="H60" i="1"/>
  <c r="K59" i="1"/>
  <c r="I59" i="1"/>
  <c r="H59" i="1"/>
  <c r="K58" i="1"/>
  <c r="I58" i="1"/>
  <c r="H58" i="1"/>
  <c r="K57" i="1"/>
  <c r="I57" i="1"/>
  <c r="H57" i="1"/>
  <c r="K56" i="1"/>
  <c r="I56" i="1"/>
  <c r="H56" i="1"/>
  <c r="K55" i="1"/>
  <c r="I55" i="1"/>
  <c r="H55" i="1"/>
  <c r="K54" i="1"/>
  <c r="I54" i="1"/>
  <c r="H54" i="1"/>
  <c r="K53" i="1"/>
  <c r="I53" i="1"/>
  <c r="H53" i="1"/>
  <c r="K52" i="1"/>
  <c r="I52" i="1"/>
  <c r="H52" i="1"/>
  <c r="K51" i="1"/>
  <c r="I51" i="1"/>
  <c r="H51" i="1"/>
  <c r="K50" i="1"/>
  <c r="I50" i="1"/>
  <c r="H50" i="1"/>
  <c r="K49" i="1"/>
  <c r="I49" i="1"/>
  <c r="H49" i="1"/>
  <c r="K48" i="1"/>
  <c r="I48" i="1"/>
  <c r="H48" i="1"/>
  <c r="K47" i="1"/>
  <c r="I47" i="1"/>
  <c r="H47" i="1"/>
  <c r="K46" i="1"/>
  <c r="I46" i="1"/>
  <c r="H46" i="1"/>
  <c r="K45" i="1"/>
  <c r="I45" i="1"/>
  <c r="H45" i="1"/>
  <c r="K44" i="1"/>
  <c r="I44" i="1"/>
  <c r="H44" i="1"/>
  <c r="K43" i="1"/>
  <c r="I43" i="1"/>
  <c r="H43" i="1"/>
  <c r="K42" i="1"/>
  <c r="I42" i="1"/>
  <c r="H42" i="1"/>
  <c r="K41" i="1"/>
  <c r="I41" i="1"/>
  <c r="H41" i="1"/>
  <c r="K40" i="1"/>
  <c r="I40" i="1"/>
  <c r="H40" i="1"/>
  <c r="K39" i="1"/>
  <c r="I39" i="1"/>
  <c r="H39" i="1"/>
  <c r="K38" i="1"/>
  <c r="I38" i="1"/>
  <c r="H38" i="1"/>
  <c r="K37" i="1"/>
  <c r="I37" i="1"/>
  <c r="H37" i="1"/>
  <c r="K36" i="1"/>
  <c r="I36" i="1"/>
  <c r="H36" i="1"/>
  <c r="K35" i="1"/>
  <c r="I35" i="1"/>
  <c r="H35" i="1"/>
  <c r="K34" i="1"/>
  <c r="I34" i="1"/>
  <c r="H34" i="1"/>
  <c r="K33" i="1"/>
  <c r="I33" i="1"/>
  <c r="H33" i="1"/>
  <c r="K32" i="1"/>
  <c r="I32" i="1"/>
  <c r="H32" i="1"/>
  <c r="K31" i="1"/>
  <c r="I31" i="1"/>
  <c r="H31" i="1"/>
  <c r="K30" i="1"/>
  <c r="I30" i="1"/>
  <c r="H30" i="1"/>
  <c r="K29" i="1"/>
  <c r="I29" i="1"/>
  <c r="H29" i="1"/>
  <c r="K28" i="1"/>
  <c r="I28" i="1"/>
  <c r="H28" i="1"/>
  <c r="K27" i="1"/>
  <c r="I27" i="1"/>
  <c r="H27" i="1"/>
  <c r="K26" i="1"/>
  <c r="I26" i="1"/>
  <c r="H26" i="1"/>
  <c r="K25" i="1"/>
  <c r="I25" i="1"/>
  <c r="H25" i="1"/>
  <c r="K24" i="1"/>
  <c r="I24" i="1"/>
  <c r="H24" i="1"/>
  <c r="K23" i="1"/>
  <c r="I23" i="1"/>
  <c r="H23" i="1"/>
  <c r="K22" i="1"/>
  <c r="I22" i="1"/>
  <c r="H22" i="1"/>
  <c r="K21" i="1"/>
  <c r="I21" i="1"/>
  <c r="H21" i="1"/>
  <c r="K20" i="1"/>
  <c r="I20" i="1"/>
  <c r="H20" i="1"/>
  <c r="K19" i="1"/>
  <c r="I19" i="1"/>
  <c r="H19" i="1"/>
  <c r="K18" i="1"/>
  <c r="I18" i="1"/>
  <c r="H18" i="1"/>
  <c r="K17" i="1"/>
  <c r="I17" i="1"/>
  <c r="H17" i="1"/>
  <c r="K16" i="1"/>
  <c r="I16" i="1"/>
  <c r="H16" i="1"/>
  <c r="K15" i="1"/>
  <c r="I15" i="1"/>
  <c r="H15" i="1"/>
  <c r="K14" i="1"/>
  <c r="I14" i="1"/>
  <c r="H14" i="1"/>
  <c r="K13" i="1"/>
  <c r="I13" i="1"/>
  <c r="H13" i="1"/>
  <c r="K12" i="1"/>
  <c r="I12" i="1"/>
  <c r="H12" i="1"/>
  <c r="K11" i="1"/>
  <c r="I11" i="1"/>
  <c r="H11" i="1"/>
  <c r="K10" i="1"/>
  <c r="I10" i="1"/>
  <c r="H10" i="1"/>
  <c r="K9" i="1"/>
  <c r="I9" i="1"/>
  <c r="H9" i="1"/>
  <c r="K8" i="1"/>
  <c r="I8" i="1"/>
  <c r="H8" i="1"/>
  <c r="K7" i="1"/>
  <c r="I7" i="1"/>
  <c r="H7" i="1"/>
  <c r="K6" i="1"/>
  <c r="I6" i="1"/>
  <c r="H6" i="1"/>
  <c r="K5" i="1"/>
  <c r="I5" i="1"/>
  <c r="H5" i="1"/>
  <c r="K4" i="1"/>
  <c r="I4" i="1"/>
  <c r="H4" i="1"/>
  <c r="K3" i="1"/>
  <c r="I3" i="1"/>
  <c r="H3" i="1"/>
  <c r="K2" i="1"/>
  <c r="I2" i="1"/>
  <c r="H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66C5C6D-03B4-498D-B6C8-2357C66AAEA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9625366D-ED43-4012-9812-ECC8F6866E0D}" name="WorksheetConnection_Call Center Data_DataSource.xlsx!Table_1" type="102" refreshedVersion="8" minRefreshableVersion="5">
    <extLst>
      <ext xmlns:x15="http://schemas.microsoft.com/office/spreadsheetml/2010/11/main" uri="{DE250136-89BD-433C-8126-D09CA5730AF9}">
        <x15:connection id="Table_1" autoDelete="1">
          <x15:rangePr sourceName="_xlcn.WorksheetConnection_CallCenterData_DataSource.xlsxTable_1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<sst xmlns="http://schemas.openxmlformats.org/spreadsheetml/2006/main" count="4153" uniqueCount="1074">
  <si>
    <t>Call number</t>
  </si>
  <si>
    <t>Customer ID</t>
  </si>
  <si>
    <t>Duration</t>
  </si>
  <si>
    <t>Representative</t>
  </si>
  <si>
    <t>Date of Call</t>
  </si>
  <si>
    <t>Purchase Amount</t>
  </si>
  <si>
    <t>Satisfaction Rating</t>
  </si>
  <si>
    <t>Financial Year</t>
  </si>
  <si>
    <t>Day of week</t>
  </si>
  <si>
    <t>Duration Bucket</t>
  </si>
  <si>
    <t>Rating rounded</t>
  </si>
  <si>
    <t>Call_7271</t>
  </si>
  <si>
    <t>C0003</t>
  </si>
  <si>
    <t>R05</t>
  </si>
  <si>
    <t>1 to 2 hours</t>
  </si>
  <si>
    <t>Call_7272</t>
  </si>
  <si>
    <t>C0004</t>
  </si>
  <si>
    <t>Call_7273</t>
  </si>
  <si>
    <t>C0005</t>
  </si>
  <si>
    <t>R02</t>
  </si>
  <si>
    <t>Call_7274</t>
  </si>
  <si>
    <t>C0014</t>
  </si>
  <si>
    <t>Call_7275</t>
  </si>
  <si>
    <t>C0011</t>
  </si>
  <si>
    <t>R01</t>
  </si>
  <si>
    <t>More than 2 hours</t>
  </si>
  <si>
    <t>Call_7276</t>
  </si>
  <si>
    <t>30 to 60 mins</t>
  </si>
  <si>
    <t>Call_7277</t>
  </si>
  <si>
    <t>C0007</t>
  </si>
  <si>
    <t>Call_7278</t>
  </si>
  <si>
    <t>R04</t>
  </si>
  <si>
    <t>Call_7279</t>
  </si>
  <si>
    <t>Call_7280</t>
  </si>
  <si>
    <t>C0010</t>
  </si>
  <si>
    <t>R03</t>
  </si>
  <si>
    <t>Call_7281</t>
  </si>
  <si>
    <t>Call_7282</t>
  </si>
  <si>
    <t>C0013</t>
  </si>
  <si>
    <t>Call_7283</t>
  </si>
  <si>
    <t>C0002</t>
  </si>
  <si>
    <t>Call_7284</t>
  </si>
  <si>
    <t>Call_7285</t>
  </si>
  <si>
    <t>Call_7286</t>
  </si>
  <si>
    <t>Call_7287</t>
  </si>
  <si>
    <t>Call_7288</t>
  </si>
  <si>
    <t>C0009</t>
  </si>
  <si>
    <t>10 to 30 mins</t>
  </si>
  <si>
    <t>Call_7289</t>
  </si>
  <si>
    <t>Call_7290</t>
  </si>
  <si>
    <t>C0006</t>
  </si>
  <si>
    <t>Call_7291</t>
  </si>
  <si>
    <t>Call_7292</t>
  </si>
  <si>
    <t>Call_7293</t>
  </si>
  <si>
    <t>Call_7294</t>
  </si>
  <si>
    <t>C0015</t>
  </si>
  <si>
    <t>Call_7295</t>
  </si>
  <si>
    <t>Call_7296</t>
  </si>
  <si>
    <t>C0012</t>
  </si>
  <si>
    <t>Call_7297</t>
  </si>
  <si>
    <t>Call_7298</t>
  </si>
  <si>
    <t>Call_7299</t>
  </si>
  <si>
    <t>Call_7300</t>
  </si>
  <si>
    <t>Call_7301</t>
  </si>
  <si>
    <t>Call_7302</t>
  </si>
  <si>
    <t>Call_7303</t>
  </si>
  <si>
    <t>Call_7304</t>
  </si>
  <si>
    <t>Call_7305</t>
  </si>
  <si>
    <t>C0001</t>
  </si>
  <si>
    <t>Call_7306</t>
  </si>
  <si>
    <t>Call_7307</t>
  </si>
  <si>
    <t>Call_7308</t>
  </si>
  <si>
    <t>Call_7309</t>
  </si>
  <si>
    <t>Call_7310</t>
  </si>
  <si>
    <t>Call_7311</t>
  </si>
  <si>
    <t>Call_7312</t>
  </si>
  <si>
    <t>Call_7313</t>
  </si>
  <si>
    <t>Call_7314</t>
  </si>
  <si>
    <t>Call_7315</t>
  </si>
  <si>
    <t>Call_7316</t>
  </si>
  <si>
    <t>Call_7317</t>
  </si>
  <si>
    <t>Call_7318</t>
  </si>
  <si>
    <t>Call_7319</t>
  </si>
  <si>
    <t>Call_7320</t>
  </si>
  <si>
    <t>Call_7321</t>
  </si>
  <si>
    <t>Call_7322</t>
  </si>
  <si>
    <t>Call_7323</t>
  </si>
  <si>
    <t>Call_7324</t>
  </si>
  <si>
    <t>C0008</t>
  </si>
  <si>
    <t>Call_7325</t>
  </si>
  <si>
    <t>Call_7326</t>
  </si>
  <si>
    <t>Call_7327</t>
  </si>
  <si>
    <t>Call_7328</t>
  </si>
  <si>
    <t>Call_7329</t>
  </si>
  <si>
    <t>Call_7330</t>
  </si>
  <si>
    <t>Call_7331</t>
  </si>
  <si>
    <t>Call_7332</t>
  </si>
  <si>
    <t>Call_7333</t>
  </si>
  <si>
    <t>Call_7334</t>
  </si>
  <si>
    <t>Call_7335</t>
  </si>
  <si>
    <t>Call_7336</t>
  </si>
  <si>
    <t>Call_7337</t>
  </si>
  <si>
    <t>Call_7338</t>
  </si>
  <si>
    <t>Call_7339</t>
  </si>
  <si>
    <t>Call_7340</t>
  </si>
  <si>
    <t>Call_7341</t>
  </si>
  <si>
    <t>Call_7342</t>
  </si>
  <si>
    <t>Call_7343</t>
  </si>
  <si>
    <t>Call_7344</t>
  </si>
  <si>
    <t>Call_7345</t>
  </si>
  <si>
    <t>Call_7346</t>
  </si>
  <si>
    <t>Call_7347</t>
  </si>
  <si>
    <t>Call_7348</t>
  </si>
  <si>
    <t>Call_7349</t>
  </si>
  <si>
    <t>Call_7350</t>
  </si>
  <si>
    <t>Call_7351</t>
  </si>
  <si>
    <t>Call_7352</t>
  </si>
  <si>
    <t>Call_7353</t>
  </si>
  <si>
    <t>Call_7354</t>
  </si>
  <si>
    <t>Call_7355</t>
  </si>
  <si>
    <t>Call_7356</t>
  </si>
  <si>
    <t>Call_7357</t>
  </si>
  <si>
    <t>Call_7358</t>
  </si>
  <si>
    <t>Call_7359</t>
  </si>
  <si>
    <t>Call_7360</t>
  </si>
  <si>
    <t>Call_7361</t>
  </si>
  <si>
    <t>Call_7362</t>
  </si>
  <si>
    <t>Call_7363</t>
  </si>
  <si>
    <t>Call_7364</t>
  </si>
  <si>
    <t>Call_7365</t>
  </si>
  <si>
    <t>Call_7366</t>
  </si>
  <si>
    <t>Call_7367</t>
  </si>
  <si>
    <t>Call_7368</t>
  </si>
  <si>
    <t>Call_7369</t>
  </si>
  <si>
    <t>Call_7370</t>
  </si>
  <si>
    <t>Call_7371</t>
  </si>
  <si>
    <t>Call_7372</t>
  </si>
  <si>
    <t>Call_7373</t>
  </si>
  <si>
    <t>Call_7374</t>
  </si>
  <si>
    <t>Call_7375</t>
  </si>
  <si>
    <t>Call_7376</t>
  </si>
  <si>
    <t>Call_7377</t>
  </si>
  <si>
    <t>Call_7378</t>
  </si>
  <si>
    <t>Call_7379</t>
  </si>
  <si>
    <t>Call_7380</t>
  </si>
  <si>
    <t>Call_7381</t>
  </si>
  <si>
    <t>Call_7382</t>
  </si>
  <si>
    <t>Call_7383</t>
  </si>
  <si>
    <t>Call_7384</t>
  </si>
  <si>
    <t>Call_7385</t>
  </si>
  <si>
    <t>Call_7386</t>
  </si>
  <si>
    <t>Call_7387</t>
  </si>
  <si>
    <t>Call_7388</t>
  </si>
  <si>
    <t>Call_7389</t>
  </si>
  <si>
    <t>Call_7390</t>
  </si>
  <si>
    <t>Call_7391</t>
  </si>
  <si>
    <t>Call_7392</t>
  </si>
  <si>
    <t>Call_7393</t>
  </si>
  <si>
    <t>Call_7394</t>
  </si>
  <si>
    <t>Call_7395</t>
  </si>
  <si>
    <t>Call_7396</t>
  </si>
  <si>
    <t>Call_7397</t>
  </si>
  <si>
    <t>Call_7398</t>
  </si>
  <si>
    <t>Call_7399</t>
  </si>
  <si>
    <t>Call_7400</t>
  </si>
  <si>
    <t>Call_7401</t>
  </si>
  <si>
    <t>Call_7402</t>
  </si>
  <si>
    <t>Call_7403</t>
  </si>
  <si>
    <t>Call_7404</t>
  </si>
  <si>
    <t>Call_7405</t>
  </si>
  <si>
    <t>Call_7406</t>
  </si>
  <si>
    <t>Call_7407</t>
  </si>
  <si>
    <t>Call_7408</t>
  </si>
  <si>
    <t>Call_7409</t>
  </si>
  <si>
    <t>Call_7410</t>
  </si>
  <si>
    <t>Call_7411</t>
  </si>
  <si>
    <t>Under 10 mins</t>
  </si>
  <si>
    <t>Call_7412</t>
  </si>
  <si>
    <t>Call_7413</t>
  </si>
  <si>
    <t>Call_7414</t>
  </si>
  <si>
    <t>Call_7415</t>
  </si>
  <si>
    <t>Call_7416</t>
  </si>
  <si>
    <t>Call_7417</t>
  </si>
  <si>
    <t>Call_7418</t>
  </si>
  <si>
    <t>Call_7419</t>
  </si>
  <si>
    <t>Call_7420</t>
  </si>
  <si>
    <t>Call_7421</t>
  </si>
  <si>
    <t>Call_7422</t>
  </si>
  <si>
    <t>Call_7423</t>
  </si>
  <si>
    <t>Call_7424</t>
  </si>
  <si>
    <t>Call_7425</t>
  </si>
  <si>
    <t>Call_7426</t>
  </si>
  <si>
    <t>Call_7427</t>
  </si>
  <si>
    <t>Call_7428</t>
  </si>
  <si>
    <t>Call_7429</t>
  </si>
  <si>
    <t>Call_7430</t>
  </si>
  <si>
    <t>Call_7431</t>
  </si>
  <si>
    <t>Call_7432</t>
  </si>
  <si>
    <t>Call_7433</t>
  </si>
  <si>
    <t>Call_7434</t>
  </si>
  <si>
    <t>Call_7435</t>
  </si>
  <si>
    <t>Call_7436</t>
  </si>
  <si>
    <t>Call_7437</t>
  </si>
  <si>
    <t>Call_7438</t>
  </si>
  <si>
    <t>Call_7439</t>
  </si>
  <si>
    <t>Call_7440</t>
  </si>
  <si>
    <t>Call_7441</t>
  </si>
  <si>
    <t>Call_7442</t>
  </si>
  <si>
    <t>Call_7443</t>
  </si>
  <si>
    <t>Call_7444</t>
  </si>
  <si>
    <t>Call_7445</t>
  </si>
  <si>
    <t>Call_7446</t>
  </si>
  <si>
    <t>Call_7447</t>
  </si>
  <si>
    <t>Call_7448</t>
  </si>
  <si>
    <t>Call_7449</t>
  </si>
  <si>
    <t>Call_7450</t>
  </si>
  <si>
    <t>Call_7451</t>
  </si>
  <si>
    <t>Call_7452</t>
  </si>
  <si>
    <t>Call_7453</t>
  </si>
  <si>
    <t>Call_7454</t>
  </si>
  <si>
    <t>Call_7455</t>
  </si>
  <si>
    <t>Call_7456</t>
  </si>
  <si>
    <t>Call_7457</t>
  </si>
  <si>
    <t>Call_7458</t>
  </si>
  <si>
    <t>Call_7459</t>
  </si>
  <si>
    <t>Call_7460</t>
  </si>
  <si>
    <t>Call_7461</t>
  </si>
  <si>
    <t>Call_7462</t>
  </si>
  <si>
    <t>Call_7463</t>
  </si>
  <si>
    <t>Call_7464</t>
  </si>
  <si>
    <t>Call_7465</t>
  </si>
  <si>
    <t>Call_7466</t>
  </si>
  <si>
    <t>Call_7467</t>
  </si>
  <si>
    <t>Call_7468</t>
  </si>
  <si>
    <t>Call_7469</t>
  </si>
  <si>
    <t>Call_7470</t>
  </si>
  <si>
    <t>Call_7471</t>
  </si>
  <si>
    <t>Call_7472</t>
  </si>
  <si>
    <t>Call_7473</t>
  </si>
  <si>
    <t>Call_7474</t>
  </si>
  <si>
    <t>Call_7475</t>
  </si>
  <si>
    <t>Call_7476</t>
  </si>
  <si>
    <t>Call_7477</t>
  </si>
  <si>
    <t>Call_7478</t>
  </si>
  <si>
    <t>Call_7479</t>
  </si>
  <si>
    <t>Call_7480</t>
  </si>
  <si>
    <t>Call_7481</t>
  </si>
  <si>
    <t>Call_7482</t>
  </si>
  <si>
    <t>Call_7483</t>
  </si>
  <si>
    <t>Call_7484</t>
  </si>
  <si>
    <t>Call_7485</t>
  </si>
  <si>
    <t>Call_7486</t>
  </si>
  <si>
    <t>Call_7487</t>
  </si>
  <si>
    <t>Call_7488</t>
  </si>
  <si>
    <t>Call_7489</t>
  </si>
  <si>
    <t>Call_7490</t>
  </si>
  <si>
    <t>Call_7491</t>
  </si>
  <si>
    <t>Call_7492</t>
  </si>
  <si>
    <t>Call_7493</t>
  </si>
  <si>
    <t>Call_7494</t>
  </si>
  <si>
    <t>Call_7495</t>
  </si>
  <si>
    <t>Call_7496</t>
  </si>
  <si>
    <t>Call_7497</t>
  </si>
  <si>
    <t>Call_7498</t>
  </si>
  <si>
    <t>Call_7499</t>
  </si>
  <si>
    <t>Call_7500</t>
  </si>
  <si>
    <t>Call_7501</t>
  </si>
  <si>
    <t>Call_7502</t>
  </si>
  <si>
    <t>Call_7503</t>
  </si>
  <si>
    <t>Call_7504</t>
  </si>
  <si>
    <t>Call_7505</t>
  </si>
  <si>
    <t>Call_7506</t>
  </si>
  <si>
    <t>Call_7507</t>
  </si>
  <si>
    <t>Call_7508</t>
  </si>
  <si>
    <t>Call_7509</t>
  </si>
  <si>
    <t>Call_7510</t>
  </si>
  <si>
    <t>Call_7511</t>
  </si>
  <si>
    <t>Call_7512</t>
  </si>
  <si>
    <t>Call_7513</t>
  </si>
  <si>
    <t>Call_7514</t>
  </si>
  <si>
    <t>Call_7515</t>
  </si>
  <si>
    <t>Call_7516</t>
  </si>
  <si>
    <t>Call_7517</t>
  </si>
  <si>
    <t>Call_7518</t>
  </si>
  <si>
    <t>Call_7519</t>
  </si>
  <si>
    <t>Call_7520</t>
  </si>
  <si>
    <t>Call_7521</t>
  </si>
  <si>
    <t>Call_7522</t>
  </si>
  <si>
    <t>Call_7523</t>
  </si>
  <si>
    <t>Call_7524</t>
  </si>
  <si>
    <t>Call_7525</t>
  </si>
  <si>
    <t>Call_7526</t>
  </si>
  <si>
    <t>Call_7527</t>
  </si>
  <si>
    <t>Call_7528</t>
  </si>
  <si>
    <t>Call_7529</t>
  </si>
  <si>
    <t>Call_7530</t>
  </si>
  <si>
    <t>Call_7531</t>
  </si>
  <si>
    <t>Call_7532</t>
  </si>
  <si>
    <t>Call_7533</t>
  </si>
  <si>
    <t>Call_7534</t>
  </si>
  <si>
    <t>Call_7535</t>
  </si>
  <si>
    <t>Call_7536</t>
  </si>
  <si>
    <t>Call_7537</t>
  </si>
  <si>
    <t>Call_7538</t>
  </si>
  <si>
    <t>Call_7539</t>
  </si>
  <si>
    <t>Call_7540</t>
  </si>
  <si>
    <t>Call_7541</t>
  </si>
  <si>
    <t>Call_7542</t>
  </si>
  <si>
    <t>Call_7543</t>
  </si>
  <si>
    <t>Call_7544</t>
  </si>
  <si>
    <t>Call_7545</t>
  </si>
  <si>
    <t>Call_7546</t>
  </si>
  <si>
    <t>Call_7547</t>
  </si>
  <si>
    <t>Call_7548</t>
  </si>
  <si>
    <t>Call_7549</t>
  </si>
  <si>
    <t>Call_7550</t>
  </si>
  <si>
    <t>Call_7551</t>
  </si>
  <si>
    <t>Call_7552</t>
  </si>
  <si>
    <t>Call_7553</t>
  </si>
  <si>
    <t>Call_7554</t>
  </si>
  <si>
    <t>Call_7555</t>
  </si>
  <si>
    <t>Call_7556</t>
  </si>
  <si>
    <t>Call_7557</t>
  </si>
  <si>
    <t>Call_7558</t>
  </si>
  <si>
    <t>Call_7559</t>
  </si>
  <si>
    <t>Call_7560</t>
  </si>
  <si>
    <t>Call_7561</t>
  </si>
  <si>
    <t>Call_7562</t>
  </si>
  <si>
    <t>Call_7563</t>
  </si>
  <si>
    <t>Call_7564</t>
  </si>
  <si>
    <t>Call_7565</t>
  </si>
  <si>
    <t>Call_7566</t>
  </si>
  <si>
    <t>Call_7567</t>
  </si>
  <si>
    <t>Call_7568</t>
  </si>
  <si>
    <t>Call_7569</t>
  </si>
  <si>
    <t>Call_7570</t>
  </si>
  <si>
    <t>Call_7571</t>
  </si>
  <si>
    <t>Call_7572</t>
  </si>
  <si>
    <t>Call_7573</t>
  </si>
  <si>
    <t>Call_7574</t>
  </si>
  <si>
    <t>Call_7575</t>
  </si>
  <si>
    <t>Call_7576</t>
  </si>
  <si>
    <t>Call_7577</t>
  </si>
  <si>
    <t>Call_7578</t>
  </si>
  <si>
    <t>Call_7579</t>
  </si>
  <si>
    <t>Call_7580</t>
  </si>
  <si>
    <t>Call_7581</t>
  </si>
  <si>
    <t>Call_7582</t>
  </si>
  <si>
    <t>Call_7583</t>
  </si>
  <si>
    <t>Call_7584</t>
  </si>
  <si>
    <t>Call_7585</t>
  </si>
  <si>
    <t>Call_7586</t>
  </si>
  <si>
    <t>Call_7587</t>
  </si>
  <si>
    <t>Call_7588</t>
  </si>
  <si>
    <t>Call_7589</t>
  </si>
  <si>
    <t>Call_7590</t>
  </si>
  <si>
    <t>Call_7591</t>
  </si>
  <si>
    <t>Call_7592</t>
  </si>
  <si>
    <t>Call_7593</t>
  </si>
  <si>
    <t>Call_7594</t>
  </si>
  <si>
    <t>Call_7595</t>
  </si>
  <si>
    <t>Call_7596</t>
  </si>
  <si>
    <t>Call_7597</t>
  </si>
  <si>
    <t>Call_7598</t>
  </si>
  <si>
    <t>Call_7599</t>
  </si>
  <si>
    <t>Call_7600</t>
  </si>
  <si>
    <t>Call_7601</t>
  </si>
  <si>
    <t>Call_7602</t>
  </si>
  <si>
    <t>Call_7603</t>
  </si>
  <si>
    <t>Call_7604</t>
  </si>
  <si>
    <t>Call_7605</t>
  </si>
  <si>
    <t>Call_7606</t>
  </si>
  <si>
    <t>Call_7607</t>
  </si>
  <si>
    <t>Call_7608</t>
  </si>
  <si>
    <t>Call_7609</t>
  </si>
  <si>
    <t>Call_7610</t>
  </si>
  <si>
    <t>Call_7611</t>
  </si>
  <si>
    <t>Call_7612</t>
  </si>
  <si>
    <t>Call_7613</t>
  </si>
  <si>
    <t>Call_7614</t>
  </si>
  <si>
    <t>Call_7615</t>
  </si>
  <si>
    <t>Call_7616</t>
  </si>
  <si>
    <t>Call_7617</t>
  </si>
  <si>
    <t>Call_7618</t>
  </si>
  <si>
    <t>Call_7619</t>
  </si>
  <si>
    <t>Call_7620</t>
  </si>
  <si>
    <t>Call_7621</t>
  </si>
  <si>
    <t>Call_7622</t>
  </si>
  <si>
    <t>Call_7623</t>
  </si>
  <si>
    <t>Call_7624</t>
  </si>
  <si>
    <t>Call_7625</t>
  </si>
  <si>
    <t>Call_7626</t>
  </si>
  <si>
    <t>Call_7627</t>
  </si>
  <si>
    <t>Call_7628</t>
  </si>
  <si>
    <t>Call_7629</t>
  </si>
  <si>
    <t>Call_7630</t>
  </si>
  <si>
    <t>Call_7631</t>
  </si>
  <si>
    <t>Call_7632</t>
  </si>
  <si>
    <t>Call_7633</t>
  </si>
  <si>
    <t>Call_7634</t>
  </si>
  <si>
    <t>Call_7635</t>
  </si>
  <si>
    <t>Call_7636</t>
  </si>
  <si>
    <t>Call_7637</t>
  </si>
  <si>
    <t>Call_7638</t>
  </si>
  <si>
    <t>Call_7639</t>
  </si>
  <si>
    <t>Call_7640</t>
  </si>
  <si>
    <t>Call_7641</t>
  </si>
  <si>
    <t>Call_7642</t>
  </si>
  <si>
    <t>Call_7643</t>
  </si>
  <si>
    <t>Call_7644</t>
  </si>
  <si>
    <t>Call_7645</t>
  </si>
  <si>
    <t>Call_7646</t>
  </si>
  <si>
    <t>Call_7647</t>
  </si>
  <si>
    <t>Call_7648</t>
  </si>
  <si>
    <t>Call_7649</t>
  </si>
  <si>
    <t>Call_7650</t>
  </si>
  <si>
    <t>Call_7651</t>
  </si>
  <si>
    <t>Call_7652</t>
  </si>
  <si>
    <t>Call_7653</t>
  </si>
  <si>
    <t>Call_7654</t>
  </si>
  <si>
    <t>Call_7655</t>
  </si>
  <si>
    <t>Call_7656</t>
  </si>
  <si>
    <t>Call_7657</t>
  </si>
  <si>
    <t>Call_7658</t>
  </si>
  <si>
    <t>Call_7659</t>
  </si>
  <si>
    <t>Call_7660</t>
  </si>
  <si>
    <t>Call_7661</t>
  </si>
  <si>
    <t>Call_7662</t>
  </si>
  <si>
    <t>Call_7663</t>
  </si>
  <si>
    <t>Call_7664</t>
  </si>
  <si>
    <t>Call_7665</t>
  </si>
  <si>
    <t>Call_7666</t>
  </si>
  <si>
    <t>Call_7667</t>
  </si>
  <si>
    <t>Call_7668</t>
  </si>
  <si>
    <t>Call_7669</t>
  </si>
  <si>
    <t>Call_7670</t>
  </si>
  <si>
    <t>Call_7671</t>
  </si>
  <si>
    <t>Call_7672</t>
  </si>
  <si>
    <t>Call_7673</t>
  </si>
  <si>
    <t>Call_7674</t>
  </si>
  <si>
    <t>Call_7675</t>
  </si>
  <si>
    <t>Call_7676</t>
  </si>
  <si>
    <t>Call_7677</t>
  </si>
  <si>
    <t>Call_7678</t>
  </si>
  <si>
    <t>Call_7679</t>
  </si>
  <si>
    <t>Call_7680</t>
  </si>
  <si>
    <t>Call_7681</t>
  </si>
  <si>
    <t>Call_7682</t>
  </si>
  <si>
    <t>Call_7683</t>
  </si>
  <si>
    <t>Call_7684</t>
  </si>
  <si>
    <t>Call_7685</t>
  </si>
  <si>
    <t>Call_7686</t>
  </si>
  <si>
    <t>Call_7687</t>
  </si>
  <si>
    <t>Call_7688</t>
  </si>
  <si>
    <t>Call_7689</t>
  </si>
  <si>
    <t>Call_7690</t>
  </si>
  <si>
    <t>Call_7691</t>
  </si>
  <si>
    <t>Call_7692</t>
  </si>
  <si>
    <t>Call_7693</t>
  </si>
  <si>
    <t>Call_7694</t>
  </si>
  <si>
    <t>Call_7695</t>
  </si>
  <si>
    <t>Call_7696</t>
  </si>
  <si>
    <t>Call_7697</t>
  </si>
  <si>
    <t>Call_7698</t>
  </si>
  <si>
    <t>Call_7699</t>
  </si>
  <si>
    <t>Call_7700</t>
  </si>
  <si>
    <t>Call_7701</t>
  </si>
  <si>
    <t>Call_7702</t>
  </si>
  <si>
    <t>Call_7703</t>
  </si>
  <si>
    <t>Call_7704</t>
  </si>
  <si>
    <t>Call_7705</t>
  </si>
  <si>
    <t>Call_7706</t>
  </si>
  <si>
    <t>Call_7707</t>
  </si>
  <si>
    <t>Call_7708</t>
  </si>
  <si>
    <t>Call_7709</t>
  </si>
  <si>
    <t>Call_7710</t>
  </si>
  <si>
    <t>Call_7711</t>
  </si>
  <si>
    <t>Call_7712</t>
  </si>
  <si>
    <t>Call_7713</t>
  </si>
  <si>
    <t>Call_7714</t>
  </si>
  <si>
    <t>Call_7715</t>
  </si>
  <si>
    <t>Call_7716</t>
  </si>
  <si>
    <t>Call_7717</t>
  </si>
  <si>
    <t>Call_7718</t>
  </si>
  <si>
    <t>Call_7719</t>
  </si>
  <si>
    <t>Call_7720</t>
  </si>
  <si>
    <t>Call_7721</t>
  </si>
  <si>
    <t>Call_7722</t>
  </si>
  <si>
    <t>Call_7723</t>
  </si>
  <si>
    <t>Call_7724</t>
  </si>
  <si>
    <t>Call_7725</t>
  </si>
  <si>
    <t>Call_7726</t>
  </si>
  <si>
    <t>Call_7727</t>
  </si>
  <si>
    <t>Call_7728</t>
  </si>
  <si>
    <t>Call_7729</t>
  </si>
  <si>
    <t>Call_7730</t>
  </si>
  <si>
    <t>Call_7731</t>
  </si>
  <si>
    <t>Call_7732</t>
  </si>
  <si>
    <t>Call_7733</t>
  </si>
  <si>
    <t>Call_7734</t>
  </si>
  <si>
    <t>Call_7735</t>
  </si>
  <si>
    <t>Call_7736</t>
  </si>
  <si>
    <t>Call_7737</t>
  </si>
  <si>
    <t>Call_7738</t>
  </si>
  <si>
    <t>Call_7739</t>
  </si>
  <si>
    <t>Call_7740</t>
  </si>
  <si>
    <t>Call_7741</t>
  </si>
  <si>
    <t>Call_7742</t>
  </si>
  <si>
    <t>Call_7743</t>
  </si>
  <si>
    <t>Call_7744</t>
  </si>
  <si>
    <t>Call_7745</t>
  </si>
  <si>
    <t>Call_7746</t>
  </si>
  <si>
    <t>Call_7747</t>
  </si>
  <si>
    <t>Call_7748</t>
  </si>
  <si>
    <t>Call_7749</t>
  </si>
  <si>
    <t>Call_7750</t>
  </si>
  <si>
    <t>Call_7751</t>
  </si>
  <si>
    <t>Call_7752</t>
  </si>
  <si>
    <t>Call_7753</t>
  </si>
  <si>
    <t>Call_7754</t>
  </si>
  <si>
    <t>Call_7755</t>
  </si>
  <si>
    <t>Call_7756</t>
  </si>
  <si>
    <t>Call_7757</t>
  </si>
  <si>
    <t>Call_7758</t>
  </si>
  <si>
    <t>Call_7759</t>
  </si>
  <si>
    <t>Call_7760</t>
  </si>
  <si>
    <t>Call_7761</t>
  </si>
  <si>
    <t>Call_7762</t>
  </si>
  <si>
    <t>Call_7763</t>
  </si>
  <si>
    <t>Call_7764</t>
  </si>
  <si>
    <t>Call_7765</t>
  </si>
  <si>
    <t>Call_7766</t>
  </si>
  <si>
    <t>Call_7767</t>
  </si>
  <si>
    <t>Call_7768</t>
  </si>
  <si>
    <t>Call_7769</t>
  </si>
  <si>
    <t>Call_7770</t>
  </si>
  <si>
    <t>Call_7771</t>
  </si>
  <si>
    <t>Call_7772</t>
  </si>
  <si>
    <t>Call_7773</t>
  </si>
  <si>
    <t>Call_7774</t>
  </si>
  <si>
    <t>Call_7775</t>
  </si>
  <si>
    <t>Call_7776</t>
  </si>
  <si>
    <t>Call_7777</t>
  </si>
  <si>
    <t>Call_7778</t>
  </si>
  <si>
    <t>Call_7779</t>
  </si>
  <si>
    <t>Call_7780</t>
  </si>
  <si>
    <t>Call_7781</t>
  </si>
  <si>
    <t>Call_7782</t>
  </si>
  <si>
    <t>Call_7783</t>
  </si>
  <si>
    <t>Call_7784</t>
  </si>
  <si>
    <t>Call_7785</t>
  </si>
  <si>
    <t>Call_7786</t>
  </si>
  <si>
    <t>Call_7787</t>
  </si>
  <si>
    <t>Call_7788</t>
  </si>
  <si>
    <t>Call_7789</t>
  </si>
  <si>
    <t>Call_7790</t>
  </si>
  <si>
    <t>Call_7791</t>
  </si>
  <si>
    <t>Call_7792</t>
  </si>
  <si>
    <t>Call_7793</t>
  </si>
  <si>
    <t>Call_7794</t>
  </si>
  <si>
    <t>Call_7795</t>
  </si>
  <si>
    <t>Call_7796</t>
  </si>
  <si>
    <t>Call_7797</t>
  </si>
  <si>
    <t>Call_7798</t>
  </si>
  <si>
    <t>Call_7799</t>
  </si>
  <si>
    <t>Call_7800</t>
  </si>
  <si>
    <t>Call_7801</t>
  </si>
  <si>
    <t>Call_7802</t>
  </si>
  <si>
    <t>Call_7803</t>
  </si>
  <si>
    <t>Call_7804</t>
  </si>
  <si>
    <t>Call_7805</t>
  </si>
  <si>
    <t>Call_7806</t>
  </si>
  <si>
    <t>Call_7807</t>
  </si>
  <si>
    <t>Call_7808</t>
  </si>
  <si>
    <t>Call_7809</t>
  </si>
  <si>
    <t>Call_7810</t>
  </si>
  <si>
    <t>Call_7811</t>
  </si>
  <si>
    <t>Call_7812</t>
  </si>
  <si>
    <t>Call_7813</t>
  </si>
  <si>
    <t>Call_7814</t>
  </si>
  <si>
    <t>Call_7815</t>
  </si>
  <si>
    <t>Call_7816</t>
  </si>
  <si>
    <t>Call_7817</t>
  </si>
  <si>
    <t>Call_7818</t>
  </si>
  <si>
    <t>Call_7819</t>
  </si>
  <si>
    <t>Call_7820</t>
  </si>
  <si>
    <t>Call_7821</t>
  </si>
  <si>
    <t>Call_7822</t>
  </si>
  <si>
    <t>Call_7823</t>
  </si>
  <si>
    <t>Call_7824</t>
  </si>
  <si>
    <t>Call_7825</t>
  </si>
  <si>
    <t>Call_7826</t>
  </si>
  <si>
    <t>Call_7827</t>
  </si>
  <si>
    <t>Call_7828</t>
  </si>
  <si>
    <t>Call_7829</t>
  </si>
  <si>
    <t>Call_7830</t>
  </si>
  <si>
    <t>Call_7831</t>
  </si>
  <si>
    <t>Call_7832</t>
  </si>
  <si>
    <t>Call_7833</t>
  </si>
  <si>
    <t>Call_7834</t>
  </si>
  <si>
    <t>Call_7835</t>
  </si>
  <si>
    <t>Call_7836</t>
  </si>
  <si>
    <t>Call_7837</t>
  </si>
  <si>
    <t>Call_7838</t>
  </si>
  <si>
    <t>Call_7839</t>
  </si>
  <si>
    <t>Call_7840</t>
  </si>
  <si>
    <t>Call_7841</t>
  </si>
  <si>
    <t>Call_7842</t>
  </si>
  <si>
    <t>Call_7843</t>
  </si>
  <si>
    <t>Call_7844</t>
  </si>
  <si>
    <t>Call_7845</t>
  </si>
  <si>
    <t>Call_7846</t>
  </si>
  <si>
    <t>Call_7847</t>
  </si>
  <si>
    <t>Call_7848</t>
  </si>
  <si>
    <t>Call_7849</t>
  </si>
  <si>
    <t>Call_7850</t>
  </si>
  <si>
    <t>Call_7851</t>
  </si>
  <si>
    <t>Call_7852</t>
  </si>
  <si>
    <t>Call_7853</t>
  </si>
  <si>
    <t>Call_7854</t>
  </si>
  <si>
    <t>Call_7855</t>
  </si>
  <si>
    <t>Call_7856</t>
  </si>
  <si>
    <t>Call_7857</t>
  </si>
  <si>
    <t>Call_7858</t>
  </si>
  <si>
    <t>Call_7859</t>
  </si>
  <si>
    <t>Call_7860</t>
  </si>
  <si>
    <t>Call_7861</t>
  </si>
  <si>
    <t>Call_7862</t>
  </si>
  <si>
    <t>Call_7863</t>
  </si>
  <si>
    <t>Call_7864</t>
  </si>
  <si>
    <t>Call_7865</t>
  </si>
  <si>
    <t>Call_7866</t>
  </si>
  <si>
    <t>Call_7867</t>
  </si>
  <si>
    <t>Call_7868</t>
  </si>
  <si>
    <t>Call_7869</t>
  </si>
  <si>
    <t>Call_7870</t>
  </si>
  <si>
    <t>Call_7871</t>
  </si>
  <si>
    <t>Call_7872</t>
  </si>
  <si>
    <t>Call_7873</t>
  </si>
  <si>
    <t>Call_7874</t>
  </si>
  <si>
    <t>Call_7875</t>
  </si>
  <si>
    <t>Call_7876</t>
  </si>
  <si>
    <t>Call_7877</t>
  </si>
  <si>
    <t>Call_7878</t>
  </si>
  <si>
    <t>Call_7879</t>
  </si>
  <si>
    <t>Call_7880</t>
  </si>
  <si>
    <t>Call_7881</t>
  </si>
  <si>
    <t>Call_7882</t>
  </si>
  <si>
    <t>Call_7883</t>
  </si>
  <si>
    <t>Call_7884</t>
  </si>
  <si>
    <t>Call_7885</t>
  </si>
  <si>
    <t>Call_7886</t>
  </si>
  <si>
    <t>Call_7887</t>
  </si>
  <si>
    <t>Call_7888</t>
  </si>
  <si>
    <t>Call_7889</t>
  </si>
  <si>
    <t>Call_7890</t>
  </si>
  <si>
    <t>Call_7891</t>
  </si>
  <si>
    <t>Call_7892</t>
  </si>
  <si>
    <t>Call_7893</t>
  </si>
  <si>
    <t>Call_7894</t>
  </si>
  <si>
    <t>Call_7895</t>
  </si>
  <si>
    <t>Call_7896</t>
  </si>
  <si>
    <t>Call_7897</t>
  </si>
  <si>
    <t>Call_7898</t>
  </si>
  <si>
    <t>Call_7899</t>
  </si>
  <si>
    <t>Call_7900</t>
  </si>
  <si>
    <t>Call_7901</t>
  </si>
  <si>
    <t>Call_7902</t>
  </si>
  <si>
    <t>Call_7903</t>
  </si>
  <si>
    <t>Call_7904</t>
  </si>
  <si>
    <t>Call_7905</t>
  </si>
  <si>
    <t>Call_7906</t>
  </si>
  <si>
    <t>Call_7907</t>
  </si>
  <si>
    <t>Call_7908</t>
  </si>
  <si>
    <t>Call_7909</t>
  </si>
  <si>
    <t>Call_7910</t>
  </si>
  <si>
    <t>Call_7911</t>
  </si>
  <si>
    <t>Call_7912</t>
  </si>
  <si>
    <t>Call_7913</t>
  </si>
  <si>
    <t>Call_7914</t>
  </si>
  <si>
    <t>Call_7915</t>
  </si>
  <si>
    <t>Call_7916</t>
  </si>
  <si>
    <t>Call_7917</t>
  </si>
  <si>
    <t>Call_7918</t>
  </si>
  <si>
    <t>Call_7919</t>
  </si>
  <si>
    <t>Call_7920</t>
  </si>
  <si>
    <t>Call_7921</t>
  </si>
  <si>
    <t>Call_7922</t>
  </si>
  <si>
    <t>Call_7923</t>
  </si>
  <si>
    <t>Call_7924</t>
  </si>
  <si>
    <t>Call_7925</t>
  </si>
  <si>
    <t>Call_7926</t>
  </si>
  <si>
    <t>Call_7927</t>
  </si>
  <si>
    <t>Call_7928</t>
  </si>
  <si>
    <t>Call_7929</t>
  </si>
  <si>
    <t>Call_7930</t>
  </si>
  <si>
    <t>Call_7931</t>
  </si>
  <si>
    <t>Call_7932</t>
  </si>
  <si>
    <t>Call_7933</t>
  </si>
  <si>
    <t>Call_7934</t>
  </si>
  <si>
    <t>Call_7935</t>
  </si>
  <si>
    <t>Call_7936</t>
  </si>
  <si>
    <t>Call_7937</t>
  </si>
  <si>
    <t>Call_7938</t>
  </si>
  <si>
    <t>Call_7939</t>
  </si>
  <si>
    <t>Call_7940</t>
  </si>
  <si>
    <t>Call_7941</t>
  </si>
  <si>
    <t>Call_7942</t>
  </si>
  <si>
    <t>Call_7943</t>
  </si>
  <si>
    <t>Call_7944</t>
  </si>
  <si>
    <t>Call_7945</t>
  </si>
  <si>
    <t>Call_7946</t>
  </si>
  <si>
    <t>Call_7947</t>
  </si>
  <si>
    <t>Call_7948</t>
  </si>
  <si>
    <t>Call_7949</t>
  </si>
  <si>
    <t>Call_7950</t>
  </si>
  <si>
    <t>Call_7951</t>
  </si>
  <si>
    <t>Call_7952</t>
  </si>
  <si>
    <t>Call_7953</t>
  </si>
  <si>
    <t>Call_7954</t>
  </si>
  <si>
    <t>Call_7955</t>
  </si>
  <si>
    <t>Call_7956</t>
  </si>
  <si>
    <t>Call_7957</t>
  </si>
  <si>
    <t>Call_7958</t>
  </si>
  <si>
    <t>Call_7959</t>
  </si>
  <si>
    <t>Call_7960</t>
  </si>
  <si>
    <t>Call_7961</t>
  </si>
  <si>
    <t>Call_7962</t>
  </si>
  <si>
    <t>Call_7963</t>
  </si>
  <si>
    <t>Call_7964</t>
  </si>
  <si>
    <t>Call_7965</t>
  </si>
  <si>
    <t>Call_7966</t>
  </si>
  <si>
    <t>Call_7967</t>
  </si>
  <si>
    <t>Call_7968</t>
  </si>
  <si>
    <t>Call_7969</t>
  </si>
  <si>
    <t>Call_7970</t>
  </si>
  <si>
    <t>Call_7971</t>
  </si>
  <si>
    <t>Call_7972</t>
  </si>
  <si>
    <t>Call_7973</t>
  </si>
  <si>
    <t>Call_7974</t>
  </si>
  <si>
    <t>Call_7975</t>
  </si>
  <si>
    <t>Call_7976</t>
  </si>
  <si>
    <t>Call_7977</t>
  </si>
  <si>
    <t>Call_7978</t>
  </si>
  <si>
    <t>Call_7979</t>
  </si>
  <si>
    <t>Call_7980</t>
  </si>
  <si>
    <t>Call_7981</t>
  </si>
  <si>
    <t>Call_7982</t>
  </si>
  <si>
    <t>Call_7983</t>
  </si>
  <si>
    <t>Call_7984</t>
  </si>
  <si>
    <t>Call_7985</t>
  </si>
  <si>
    <t>Call_7986</t>
  </si>
  <si>
    <t>Call_7987</t>
  </si>
  <si>
    <t>Call_7988</t>
  </si>
  <si>
    <t>Call_7989</t>
  </si>
  <si>
    <t>Call_7990</t>
  </si>
  <si>
    <t>Call_7991</t>
  </si>
  <si>
    <t>Call_7992</t>
  </si>
  <si>
    <t>Call_7993</t>
  </si>
  <si>
    <t>Call_7994</t>
  </si>
  <si>
    <t>Call_7995</t>
  </si>
  <si>
    <t>Call_7996</t>
  </si>
  <si>
    <t>Call_7997</t>
  </si>
  <si>
    <t>Call_7998</t>
  </si>
  <si>
    <t>Call_7999</t>
  </si>
  <si>
    <t>Call_8000</t>
  </si>
  <si>
    <t>Call_8001</t>
  </si>
  <si>
    <t>Call_8002</t>
  </si>
  <si>
    <t>Call_8003</t>
  </si>
  <si>
    <t>Call_8004</t>
  </si>
  <si>
    <t>Call_8005</t>
  </si>
  <si>
    <t>Call_8006</t>
  </si>
  <si>
    <t>Call_8007</t>
  </si>
  <si>
    <t>Call_8008</t>
  </si>
  <si>
    <t>Call_8009</t>
  </si>
  <si>
    <t>Call_8010</t>
  </si>
  <si>
    <t>Call_8011</t>
  </si>
  <si>
    <t>Call_8012</t>
  </si>
  <si>
    <t>Call_8013</t>
  </si>
  <si>
    <t>Call_8014</t>
  </si>
  <si>
    <t>Call_8015</t>
  </si>
  <si>
    <t>Call_8016</t>
  </si>
  <si>
    <t>Call_8017</t>
  </si>
  <si>
    <t>Call_8018</t>
  </si>
  <si>
    <t>Call_8019</t>
  </si>
  <si>
    <t>Call_8020</t>
  </si>
  <si>
    <t>Call_8021</t>
  </si>
  <si>
    <t>Call_8022</t>
  </si>
  <si>
    <t>Call_8023</t>
  </si>
  <si>
    <t>Call_8024</t>
  </si>
  <si>
    <t>Call_8025</t>
  </si>
  <si>
    <t>Call_8026</t>
  </si>
  <si>
    <t>Call_8027</t>
  </si>
  <si>
    <t>Call_8028</t>
  </si>
  <si>
    <t>Call_8029</t>
  </si>
  <si>
    <t>Call_8030</t>
  </si>
  <si>
    <t>Call_8031</t>
  </si>
  <si>
    <t>Call_8032</t>
  </si>
  <si>
    <t>Call_8033</t>
  </si>
  <si>
    <t>Call_8034</t>
  </si>
  <si>
    <t>Call_8035</t>
  </si>
  <si>
    <t>Call_8036</t>
  </si>
  <si>
    <t>Call_8037</t>
  </si>
  <si>
    <t>Call_8038</t>
  </si>
  <si>
    <t>Call_8039</t>
  </si>
  <si>
    <t>Call_8040</t>
  </si>
  <si>
    <t>Call_8041</t>
  </si>
  <si>
    <t>Call_8042</t>
  </si>
  <si>
    <t>Call_8043</t>
  </si>
  <si>
    <t>Call_8044</t>
  </si>
  <si>
    <t>Call_8045</t>
  </si>
  <si>
    <t>Call_8046</t>
  </si>
  <si>
    <t>Call_8047</t>
  </si>
  <si>
    <t>Call_8048</t>
  </si>
  <si>
    <t>Call_8049</t>
  </si>
  <si>
    <t>Call_8050</t>
  </si>
  <si>
    <t>Call_8051</t>
  </si>
  <si>
    <t>Call_8052</t>
  </si>
  <si>
    <t>Call_8053</t>
  </si>
  <si>
    <t>Call_8054</t>
  </si>
  <si>
    <t>Call_8055</t>
  </si>
  <si>
    <t>Call_8056</t>
  </si>
  <si>
    <t>Call_8057</t>
  </si>
  <si>
    <t>Call_8058</t>
  </si>
  <si>
    <t>Call_8059</t>
  </si>
  <si>
    <t>Call_8060</t>
  </si>
  <si>
    <t>Call_8061</t>
  </si>
  <si>
    <t>Call_8062</t>
  </si>
  <si>
    <t>Call_8063</t>
  </si>
  <si>
    <t>Call_8064</t>
  </si>
  <si>
    <t>Call_8065</t>
  </si>
  <si>
    <t>Call_8066</t>
  </si>
  <si>
    <t>Call_8067</t>
  </si>
  <si>
    <t>Call_8068</t>
  </si>
  <si>
    <t>Call_8069</t>
  </si>
  <si>
    <t>Call_8070</t>
  </si>
  <si>
    <t>Call_8071</t>
  </si>
  <si>
    <t>Call_8072</t>
  </si>
  <si>
    <t>Call_8073</t>
  </si>
  <si>
    <t>Call_8074</t>
  </si>
  <si>
    <t>Call_8075</t>
  </si>
  <si>
    <t>Call_8076</t>
  </si>
  <si>
    <t>Call_8077</t>
  </si>
  <si>
    <t>Call_8078</t>
  </si>
  <si>
    <t>Call_8079</t>
  </si>
  <si>
    <t>Call_8080</t>
  </si>
  <si>
    <t>Call_8081</t>
  </si>
  <si>
    <t>Call_8082</t>
  </si>
  <si>
    <t>Call_8083</t>
  </si>
  <si>
    <t>Call_8084</t>
  </si>
  <si>
    <t>Call_8085</t>
  </si>
  <si>
    <t>Call_8086</t>
  </si>
  <si>
    <t>Call_8087</t>
  </si>
  <si>
    <t>Call_8088</t>
  </si>
  <si>
    <t>Call_8089</t>
  </si>
  <si>
    <t>Call_8090</t>
  </si>
  <si>
    <t>Call_8091</t>
  </si>
  <si>
    <t>Call_8092</t>
  </si>
  <si>
    <t>Call_8093</t>
  </si>
  <si>
    <t>Call_8094</t>
  </si>
  <si>
    <t>Call_8095</t>
  </si>
  <si>
    <t>Call_8096</t>
  </si>
  <si>
    <t>Call_8097</t>
  </si>
  <si>
    <t>Call_8098</t>
  </si>
  <si>
    <t>Call_8099</t>
  </si>
  <si>
    <t>Call_8100</t>
  </si>
  <si>
    <t>Call_8101</t>
  </si>
  <si>
    <t>Call_8102</t>
  </si>
  <si>
    <t>Call_8103</t>
  </si>
  <si>
    <t>Call_8104</t>
  </si>
  <si>
    <t>Call_8105</t>
  </si>
  <si>
    <t>Call_8106</t>
  </si>
  <si>
    <t>Call_8107</t>
  </si>
  <si>
    <t>Call_8108</t>
  </si>
  <si>
    <t>Call_8109</t>
  </si>
  <si>
    <t>Call_8110</t>
  </si>
  <si>
    <t>Call_8111</t>
  </si>
  <si>
    <t>Call_8112</t>
  </si>
  <si>
    <t>Call_8113</t>
  </si>
  <si>
    <t>Call_8114</t>
  </si>
  <si>
    <t>Call_8115</t>
  </si>
  <si>
    <t>Call_8116</t>
  </si>
  <si>
    <t>Call_8117</t>
  </si>
  <si>
    <t>Call_8118</t>
  </si>
  <si>
    <t>Call_8119</t>
  </si>
  <si>
    <t>Call_8120</t>
  </si>
  <si>
    <t>Call_8121</t>
  </si>
  <si>
    <t>Call_8122</t>
  </si>
  <si>
    <t>Call_8123</t>
  </si>
  <si>
    <t>Call_8124</t>
  </si>
  <si>
    <t>Call_8125</t>
  </si>
  <si>
    <t>Call_8126</t>
  </si>
  <si>
    <t>Call_8127</t>
  </si>
  <si>
    <t>Call_8128</t>
  </si>
  <si>
    <t>Call_8129</t>
  </si>
  <si>
    <t>Call_8130</t>
  </si>
  <si>
    <t>Call_8131</t>
  </si>
  <si>
    <t>Call_8132</t>
  </si>
  <si>
    <t>Call_8133</t>
  </si>
  <si>
    <t>Call_8134</t>
  </si>
  <si>
    <t>Call_8135</t>
  </si>
  <si>
    <t>Call_8136</t>
  </si>
  <si>
    <t>Call_8137</t>
  </si>
  <si>
    <t>Call_8138</t>
  </si>
  <si>
    <t>Call_8139</t>
  </si>
  <si>
    <t>Call_8140</t>
  </si>
  <si>
    <t>Call_8141</t>
  </si>
  <si>
    <t>Call_8142</t>
  </si>
  <si>
    <t>Call_8143</t>
  </si>
  <si>
    <t>Call_8144</t>
  </si>
  <si>
    <t>Call_8145</t>
  </si>
  <si>
    <t>Call_8146</t>
  </si>
  <si>
    <t>Call_8147</t>
  </si>
  <si>
    <t>Call_8148</t>
  </si>
  <si>
    <t>Call_8149</t>
  </si>
  <si>
    <t>Call_8150</t>
  </si>
  <si>
    <t>Call_8151</t>
  </si>
  <si>
    <t>Call_8152</t>
  </si>
  <si>
    <t>Call_8153</t>
  </si>
  <si>
    <t>Call_8154</t>
  </si>
  <si>
    <t>Call_8155</t>
  </si>
  <si>
    <t>Call_8156</t>
  </si>
  <si>
    <t>Call_8157</t>
  </si>
  <si>
    <t>Call_8158</t>
  </si>
  <si>
    <t>Call_8159</t>
  </si>
  <si>
    <t>Call_8160</t>
  </si>
  <si>
    <t>Call_8161</t>
  </si>
  <si>
    <t>Call_8162</t>
  </si>
  <si>
    <t>Call_8163</t>
  </si>
  <si>
    <t>Call_8164</t>
  </si>
  <si>
    <t>Call_8165</t>
  </si>
  <si>
    <t>Call_8166</t>
  </si>
  <si>
    <t>Call_8167</t>
  </si>
  <si>
    <t>Call_8168</t>
  </si>
  <si>
    <t>Call_8169</t>
  </si>
  <si>
    <t>Call_8170</t>
  </si>
  <si>
    <t>Call_8171</t>
  </si>
  <si>
    <t>Call_8172</t>
  </si>
  <si>
    <t>Call_8173</t>
  </si>
  <si>
    <t>Call_8174</t>
  </si>
  <si>
    <t>Call_8175</t>
  </si>
  <si>
    <t>Call_8176</t>
  </si>
  <si>
    <t>Call_8177</t>
  </si>
  <si>
    <t>Call_8178</t>
  </si>
  <si>
    <t>Call_8179</t>
  </si>
  <si>
    <t>Call_8180</t>
  </si>
  <si>
    <t>Call_8181</t>
  </si>
  <si>
    <t>Call_8182</t>
  </si>
  <si>
    <t>Call_8183</t>
  </si>
  <si>
    <t>Call_8184</t>
  </si>
  <si>
    <t>Call_8185</t>
  </si>
  <si>
    <t>Call_8186</t>
  </si>
  <si>
    <t>Call_8187</t>
  </si>
  <si>
    <t>Call_8188</t>
  </si>
  <si>
    <t>Call_8189</t>
  </si>
  <si>
    <t>Call_8190</t>
  </si>
  <si>
    <t>Call_8191</t>
  </si>
  <si>
    <t>Call_8192</t>
  </si>
  <si>
    <t>Call_8193</t>
  </si>
  <si>
    <t>Call_8194</t>
  </si>
  <si>
    <t>Call_8195</t>
  </si>
  <si>
    <t>Call_8196</t>
  </si>
  <si>
    <t>Call_8197</t>
  </si>
  <si>
    <t>Call_8198</t>
  </si>
  <si>
    <t>Call_8199</t>
  </si>
  <si>
    <t>Call_8200</t>
  </si>
  <si>
    <t>Call_8201</t>
  </si>
  <si>
    <t>Call_8202</t>
  </si>
  <si>
    <t>Call_8203</t>
  </si>
  <si>
    <t>Call_8204</t>
  </si>
  <si>
    <t>Call_8205</t>
  </si>
  <si>
    <t>Call_8206</t>
  </si>
  <si>
    <t>Call_8207</t>
  </si>
  <si>
    <t>Call_8208</t>
  </si>
  <si>
    <t>Call_8209</t>
  </si>
  <si>
    <t>Call_8210</t>
  </si>
  <si>
    <t>Call_8211</t>
  </si>
  <si>
    <t>Call_8212</t>
  </si>
  <si>
    <t>Call_8213</t>
  </si>
  <si>
    <t>Call_8214</t>
  </si>
  <si>
    <t>Call_8215</t>
  </si>
  <si>
    <t>Call_8216</t>
  </si>
  <si>
    <t>Call_8217</t>
  </si>
  <si>
    <t>Call_8218</t>
  </si>
  <si>
    <t>Call_8219</t>
  </si>
  <si>
    <t>Call_8220</t>
  </si>
  <si>
    <t>Call_8221</t>
  </si>
  <si>
    <t>Call_8222</t>
  </si>
  <si>
    <t>Call_8223</t>
  </si>
  <si>
    <t>Call_8224</t>
  </si>
  <si>
    <t>Call_8225</t>
  </si>
  <si>
    <t>Call_8226</t>
  </si>
  <si>
    <t>Call_8227</t>
  </si>
  <si>
    <t>Call_8228</t>
  </si>
  <si>
    <t>Call_8229</t>
  </si>
  <si>
    <t>Call_8230</t>
  </si>
  <si>
    <t>Call_8231</t>
  </si>
  <si>
    <t>Call_8232</t>
  </si>
  <si>
    <t>Call_8233</t>
  </si>
  <si>
    <t>Call_8234</t>
  </si>
  <si>
    <t>Call_8235</t>
  </si>
  <si>
    <t>Call_8236</t>
  </si>
  <si>
    <t>Call_8237</t>
  </si>
  <si>
    <t>Call_8238</t>
  </si>
  <si>
    <t>Call_8239</t>
  </si>
  <si>
    <t>Call_8240</t>
  </si>
  <si>
    <t>Call_8241</t>
  </si>
  <si>
    <t>Call_8242</t>
  </si>
  <si>
    <t>Call_8243</t>
  </si>
  <si>
    <t>Call_8244</t>
  </si>
  <si>
    <t>Call_8245</t>
  </si>
  <si>
    <t>Call_8246</t>
  </si>
  <si>
    <t>Call_8247</t>
  </si>
  <si>
    <t>Call_8248</t>
  </si>
  <si>
    <t>Call_8249</t>
  </si>
  <si>
    <t>Call_8250</t>
  </si>
  <si>
    <t>Call_8251</t>
  </si>
  <si>
    <t>Call_8252</t>
  </si>
  <si>
    <t>Call_8253</t>
  </si>
  <si>
    <t>Call_8254</t>
  </si>
  <si>
    <t>Call_8255</t>
  </si>
  <si>
    <t>Call_8256</t>
  </si>
  <si>
    <t>Call_8257</t>
  </si>
  <si>
    <t>Call_8258</t>
  </si>
  <si>
    <t>Call_8259</t>
  </si>
  <si>
    <t>Call_8260</t>
  </si>
  <si>
    <t>Call_8261</t>
  </si>
  <si>
    <t>Call_8262</t>
  </si>
  <si>
    <t>Call_8263</t>
  </si>
  <si>
    <t>Call_8264</t>
  </si>
  <si>
    <t>Call_8265</t>
  </si>
  <si>
    <t>Call_8266</t>
  </si>
  <si>
    <t>Call_8267</t>
  </si>
  <si>
    <t>Call_8268</t>
  </si>
  <si>
    <t>Call_8269</t>
  </si>
  <si>
    <t>Call_8270</t>
  </si>
  <si>
    <t>Duration Category</t>
  </si>
  <si>
    <t>Purchase Category</t>
  </si>
  <si>
    <t>Grand Total</t>
  </si>
  <si>
    <t>Total Sales</t>
  </si>
  <si>
    <t>Avg of Satisfaction Rating</t>
  </si>
  <si>
    <t>Sunday</t>
  </si>
  <si>
    <t>Long</t>
  </si>
  <si>
    <t>Medium</t>
  </si>
  <si>
    <t>Tuesday</t>
  </si>
  <si>
    <t>Wednesday</t>
  </si>
  <si>
    <t>Thursday</t>
  </si>
  <si>
    <t>Saturday</t>
  </si>
  <si>
    <t>Monday</t>
  </si>
  <si>
    <t>Friday</t>
  </si>
  <si>
    <t>Short</t>
  </si>
  <si>
    <t>Very Short</t>
  </si>
  <si>
    <t>Avg of Rating</t>
  </si>
  <si>
    <t xml:space="preserve">Count of Duration </t>
  </si>
  <si>
    <t xml:space="preserve"> </t>
  </si>
  <si>
    <t>Days</t>
  </si>
  <si>
    <t>Count of Call number</t>
  </si>
  <si>
    <t>Count of Calls</t>
  </si>
  <si>
    <t>Total Calls</t>
  </si>
  <si>
    <t>Total Customers</t>
  </si>
  <si>
    <t>Jan</t>
  </si>
  <si>
    <t>Feb</t>
  </si>
  <si>
    <t>Mar</t>
  </si>
  <si>
    <t>Apr</t>
  </si>
  <si>
    <t>May</t>
  </si>
  <si>
    <t>Jun</t>
  </si>
  <si>
    <t>Jul</t>
  </si>
  <si>
    <t>Aug</t>
  </si>
  <si>
    <t>Sep</t>
  </si>
  <si>
    <t>Oct</t>
  </si>
  <si>
    <t>Nov</t>
  </si>
  <si>
    <t>Dec</t>
  </si>
  <si>
    <t>done</t>
  </si>
  <si>
    <t>Month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</si>
</sst>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4" formatCode="_(&quot;$&quot;* #,##0.00_);_(&quot;$&quot;* \(#,##0.00\);_(&quot;$&quot;* &quot;-&quot;??_);_(@_)"/>
    <numFmt numFmtId="164" formatCode="&quot;$&quot;#,##0"/>
    <numFmt numFmtId="165" formatCode="_(&quot;$&quot;* #,##0_);_(&quot;$&quot;* \(#,##0\);_(&quot;$&quot;* &quot;-&quot;??_);_(@_)"/>
  </numFmts>
  <fonts count="13" x14ac:knownFonts="1">
    <font>
      <sz val="11"/>
      <color theme="1"/>
      <name val="Aptos"/>
      <scheme val="minor"/>
    </font>
    <font>
      <sz val="11"/>
      <color theme="1"/>
      <name val="Aptos"/>
      <family val="2"/>
      <scheme val="minor"/>
    </font>
    <font>
      <b/>
      <sz val="11"/>
      <color rgb="FFFFFFFF"/>
      <name val="Aptos"/>
    </font>
    <font>
      <b/>
      <i/>
      <sz val="11"/>
      <color rgb="FFFFFFFF"/>
      <name val="Aptos"/>
    </font>
    <font>
      <sz val="11"/>
      <color rgb="FFFFFFFF"/>
      <name val="Arial"/>
    </font>
    <font>
      <sz val="11"/>
      <color rgb="FFFFFFFF"/>
      <name val="Aptos"/>
    </font>
    <font>
      <sz val="11"/>
      <color theme="1"/>
      <name val="Aptos"/>
    </font>
    <font>
      <i/>
      <sz val="11"/>
      <color theme="1"/>
      <name val="Aptos"/>
    </font>
    <font>
      <sz val="11"/>
      <color theme="1"/>
      <name val="Arial"/>
    </font>
    <font>
      <i/>
      <sz val="11"/>
      <color theme="1"/>
      <name val="Arial"/>
    </font>
    <font>
      <sz val="11"/>
      <color theme="1"/>
      <name val="Arial"/>
    </font>
    <font>
      <sz val="11"/>
      <color theme="1"/>
      <name val="Aptos"/>
      <scheme val="minor"/>
    </font>
    <font>
      <sz val="11"/>
      <color theme="0"/>
      <name val="Aptos"/>
      <family val="2"/>
      <scheme val="minor"/>
    </font>
  </fonts>
  <fills count="4">
    <fill>
      <patternFill patternType="none"/>
    </fill>
    <fill>
      <patternFill patternType="gray125"/>
    </fill>
    <fill>
      <patternFill patternType="solid">
        <fgColor theme="4" tint="0.59999389629810485"/>
        <bgColor indexed="64"/>
      </patternFill>
    </fill>
    <fill>
      <patternFill patternType="solid">
        <fgColor rgb="FFFFFF00"/>
        <bgColor indexed="64"/>
      </patternFill>
    </fill>
  </fills>
  <borders count="11">
    <border>
      <left/>
      <right/>
      <top/>
      <bottom/>
      <diagonal/>
    </border>
    <border>
      <left style="thin">
        <color rgb="FF999999"/>
      </left>
      <right/>
      <top style="thin">
        <color rgb="FF999999"/>
      </top>
      <bottom/>
      <diagonal/>
    </border>
    <border>
      <left style="thin">
        <color rgb="FF999999"/>
      </left>
      <right/>
      <top style="thin">
        <color indexed="65"/>
      </top>
      <bottom/>
      <diagonal/>
    </border>
    <border>
      <left style="thin">
        <color rgb="FF999999"/>
      </left>
      <right style="thin">
        <color rgb="FF999999"/>
      </right>
      <top style="thin">
        <color rgb="FF999999"/>
      </top>
      <bottom/>
      <diagonal/>
    </border>
    <border>
      <left style="thin">
        <color rgb="FF999999"/>
      </left>
      <right style="thin">
        <color rgb="FF999999"/>
      </right>
      <top style="thin">
        <color indexed="65"/>
      </top>
      <bottom/>
      <diagonal/>
    </border>
    <border>
      <left style="thin">
        <color rgb="FF999999"/>
      </left>
      <right style="thin">
        <color rgb="FF999999"/>
      </right>
      <top style="thin">
        <color rgb="FF999999"/>
      </top>
      <bottom style="thin">
        <color rgb="FF999999"/>
      </bottom>
      <diagonal/>
    </border>
    <border>
      <left style="thin">
        <color rgb="FF999999"/>
      </left>
      <right/>
      <top style="thin">
        <color rgb="FF999999"/>
      </top>
      <bottom style="thin">
        <color rgb="FF999999"/>
      </bottom>
      <diagonal/>
    </border>
    <border>
      <left/>
      <right style="thin">
        <color rgb="FF999999"/>
      </right>
      <top style="thin">
        <color rgb="FF999999"/>
      </top>
      <bottom/>
      <diagonal/>
    </border>
    <border>
      <left/>
      <right style="thin">
        <color rgb="FF999999"/>
      </right>
      <top style="thin">
        <color rgb="FF999999"/>
      </top>
      <bottom style="thin">
        <color rgb="FF999999"/>
      </bottom>
      <diagonal/>
    </border>
    <border>
      <left/>
      <right/>
      <top style="thin">
        <color rgb="FF999999"/>
      </top>
      <bottom/>
      <diagonal/>
    </border>
    <border>
      <left/>
      <right/>
      <top style="thin">
        <color rgb="FF999999"/>
      </top>
      <bottom style="thin">
        <color rgb="FF999999"/>
      </bottom>
      <diagonal/>
    </border>
  </borders>
  <cellStyleXfs count="2">
    <xf numFmtId="0" fontId="0" fillId="0" borderId="0"/>
    <xf numFmtId="44" fontId="11" fillId="0" borderId="0" applyFont="0" applyFill="0" applyBorder="0" applyAlignment="0" applyProtection="0"/>
  </cellStyleXfs>
  <cellXfs count="47">
    <xf numFmtId="0" fontId="0" fillId="0" borderId="0" xfId="0"/>
    <xf numFmtId="0" fontId="2" fillId="0" borderId="0" xfId="0" applyFont="1"/>
    <xf numFmtId="0" fontId="2" fillId="0" borderId="0" xfId="0" applyFont="1" applyAlignment="1">
      <alignment horizontal="right"/>
    </xf>
    <xf numFmtId="0" fontId="2" fillId="0" borderId="0" xfId="0" applyFont="1" applyAlignment="1">
      <alignment horizontal="center"/>
    </xf>
    <xf numFmtId="0" fontId="4" fillId="0" borderId="0" xfId="0" applyFont="1"/>
    <xf numFmtId="0" fontId="5" fillId="0" borderId="0" xfId="0" applyFont="1"/>
    <xf numFmtId="0" fontId="6" fillId="0" borderId="0" xfId="0" applyFont="1"/>
    <xf numFmtId="2" fontId="6" fillId="0" borderId="0" xfId="0" applyNumberFormat="1" applyFont="1" applyAlignment="1">
      <alignment horizontal="center"/>
    </xf>
    <xf numFmtId="0" fontId="8" fillId="0" borderId="0" xfId="0" applyFont="1"/>
    <xf numFmtId="0" fontId="10" fillId="0" borderId="0" xfId="0" applyFont="1"/>
    <xf numFmtId="164" fontId="6" fillId="0" borderId="0" xfId="0" applyNumberFormat="1" applyFont="1"/>
    <xf numFmtId="14" fontId="7" fillId="0" borderId="0" xfId="0" applyNumberFormat="1" applyFont="1" applyAlignment="1">
      <alignment horizontal="center"/>
    </xf>
    <xf numFmtId="14" fontId="9" fillId="0" borderId="0" xfId="0" applyNumberFormat="1" applyFont="1" applyAlignment="1">
      <alignment horizontal="center"/>
    </xf>
    <xf numFmtId="14" fontId="3" fillId="0" borderId="0" xfId="0" applyNumberFormat="1" applyFont="1" applyAlignment="1">
      <alignment horizontal="center"/>
    </xf>
    <xf numFmtId="14" fontId="0" fillId="0" borderId="0" xfId="0" applyNumberFormat="1"/>
    <xf numFmtId="0" fontId="1" fillId="0" borderId="0" xfId="0" applyFont="1"/>
    <xf numFmtId="0" fontId="12" fillId="0" borderId="0" xfId="0" applyFont="1"/>
    <xf numFmtId="0" fontId="0" fillId="0" borderId="3" xfId="0" applyBorder="1" applyAlignment="1">
      <alignment horizontal="left"/>
    </xf>
    <xf numFmtId="0" fontId="0" fillId="0" borderId="4" xfId="0" applyBorder="1" applyAlignment="1">
      <alignment horizontal="left"/>
    </xf>
    <xf numFmtId="0" fontId="0" fillId="0" borderId="1" xfId="0" applyBorder="1" applyAlignment="1">
      <alignment horizontal="left"/>
    </xf>
    <xf numFmtId="0" fontId="0" fillId="0" borderId="2" xfId="0" applyBorder="1" applyAlignment="1">
      <alignment horizontal="left"/>
    </xf>
    <xf numFmtId="0" fontId="0" fillId="2" borderId="1" xfId="0" applyFill="1" applyBorder="1"/>
    <xf numFmtId="0" fontId="0" fillId="2" borderId="3" xfId="0" applyFill="1" applyBorder="1"/>
    <xf numFmtId="0" fontId="0" fillId="2" borderId="6" xfId="0" applyFill="1" applyBorder="1" applyAlignment="1">
      <alignment horizontal="left"/>
    </xf>
    <xf numFmtId="165" fontId="0" fillId="0" borderId="3" xfId="0" applyNumberFormat="1" applyBorder="1"/>
    <xf numFmtId="165" fontId="0" fillId="0" borderId="4" xfId="0" applyNumberFormat="1" applyBorder="1"/>
    <xf numFmtId="165" fontId="0" fillId="2" borderId="5" xfId="0" applyNumberFormat="1" applyFill="1" applyBorder="1"/>
    <xf numFmtId="0" fontId="0" fillId="2" borderId="5" xfId="0" applyFill="1" applyBorder="1" applyAlignment="1">
      <alignment horizontal="left"/>
    </xf>
    <xf numFmtId="2" fontId="0" fillId="0" borderId="3" xfId="0" applyNumberFormat="1" applyBorder="1"/>
    <xf numFmtId="2" fontId="0" fillId="0" borderId="4" xfId="0" applyNumberFormat="1" applyBorder="1"/>
    <xf numFmtId="2" fontId="0" fillId="2" borderId="5" xfId="0" applyNumberFormat="1" applyFill="1" applyBorder="1"/>
    <xf numFmtId="0" fontId="0" fillId="3" borderId="1" xfId="0" applyFill="1" applyBorder="1" applyAlignment="1">
      <alignment horizontal="left"/>
    </xf>
    <xf numFmtId="165" fontId="0" fillId="3" borderId="3" xfId="0" applyNumberFormat="1" applyFill="1" applyBorder="1"/>
    <xf numFmtId="2" fontId="0" fillId="3" borderId="3" xfId="0" applyNumberFormat="1" applyFill="1" applyBorder="1"/>
    <xf numFmtId="0" fontId="0" fillId="2" borderId="9" xfId="0" applyFill="1" applyBorder="1"/>
    <xf numFmtId="0" fontId="0" fillId="2" borderId="7" xfId="0" applyFill="1" applyBorder="1"/>
    <xf numFmtId="164" fontId="0" fillId="2" borderId="10" xfId="0" applyNumberFormat="1" applyFill="1" applyBorder="1"/>
    <xf numFmtId="0" fontId="0" fillId="0" borderId="4" xfId="0" applyBorder="1" applyAlignment="1">
      <alignment horizontal="left" indent="1"/>
    </xf>
    <xf numFmtId="165" fontId="0" fillId="0" borderId="0" xfId="1" applyNumberFormat="1" applyFont="1"/>
    <xf numFmtId="0" fontId="0" fillId="2" borderId="0" xfId="0" applyFill="1"/>
    <xf numFmtId="0" fontId="0" fillId="0" borderId="3" xfId="0" applyNumberFormat="1" applyBorder="1"/>
    <xf numFmtId="0" fontId="0" fillId="0" borderId="4" xfId="0" applyNumberFormat="1" applyBorder="1"/>
    <xf numFmtId="0" fontId="0" fillId="2" borderId="5" xfId="0" applyNumberFormat="1" applyFill="1" applyBorder="1"/>
    <xf numFmtId="0" fontId="0" fillId="3" borderId="3" xfId="0" applyNumberFormat="1" applyFill="1" applyBorder="1"/>
    <xf numFmtId="0" fontId="0" fillId="2" borderId="6" xfId="0" applyNumberFormat="1" applyFill="1" applyBorder="1"/>
    <xf numFmtId="0" fontId="0" fillId="2" borderId="10" xfId="0" applyNumberFormat="1" applyFill="1" applyBorder="1"/>
    <xf numFmtId="0" fontId="0" fillId="2" borderId="8" xfId="0" applyNumberFormat="1" applyFill="1" applyBorder="1"/>
  </cellXfs>
  <cellStyles count="2">
    <cellStyle name="Currency" xfId="1" builtinId="4"/>
    <cellStyle name="Normal" xfId="0" builtinId="0"/>
  </cellStyles>
  <dxfs count="982">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numFmt numFmtId="0" formatCode="General"/>
    </dxf>
    <dxf>
      <fill>
        <patternFill patternType="solid">
          <bgColor theme="4" tint="0.59999389629810485"/>
        </patternFill>
      </fill>
    </dxf>
    <dxf>
      <fill>
        <patternFill patternType="solid">
          <bgColor theme="4" tint="0.59999389629810485"/>
        </patternFill>
      </fill>
    </dxf>
    <dxf>
      <fill>
        <patternFill patternType="solid">
          <bgColor rgb="FFFFFF00"/>
        </patternFill>
      </fill>
    </dxf>
    <dxf>
      <fill>
        <patternFill patternType="solid">
          <bgColor rgb="FFFFFF00"/>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numFmt numFmtId="0" formatCode="General"/>
    </dxf>
    <dxf>
      <fill>
        <patternFill patternType="solid">
          <bgColor theme="4" tint="0.59999389629810485"/>
        </patternFill>
      </fill>
    </dxf>
    <dxf>
      <fill>
        <patternFill patternType="solid">
          <bgColor rgb="FFFFFF00"/>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numFmt numFmtId="165" formatCode="_(&quot;$&quot;* #,##0_);_(&quot;$&quot;* \(#,##0\);_(&quot;$&quot;* &quot;-&quot;??_);_(@_)"/>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numFmt numFmtId="0" formatCode="Genera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numFmt numFmtId="2" formatCode="0.00"/>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numFmt numFmtId="165" formatCode="_(&quot;$&quot;* #,##0_);_(&quot;$&quot;* \(#,##0\);_(&quot;$&quot;* &quot;-&quot;??_);_(@_)"/>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numFmt numFmtId="0" formatCode="General"/>
    </dxf>
    <dxf>
      <fill>
        <patternFill patternType="solid">
          <bgColor theme="4" tint="0.59999389629810485"/>
        </patternFill>
      </fill>
    </dxf>
    <dxf>
      <fill>
        <patternFill patternType="solid">
          <bgColor rgb="FFFFFF00"/>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numFmt numFmtId="165" formatCode="_(&quot;$&quot;* #,##0_);_(&quot;$&quot;* \(#,##0\);_(&quot;$&quot;* &quot;-&quot;??_);_(@_)"/>
    </dxf>
    <dxf>
      <fill>
        <patternFill patternType="solid">
          <bgColor theme="4" tint="0.59999389629810485"/>
        </patternFill>
      </fill>
    </dxf>
    <dxf>
      <fill>
        <patternFill patternType="solid">
          <bgColor rgb="FFFFFF00"/>
        </patternFill>
      </fill>
    </dxf>
    <dxf>
      <fill>
        <patternFill patternType="solid">
          <bgColor rgb="FFFFFF00"/>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numFmt numFmtId="0" formatCode="General"/>
    </dxf>
    <dxf>
      <fill>
        <patternFill patternType="solid">
          <bgColor theme="4" tint="0.59999389629810485"/>
        </patternFill>
      </fill>
    </dxf>
    <dxf>
      <fill>
        <patternFill patternType="solid">
          <bgColor rgb="FFFFFF00"/>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numFmt numFmtId="2" formatCode="0.00"/>
    </dxf>
    <dxf>
      <fill>
        <patternFill patternType="solid">
          <bgColor rgb="FFFFFF00"/>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numFmt numFmtId="165" formatCode="_(&quot;$&quot;* #,##0_);_(&quot;$&quot;* \(#,##0\);_(&quot;$&quot;* &quot;-&quot;??_);_(@_)"/>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numFmt numFmtId="0" formatCode="General"/>
    </dxf>
    <dxf>
      <numFmt numFmtId="164" formatCode="&quot;$&quot;#,##0"/>
    </dxf>
    <dxf>
      <fill>
        <patternFill patternType="solid">
          <bgColor theme="4" tint="0.59999389629810485"/>
        </patternFill>
      </fill>
    </dxf>
    <dxf>
      <fill>
        <patternFill>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numFmt numFmtId="0" formatCode="General"/>
    </dxf>
    <dxf>
      <fill>
        <patternFill patternType="solid">
          <bgColor theme="4" tint="0.59999389629810485"/>
        </patternFill>
      </fill>
    </dxf>
    <dxf>
      <fill>
        <patternFill patternType="solid">
          <bgColor theme="4" tint="0.59999389629810485"/>
        </patternFill>
      </fill>
    </dxf>
    <dxf>
      <fill>
        <patternFill patternType="solid">
          <bgColor rgb="FFFFFF00"/>
        </patternFill>
      </fill>
    </dxf>
    <dxf>
      <fill>
        <patternFill patternType="solid">
          <bgColor rgb="FFFFFF00"/>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numFmt numFmtId="165" formatCode="_(&quot;$&quot;* #,##0_);_(&quot;$&quot;* \(#,##0\);_(&quot;$&quot;* &quot;-&quot;??_);_(@_)"/>
    </dxf>
    <dxf>
      <fill>
        <patternFill patternType="solid">
          <bgColor rgb="FFFFFF00"/>
        </patternFill>
      </fill>
    </dxf>
    <dxf>
      <fill>
        <patternFill patternType="solid">
          <bgColor rgb="FFFFFF00"/>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numFmt numFmtId="0" formatCode="General"/>
    </dxf>
    <dxf>
      <fill>
        <patternFill patternType="solid">
          <bgColor theme="4" tint="0.59999389629810485"/>
        </patternFill>
      </fill>
    </dxf>
    <dxf>
      <fill>
        <patternFill patternType="solid">
          <bgColor theme="4" tint="0.59999389629810485"/>
        </patternFill>
      </fill>
    </dxf>
    <dxf>
      <fill>
        <patternFill patternType="solid">
          <bgColor rgb="FFFFFF00"/>
        </patternFill>
      </fill>
    </dxf>
    <dxf>
      <fill>
        <patternFill patternType="solid">
          <bgColor rgb="FFFFFF00"/>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numFmt numFmtId="0" formatCode="General"/>
    </dxf>
    <dxf>
      <fill>
        <patternFill patternType="solid">
          <bgColor theme="4" tint="0.59999389629810485"/>
        </patternFill>
      </fill>
    </dxf>
    <dxf>
      <fill>
        <patternFill patternType="solid">
          <bgColor rgb="FFFFFF00"/>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numFmt numFmtId="165" formatCode="_(&quot;$&quot;* #,##0_);_(&quot;$&quot;* \(#,##0\);_(&quot;$&quot;* &quot;-&quot;??_);_(@_)"/>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numFmt numFmtId="0" formatCode="Genera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numFmt numFmtId="2" formatCode="0.00"/>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numFmt numFmtId="165" formatCode="_(&quot;$&quot;* #,##0_);_(&quot;$&quot;* \(#,##0\);_(&quot;$&quot;* &quot;-&quot;??_);_(@_)"/>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numFmt numFmtId="0" formatCode="General"/>
    </dxf>
    <dxf>
      <fill>
        <patternFill patternType="solid">
          <bgColor theme="4" tint="0.59999389629810485"/>
        </patternFill>
      </fill>
    </dxf>
    <dxf>
      <fill>
        <patternFill patternType="solid">
          <bgColor rgb="FFFFFF00"/>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numFmt numFmtId="165" formatCode="_(&quot;$&quot;* #,##0_);_(&quot;$&quot;* \(#,##0\);_(&quot;$&quot;* &quot;-&quot;??_);_(@_)"/>
    </dxf>
    <dxf>
      <fill>
        <patternFill patternType="solid">
          <bgColor theme="4" tint="0.59999389629810485"/>
        </patternFill>
      </fill>
    </dxf>
    <dxf>
      <fill>
        <patternFill patternType="solid">
          <bgColor rgb="FFFFFF00"/>
        </patternFill>
      </fill>
    </dxf>
    <dxf>
      <fill>
        <patternFill patternType="solid">
          <bgColor rgb="FFFFFF00"/>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numFmt numFmtId="0" formatCode="General"/>
    </dxf>
    <dxf>
      <fill>
        <patternFill patternType="solid">
          <bgColor theme="4" tint="0.59999389629810485"/>
        </patternFill>
      </fill>
    </dxf>
    <dxf>
      <fill>
        <patternFill patternType="solid">
          <bgColor rgb="FFFFFF00"/>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numFmt numFmtId="2" formatCode="0.00"/>
    </dxf>
    <dxf>
      <fill>
        <patternFill patternType="solid">
          <bgColor rgb="FFFFFF00"/>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numFmt numFmtId="165" formatCode="_(&quot;$&quot;* #,##0_);_(&quot;$&quot;* \(#,##0\);_(&quot;$&quot;* &quot;-&quot;??_);_(@_)"/>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numFmt numFmtId="0" formatCode="General"/>
    </dxf>
    <dxf>
      <numFmt numFmtId="164" formatCode="&quot;$&quot;#,##0"/>
    </dxf>
    <dxf>
      <fill>
        <patternFill patternType="solid">
          <bgColor theme="4" tint="0.59999389629810485"/>
        </patternFill>
      </fill>
    </dxf>
    <dxf>
      <fill>
        <patternFill>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numFmt numFmtId="0" formatCode="General"/>
    </dxf>
    <dxf>
      <fill>
        <patternFill patternType="solid">
          <bgColor theme="4" tint="0.59999389629810485"/>
        </patternFill>
      </fill>
    </dxf>
    <dxf>
      <fill>
        <patternFill patternType="solid">
          <bgColor theme="4" tint="0.59999389629810485"/>
        </patternFill>
      </fill>
    </dxf>
    <dxf>
      <fill>
        <patternFill patternType="solid">
          <bgColor rgb="FFFFFF00"/>
        </patternFill>
      </fill>
    </dxf>
    <dxf>
      <fill>
        <patternFill patternType="solid">
          <bgColor rgb="FFFFFF00"/>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numFmt numFmtId="165" formatCode="_(&quot;$&quot;* #,##0_);_(&quot;$&quot;* \(#,##0\);_(&quot;$&quot;* &quot;-&quot;??_);_(@_)"/>
    </dxf>
    <dxf>
      <fill>
        <patternFill patternType="solid">
          <bgColor rgb="FFFFFF00"/>
        </patternFill>
      </fill>
    </dxf>
    <dxf>
      <fill>
        <patternFill patternType="solid">
          <bgColor rgb="FFFFFF00"/>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numFmt numFmtId="0" formatCode="General"/>
    </dxf>
    <dxf>
      <fill>
        <patternFill patternType="solid">
          <bgColor theme="4" tint="0.59999389629810485"/>
        </patternFill>
      </fill>
    </dxf>
    <dxf>
      <fill>
        <patternFill patternType="solid">
          <bgColor theme="4" tint="0.59999389629810485"/>
        </patternFill>
      </fill>
    </dxf>
    <dxf>
      <fill>
        <patternFill patternType="solid">
          <bgColor rgb="FFFFFF00"/>
        </patternFill>
      </fill>
    </dxf>
    <dxf>
      <fill>
        <patternFill patternType="solid">
          <bgColor rgb="FFFFFF00"/>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numFmt numFmtId="0" formatCode="General"/>
    </dxf>
    <dxf>
      <fill>
        <patternFill patternType="solid">
          <bgColor theme="4" tint="0.59999389629810485"/>
        </patternFill>
      </fill>
    </dxf>
    <dxf>
      <fill>
        <patternFill patternType="solid">
          <bgColor rgb="FFFFFF00"/>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numFmt numFmtId="165" formatCode="_(&quot;$&quot;* #,##0_);_(&quot;$&quot;* \(#,##0\);_(&quot;$&quot;* &quot;-&quot;??_);_(@_)"/>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numFmt numFmtId="0" formatCode="Genera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numFmt numFmtId="2" formatCode="0.00"/>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numFmt numFmtId="165" formatCode="_(&quot;$&quot;* #,##0_);_(&quot;$&quot;* \(#,##0\);_(&quot;$&quot;* &quot;-&quot;??_);_(@_)"/>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numFmt numFmtId="0" formatCode="General"/>
    </dxf>
    <dxf>
      <fill>
        <patternFill patternType="solid">
          <bgColor theme="4" tint="0.59999389629810485"/>
        </patternFill>
      </fill>
    </dxf>
    <dxf>
      <fill>
        <patternFill patternType="solid">
          <bgColor rgb="FFFFFF00"/>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numFmt numFmtId="165" formatCode="_(&quot;$&quot;* #,##0_);_(&quot;$&quot;* \(#,##0\);_(&quot;$&quot;* &quot;-&quot;??_);_(@_)"/>
    </dxf>
    <dxf>
      <fill>
        <patternFill patternType="solid">
          <bgColor theme="4" tint="0.59999389629810485"/>
        </patternFill>
      </fill>
    </dxf>
    <dxf>
      <fill>
        <patternFill patternType="solid">
          <bgColor rgb="FFFFFF00"/>
        </patternFill>
      </fill>
    </dxf>
    <dxf>
      <fill>
        <patternFill patternType="solid">
          <bgColor rgb="FFFFFF00"/>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numFmt numFmtId="0" formatCode="General"/>
    </dxf>
    <dxf>
      <fill>
        <patternFill patternType="solid">
          <bgColor theme="4" tint="0.59999389629810485"/>
        </patternFill>
      </fill>
    </dxf>
    <dxf>
      <fill>
        <patternFill patternType="solid">
          <bgColor rgb="FFFFFF00"/>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numFmt numFmtId="2" formatCode="0.00"/>
    </dxf>
    <dxf>
      <fill>
        <patternFill patternType="solid">
          <bgColor rgb="FFFFFF00"/>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numFmt numFmtId="165" formatCode="_(&quot;$&quot;* #,##0_);_(&quot;$&quot;* \(#,##0\);_(&quot;$&quot;* &quot;-&quot;??_);_(@_)"/>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numFmt numFmtId="0" formatCode="General"/>
    </dxf>
    <dxf>
      <numFmt numFmtId="164" formatCode="&quot;$&quot;#,##0"/>
    </dxf>
    <dxf>
      <fill>
        <patternFill patternType="solid">
          <bgColor theme="4" tint="0.59999389629810485"/>
        </patternFill>
      </fill>
    </dxf>
    <dxf>
      <fill>
        <patternFill>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numFmt numFmtId="0" formatCode="General"/>
    </dxf>
    <dxf>
      <fill>
        <patternFill patternType="solid">
          <bgColor theme="4" tint="0.59999389629810485"/>
        </patternFill>
      </fill>
    </dxf>
    <dxf>
      <fill>
        <patternFill patternType="solid">
          <bgColor theme="4" tint="0.59999389629810485"/>
        </patternFill>
      </fill>
    </dxf>
    <dxf>
      <fill>
        <patternFill patternType="solid">
          <bgColor rgb="FFFFFF00"/>
        </patternFill>
      </fill>
    </dxf>
    <dxf>
      <fill>
        <patternFill patternType="solid">
          <bgColor rgb="FFFFFF00"/>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numFmt numFmtId="165" formatCode="_(&quot;$&quot;* #,##0_);_(&quot;$&quot;* \(#,##0\);_(&quot;$&quot;* &quot;-&quot;??_);_(@_)"/>
    </dxf>
    <dxf>
      <fill>
        <patternFill patternType="solid">
          <bgColor rgb="FFFFFF00"/>
        </patternFill>
      </fill>
    </dxf>
    <dxf>
      <fill>
        <patternFill patternType="solid">
          <bgColor rgb="FFFFFF00"/>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numFmt numFmtId="0" formatCode="General"/>
    </dxf>
    <dxf>
      <fill>
        <patternFill patternType="solid">
          <bgColor theme="4" tint="0.59999389629810485"/>
        </patternFill>
      </fill>
    </dxf>
    <dxf>
      <fill>
        <patternFill patternType="solid">
          <bgColor theme="4" tint="0.59999389629810485"/>
        </patternFill>
      </fill>
    </dxf>
    <dxf>
      <fill>
        <patternFill patternType="solid">
          <bgColor rgb="FFFFFF00"/>
        </patternFill>
      </fill>
    </dxf>
    <dxf>
      <fill>
        <patternFill patternType="solid">
          <bgColor rgb="FFFFFF00"/>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numFmt numFmtId="0" formatCode="General"/>
    </dxf>
    <dxf>
      <fill>
        <patternFill patternType="solid">
          <bgColor theme="4" tint="0.59999389629810485"/>
        </patternFill>
      </fill>
    </dxf>
    <dxf>
      <fill>
        <patternFill patternType="solid">
          <bgColor rgb="FFFFFF00"/>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numFmt numFmtId="165" formatCode="_(&quot;$&quot;* #,##0_);_(&quot;$&quot;* \(#,##0\);_(&quot;$&quot;* &quot;-&quot;??_);_(@_)"/>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numFmt numFmtId="0" formatCode="Genera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numFmt numFmtId="2" formatCode="0.00"/>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numFmt numFmtId="165" formatCode="_(&quot;$&quot;* #,##0_);_(&quot;$&quot;* \(#,##0\);_(&quot;$&quot;* &quot;-&quot;??_);_(@_)"/>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numFmt numFmtId="0" formatCode="General"/>
    </dxf>
    <dxf>
      <fill>
        <patternFill patternType="solid">
          <bgColor theme="4" tint="0.59999389629810485"/>
        </patternFill>
      </fill>
    </dxf>
    <dxf>
      <fill>
        <patternFill patternType="solid">
          <bgColor rgb="FFFFFF00"/>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numFmt numFmtId="165" formatCode="_(&quot;$&quot;* #,##0_);_(&quot;$&quot;* \(#,##0\);_(&quot;$&quot;* &quot;-&quot;??_);_(@_)"/>
    </dxf>
    <dxf>
      <fill>
        <patternFill patternType="solid">
          <bgColor theme="4" tint="0.59999389629810485"/>
        </patternFill>
      </fill>
    </dxf>
    <dxf>
      <fill>
        <patternFill patternType="solid">
          <bgColor rgb="FFFFFF00"/>
        </patternFill>
      </fill>
    </dxf>
    <dxf>
      <fill>
        <patternFill patternType="solid">
          <bgColor rgb="FFFFFF00"/>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numFmt numFmtId="0" formatCode="General"/>
    </dxf>
    <dxf>
      <fill>
        <patternFill patternType="solid">
          <bgColor theme="4" tint="0.59999389629810485"/>
        </patternFill>
      </fill>
    </dxf>
    <dxf>
      <fill>
        <patternFill patternType="solid">
          <bgColor rgb="FFFFFF00"/>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numFmt numFmtId="2" formatCode="0.00"/>
    </dxf>
    <dxf>
      <fill>
        <patternFill patternType="solid">
          <bgColor rgb="FFFFFF00"/>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numFmt numFmtId="165" formatCode="_(&quot;$&quot;* #,##0_);_(&quot;$&quot;* \(#,##0\);_(&quot;$&quot;* &quot;-&quot;??_);_(@_)"/>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numFmt numFmtId="0" formatCode="General"/>
    </dxf>
    <dxf>
      <numFmt numFmtId="164" formatCode="&quot;$&quot;#,##0"/>
    </dxf>
    <dxf>
      <fill>
        <patternFill patternType="solid">
          <bgColor theme="4" tint="0.59999389629810485"/>
        </patternFill>
      </fill>
    </dxf>
    <dxf>
      <fill>
        <patternFill>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numFmt numFmtId="0" formatCode="General"/>
    </dxf>
    <dxf>
      <fill>
        <patternFill patternType="solid">
          <bgColor theme="4" tint="0.59999389629810485"/>
        </patternFill>
      </fill>
    </dxf>
    <dxf>
      <fill>
        <patternFill patternType="solid">
          <bgColor theme="4" tint="0.59999389629810485"/>
        </patternFill>
      </fill>
    </dxf>
    <dxf>
      <fill>
        <patternFill patternType="solid">
          <bgColor rgb="FFFFFF00"/>
        </patternFill>
      </fill>
    </dxf>
    <dxf>
      <fill>
        <patternFill patternType="solid">
          <bgColor rgb="FFFFFF00"/>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numFmt numFmtId="165" formatCode="_(&quot;$&quot;* #,##0_);_(&quot;$&quot;* \(#,##0\);_(&quot;$&quot;* &quot;-&quot;??_);_(@_)"/>
    </dxf>
    <dxf>
      <fill>
        <patternFill patternType="solid">
          <bgColor rgb="FFFFFF00"/>
        </patternFill>
      </fill>
    </dxf>
    <dxf>
      <fill>
        <patternFill patternType="solid">
          <bgColor rgb="FFFFFF00"/>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numFmt numFmtId="0" formatCode="General"/>
    </dxf>
    <dxf>
      <fill>
        <patternFill patternType="solid">
          <bgColor theme="4" tint="0.59999389629810485"/>
        </patternFill>
      </fill>
    </dxf>
    <dxf>
      <fill>
        <patternFill patternType="solid">
          <bgColor theme="4" tint="0.59999389629810485"/>
        </patternFill>
      </fill>
    </dxf>
    <dxf>
      <fill>
        <patternFill patternType="solid">
          <bgColor rgb="FFFFFF00"/>
        </patternFill>
      </fill>
    </dxf>
    <dxf>
      <fill>
        <patternFill patternType="solid">
          <bgColor rgb="FFFFFF00"/>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numFmt numFmtId="0" formatCode="General"/>
    </dxf>
    <dxf>
      <fill>
        <patternFill patternType="solid">
          <bgColor theme="4" tint="0.59999389629810485"/>
        </patternFill>
      </fill>
    </dxf>
    <dxf>
      <fill>
        <patternFill patternType="solid">
          <bgColor rgb="FFFFFF00"/>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numFmt numFmtId="165" formatCode="_(&quot;$&quot;* #,##0_);_(&quot;$&quot;* \(#,##0\);_(&quot;$&quot;* &quot;-&quot;??_);_(@_)"/>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numFmt numFmtId="0" formatCode="Genera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numFmt numFmtId="2" formatCode="0.00"/>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numFmt numFmtId="165" formatCode="_(&quot;$&quot;* #,##0_);_(&quot;$&quot;* \(#,##0\);_(&quot;$&quot;* &quot;-&quot;??_);_(@_)"/>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numFmt numFmtId="0" formatCode="General"/>
    </dxf>
    <dxf>
      <fill>
        <patternFill patternType="solid">
          <bgColor theme="4" tint="0.59999389629810485"/>
        </patternFill>
      </fill>
    </dxf>
    <dxf>
      <fill>
        <patternFill patternType="solid">
          <bgColor rgb="FFFFFF00"/>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numFmt numFmtId="165" formatCode="_(&quot;$&quot;* #,##0_);_(&quot;$&quot;* \(#,##0\);_(&quot;$&quot;* &quot;-&quot;??_);_(@_)"/>
    </dxf>
    <dxf>
      <fill>
        <patternFill patternType="solid">
          <bgColor theme="4" tint="0.59999389629810485"/>
        </patternFill>
      </fill>
    </dxf>
    <dxf>
      <fill>
        <patternFill patternType="solid">
          <bgColor rgb="FFFFFF00"/>
        </patternFill>
      </fill>
    </dxf>
    <dxf>
      <fill>
        <patternFill patternType="solid">
          <bgColor rgb="FFFFFF00"/>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numFmt numFmtId="0" formatCode="General"/>
    </dxf>
    <dxf>
      <fill>
        <patternFill patternType="solid">
          <bgColor theme="4" tint="0.59999389629810485"/>
        </patternFill>
      </fill>
    </dxf>
    <dxf>
      <fill>
        <patternFill patternType="solid">
          <bgColor rgb="FFFFFF00"/>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numFmt numFmtId="2" formatCode="0.00"/>
    </dxf>
    <dxf>
      <fill>
        <patternFill patternType="solid">
          <bgColor rgb="FFFFFF00"/>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numFmt numFmtId="165" formatCode="_(&quot;$&quot;* #,##0_);_(&quot;$&quot;* \(#,##0\);_(&quot;$&quot;* &quot;-&quot;??_);_(@_)"/>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numFmt numFmtId="0" formatCode="General"/>
    </dxf>
    <dxf>
      <numFmt numFmtId="164" formatCode="&quot;$&quot;#,##0"/>
    </dxf>
    <dxf>
      <fill>
        <patternFill patternType="solid">
          <bgColor theme="4" tint="0.59999389629810485"/>
        </patternFill>
      </fill>
    </dxf>
    <dxf>
      <fill>
        <patternFill>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numFmt numFmtId="0" formatCode="General"/>
    </dxf>
    <dxf>
      <fill>
        <patternFill patternType="solid">
          <bgColor theme="4" tint="0.59999389629810485"/>
        </patternFill>
      </fill>
    </dxf>
    <dxf>
      <fill>
        <patternFill patternType="solid">
          <bgColor theme="4" tint="0.59999389629810485"/>
        </patternFill>
      </fill>
    </dxf>
    <dxf>
      <fill>
        <patternFill patternType="solid">
          <bgColor rgb="FFFFFF00"/>
        </patternFill>
      </fill>
    </dxf>
    <dxf>
      <fill>
        <patternFill patternType="solid">
          <bgColor rgb="FFFFFF00"/>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numFmt numFmtId="165" formatCode="_(&quot;$&quot;* #,##0_);_(&quot;$&quot;* \(#,##0\);_(&quot;$&quot;* &quot;-&quot;??_);_(@_)"/>
    </dxf>
    <dxf>
      <fill>
        <patternFill patternType="solid">
          <bgColor rgb="FFFFFF00"/>
        </patternFill>
      </fill>
    </dxf>
    <dxf>
      <fill>
        <patternFill patternType="solid">
          <bgColor rgb="FFFFFF00"/>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numFmt numFmtId="0" formatCode="General"/>
    </dxf>
    <dxf>
      <fill>
        <patternFill patternType="solid">
          <bgColor theme="4" tint="0.59999389629810485"/>
        </patternFill>
      </fill>
    </dxf>
    <dxf>
      <fill>
        <patternFill patternType="solid">
          <bgColor theme="4" tint="0.59999389629810485"/>
        </patternFill>
      </fill>
    </dxf>
    <dxf>
      <fill>
        <patternFill patternType="solid">
          <bgColor rgb="FFFFFF00"/>
        </patternFill>
      </fill>
    </dxf>
    <dxf>
      <fill>
        <patternFill patternType="solid">
          <bgColor rgb="FFFFFF00"/>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numFmt numFmtId="0" formatCode="General"/>
    </dxf>
    <dxf>
      <fill>
        <patternFill patternType="solid">
          <bgColor theme="4" tint="0.59999389629810485"/>
        </patternFill>
      </fill>
    </dxf>
    <dxf>
      <fill>
        <patternFill patternType="solid">
          <bgColor rgb="FFFFFF00"/>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numFmt numFmtId="165" formatCode="_(&quot;$&quot;* #,##0_);_(&quot;$&quot;* \(#,##0\);_(&quot;$&quot;* &quot;-&quot;??_);_(@_)"/>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numFmt numFmtId="0" formatCode="Genera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numFmt numFmtId="2" formatCode="0.00"/>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numFmt numFmtId="165" formatCode="_(&quot;$&quot;* #,##0_);_(&quot;$&quot;* \(#,##0\);_(&quot;$&quot;* &quot;-&quot;??_);_(@_)"/>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numFmt numFmtId="0" formatCode="General"/>
    </dxf>
    <dxf>
      <fill>
        <patternFill patternType="solid">
          <bgColor theme="4" tint="0.59999389629810485"/>
        </patternFill>
      </fill>
    </dxf>
    <dxf>
      <fill>
        <patternFill patternType="solid">
          <bgColor rgb="FFFFFF00"/>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numFmt numFmtId="165" formatCode="_(&quot;$&quot;* #,##0_);_(&quot;$&quot;* \(#,##0\);_(&quot;$&quot;* &quot;-&quot;??_);_(@_)"/>
    </dxf>
    <dxf>
      <fill>
        <patternFill patternType="solid">
          <bgColor theme="4" tint="0.59999389629810485"/>
        </patternFill>
      </fill>
    </dxf>
    <dxf>
      <fill>
        <patternFill patternType="solid">
          <bgColor rgb="FFFFFF00"/>
        </patternFill>
      </fill>
    </dxf>
    <dxf>
      <fill>
        <patternFill patternType="solid">
          <bgColor rgb="FFFFFF00"/>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numFmt numFmtId="0" formatCode="General"/>
    </dxf>
    <dxf>
      <fill>
        <patternFill patternType="solid">
          <bgColor theme="4" tint="0.59999389629810485"/>
        </patternFill>
      </fill>
    </dxf>
    <dxf>
      <fill>
        <patternFill patternType="solid">
          <bgColor rgb="FFFFFF00"/>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numFmt numFmtId="2" formatCode="0.00"/>
    </dxf>
    <dxf>
      <fill>
        <patternFill patternType="solid">
          <bgColor rgb="FFFFFF00"/>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numFmt numFmtId="165" formatCode="_(&quot;$&quot;* #,##0_);_(&quot;$&quot;* \(#,##0\);_(&quot;$&quot;* &quot;-&quot;??_);_(@_)"/>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numFmt numFmtId="0" formatCode="General"/>
    </dxf>
    <dxf>
      <numFmt numFmtId="164" formatCode="&quot;$&quot;#,##0"/>
    </dxf>
    <dxf>
      <fill>
        <patternFill patternType="solid">
          <bgColor theme="4" tint="0.59999389629810485"/>
        </patternFill>
      </fill>
    </dxf>
    <dxf>
      <fill>
        <patternFill>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numFmt numFmtId="0" formatCode="General"/>
    </dxf>
    <dxf>
      <fill>
        <patternFill patternType="solid">
          <bgColor theme="4" tint="0.59999389629810485"/>
        </patternFill>
      </fill>
    </dxf>
    <dxf>
      <fill>
        <patternFill patternType="solid">
          <bgColor theme="4" tint="0.59999389629810485"/>
        </patternFill>
      </fill>
    </dxf>
    <dxf>
      <fill>
        <patternFill patternType="solid">
          <bgColor rgb="FFFFFF00"/>
        </patternFill>
      </fill>
    </dxf>
    <dxf>
      <fill>
        <patternFill patternType="solid">
          <bgColor rgb="FFFFFF00"/>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numFmt numFmtId="165" formatCode="_(&quot;$&quot;* #,##0_);_(&quot;$&quot;* \(#,##0\);_(&quot;$&quot;* &quot;-&quot;??_);_(@_)"/>
    </dxf>
    <dxf>
      <fill>
        <patternFill patternType="solid">
          <bgColor rgb="FFFFFF00"/>
        </patternFill>
      </fill>
    </dxf>
    <dxf>
      <fill>
        <patternFill patternType="solid">
          <bgColor rgb="FFFFFF00"/>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numFmt numFmtId="0" formatCode="General"/>
    </dxf>
    <dxf>
      <fill>
        <patternFill patternType="solid">
          <bgColor theme="4" tint="0.59999389629810485"/>
        </patternFill>
      </fill>
    </dxf>
    <dxf>
      <fill>
        <patternFill patternType="solid">
          <bgColor theme="4" tint="0.59999389629810485"/>
        </patternFill>
      </fill>
    </dxf>
    <dxf>
      <fill>
        <patternFill patternType="solid">
          <bgColor rgb="FFFFFF00"/>
        </patternFill>
      </fill>
    </dxf>
    <dxf>
      <fill>
        <patternFill patternType="solid">
          <bgColor rgb="FFFFFF00"/>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numFmt numFmtId="0" formatCode="General"/>
    </dxf>
    <dxf>
      <fill>
        <patternFill patternType="solid">
          <bgColor theme="4" tint="0.59999389629810485"/>
        </patternFill>
      </fill>
    </dxf>
    <dxf>
      <fill>
        <patternFill patternType="solid">
          <bgColor rgb="FFFFFF00"/>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numFmt numFmtId="165" formatCode="_(&quot;$&quot;* #,##0_);_(&quot;$&quot;* \(#,##0\);_(&quot;$&quot;* &quot;-&quot;??_);_(@_)"/>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numFmt numFmtId="0" formatCode="Genera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numFmt numFmtId="2" formatCode="0.00"/>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numFmt numFmtId="165" formatCode="_(&quot;$&quot;* #,##0_);_(&quot;$&quot;* \(#,##0\);_(&quot;$&quot;* &quot;-&quot;??_);_(@_)"/>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numFmt numFmtId="0" formatCode="General"/>
    </dxf>
    <dxf>
      <fill>
        <patternFill patternType="solid">
          <bgColor theme="4" tint="0.59999389629810485"/>
        </patternFill>
      </fill>
    </dxf>
    <dxf>
      <fill>
        <patternFill patternType="solid">
          <bgColor rgb="FFFFFF00"/>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numFmt numFmtId="165" formatCode="_(&quot;$&quot;* #,##0_);_(&quot;$&quot;* \(#,##0\);_(&quot;$&quot;* &quot;-&quot;??_);_(@_)"/>
    </dxf>
    <dxf>
      <fill>
        <patternFill patternType="solid">
          <bgColor theme="4" tint="0.59999389629810485"/>
        </patternFill>
      </fill>
    </dxf>
    <dxf>
      <fill>
        <patternFill patternType="solid">
          <bgColor rgb="FFFFFF00"/>
        </patternFill>
      </fill>
    </dxf>
    <dxf>
      <fill>
        <patternFill patternType="solid">
          <bgColor rgb="FFFFFF00"/>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numFmt numFmtId="0" formatCode="General"/>
    </dxf>
    <dxf>
      <fill>
        <patternFill patternType="solid">
          <bgColor theme="4" tint="0.59999389629810485"/>
        </patternFill>
      </fill>
    </dxf>
    <dxf>
      <fill>
        <patternFill patternType="solid">
          <bgColor rgb="FFFFFF00"/>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numFmt numFmtId="2" formatCode="0.00"/>
    </dxf>
    <dxf>
      <fill>
        <patternFill patternType="solid">
          <bgColor rgb="FFFFFF00"/>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numFmt numFmtId="165" formatCode="_(&quot;$&quot;* #,##0_);_(&quot;$&quot;* \(#,##0\);_(&quot;$&quot;* &quot;-&quot;??_);_(@_)"/>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numFmt numFmtId="0" formatCode="General"/>
    </dxf>
    <dxf>
      <numFmt numFmtId="164" formatCode="&quot;$&quot;#,##0"/>
    </dxf>
    <dxf>
      <fill>
        <patternFill patternType="solid">
          <bgColor theme="4" tint="0.59999389629810485"/>
        </patternFill>
      </fill>
    </dxf>
    <dxf>
      <fill>
        <patternFill>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numFmt numFmtId="0" formatCode="General"/>
    </dxf>
    <dxf>
      <fill>
        <patternFill patternType="solid">
          <bgColor theme="4" tint="0.59999389629810485"/>
        </patternFill>
      </fill>
    </dxf>
    <dxf>
      <fill>
        <patternFill patternType="solid">
          <bgColor theme="4" tint="0.59999389629810485"/>
        </patternFill>
      </fill>
    </dxf>
    <dxf>
      <fill>
        <patternFill patternType="solid">
          <bgColor rgb="FFFFFF00"/>
        </patternFill>
      </fill>
    </dxf>
    <dxf>
      <fill>
        <patternFill patternType="solid">
          <bgColor rgb="FFFFFF00"/>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numFmt numFmtId="165" formatCode="_(&quot;$&quot;* #,##0_);_(&quot;$&quot;* \(#,##0\);_(&quot;$&quot;* &quot;-&quot;??_);_(@_)"/>
    </dxf>
    <dxf>
      <fill>
        <patternFill patternType="solid">
          <bgColor rgb="FFFFFF00"/>
        </patternFill>
      </fill>
    </dxf>
    <dxf>
      <fill>
        <patternFill patternType="solid">
          <bgColor rgb="FFFFFF00"/>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numFmt numFmtId="0" formatCode="General"/>
    </dxf>
    <dxf>
      <fill>
        <patternFill patternType="solid">
          <bgColor theme="4" tint="0.59999389629810485"/>
        </patternFill>
      </fill>
    </dxf>
    <dxf>
      <fill>
        <patternFill patternType="solid">
          <bgColor theme="4" tint="0.59999389629810485"/>
        </patternFill>
      </fill>
    </dxf>
    <dxf>
      <fill>
        <patternFill patternType="solid">
          <bgColor rgb="FFFFFF00"/>
        </patternFill>
      </fill>
    </dxf>
    <dxf>
      <fill>
        <patternFill patternType="solid">
          <bgColor rgb="FFFFFF00"/>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numFmt numFmtId="0" formatCode="General"/>
    </dxf>
    <dxf>
      <fill>
        <patternFill patternType="solid">
          <bgColor theme="4" tint="0.59999389629810485"/>
        </patternFill>
      </fill>
    </dxf>
    <dxf>
      <fill>
        <patternFill patternType="solid">
          <bgColor rgb="FFFFFF00"/>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numFmt numFmtId="165" formatCode="_(&quot;$&quot;* #,##0_);_(&quot;$&quot;* \(#,##0\);_(&quot;$&quot;* &quot;-&quot;??_);_(@_)"/>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numFmt numFmtId="0" formatCode="Genera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numFmt numFmtId="2" formatCode="0.00"/>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numFmt numFmtId="165" formatCode="_(&quot;$&quot;* #,##0_);_(&quot;$&quot;* \(#,##0\);_(&quot;$&quot;* &quot;-&quot;??_);_(@_)"/>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numFmt numFmtId="0" formatCode="General"/>
    </dxf>
    <dxf>
      <fill>
        <patternFill patternType="solid">
          <bgColor theme="4" tint="0.59999389629810485"/>
        </patternFill>
      </fill>
    </dxf>
    <dxf>
      <fill>
        <patternFill patternType="solid">
          <bgColor rgb="FFFFFF00"/>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numFmt numFmtId="165" formatCode="_(&quot;$&quot;* #,##0_);_(&quot;$&quot;* \(#,##0\);_(&quot;$&quot;* &quot;-&quot;??_);_(@_)"/>
    </dxf>
    <dxf>
      <fill>
        <patternFill patternType="solid">
          <bgColor theme="4" tint="0.59999389629810485"/>
        </patternFill>
      </fill>
    </dxf>
    <dxf>
      <fill>
        <patternFill patternType="solid">
          <bgColor rgb="FFFFFF00"/>
        </patternFill>
      </fill>
    </dxf>
    <dxf>
      <fill>
        <patternFill patternType="solid">
          <bgColor rgb="FFFFFF00"/>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numFmt numFmtId="0" formatCode="General"/>
    </dxf>
    <dxf>
      <fill>
        <patternFill patternType="solid">
          <bgColor theme="4" tint="0.59999389629810485"/>
        </patternFill>
      </fill>
    </dxf>
    <dxf>
      <fill>
        <patternFill patternType="solid">
          <bgColor rgb="FFFFFF00"/>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numFmt numFmtId="2" formatCode="0.00"/>
    </dxf>
    <dxf>
      <fill>
        <patternFill patternType="solid">
          <bgColor rgb="FFFFFF00"/>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numFmt numFmtId="165" formatCode="_(&quot;$&quot;* #,##0_);_(&quot;$&quot;* \(#,##0\);_(&quot;$&quot;* &quot;-&quot;??_);_(@_)"/>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numFmt numFmtId="0" formatCode="General"/>
    </dxf>
    <dxf>
      <numFmt numFmtId="164" formatCode="&quot;$&quot;#,##0"/>
    </dxf>
    <dxf>
      <fill>
        <patternFill patternType="solid">
          <bgColor theme="4" tint="0.59999389629810485"/>
        </patternFill>
      </fill>
    </dxf>
    <dxf>
      <fill>
        <patternFill>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numFmt numFmtId="0" formatCode="General"/>
    </dxf>
    <dxf>
      <fill>
        <patternFill patternType="solid">
          <bgColor theme="4" tint="0.59999389629810485"/>
        </patternFill>
      </fill>
    </dxf>
    <dxf>
      <fill>
        <patternFill patternType="solid">
          <bgColor theme="4" tint="0.59999389629810485"/>
        </patternFill>
      </fill>
    </dxf>
    <dxf>
      <fill>
        <patternFill patternType="solid">
          <bgColor rgb="FFFFFF00"/>
        </patternFill>
      </fill>
    </dxf>
    <dxf>
      <fill>
        <patternFill patternType="solid">
          <bgColor rgb="FFFFFF00"/>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numFmt numFmtId="165" formatCode="_(&quot;$&quot;* #,##0_);_(&quot;$&quot;* \(#,##0\);_(&quot;$&quot;* &quot;-&quot;??_);_(@_)"/>
    </dxf>
    <dxf>
      <fill>
        <patternFill patternType="solid">
          <bgColor rgb="FFFFFF00"/>
        </patternFill>
      </fill>
    </dxf>
    <dxf>
      <fill>
        <patternFill patternType="solid">
          <bgColor rgb="FFFFFF00"/>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numFmt numFmtId="0" formatCode="General"/>
    </dxf>
    <dxf>
      <fill>
        <patternFill patternType="solid">
          <bgColor theme="4" tint="0.59999389629810485"/>
        </patternFill>
      </fill>
    </dxf>
    <dxf>
      <fill>
        <patternFill patternType="solid">
          <bgColor theme="4" tint="0.59999389629810485"/>
        </patternFill>
      </fill>
    </dxf>
    <dxf>
      <fill>
        <patternFill patternType="solid">
          <bgColor rgb="FFFFFF00"/>
        </patternFill>
      </fill>
    </dxf>
    <dxf>
      <fill>
        <patternFill patternType="solid">
          <bgColor rgb="FFFFFF00"/>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numFmt numFmtId="0" formatCode="General"/>
    </dxf>
    <dxf>
      <fill>
        <patternFill patternType="solid">
          <bgColor theme="4" tint="0.59999389629810485"/>
        </patternFill>
      </fill>
    </dxf>
    <dxf>
      <fill>
        <patternFill patternType="solid">
          <bgColor rgb="FFFFFF00"/>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numFmt numFmtId="165" formatCode="_(&quot;$&quot;* #,##0_);_(&quot;$&quot;* \(#,##0\);_(&quot;$&quot;* &quot;-&quot;??_);_(@_)"/>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numFmt numFmtId="0" formatCode="Genera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numFmt numFmtId="2" formatCode="0.00"/>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numFmt numFmtId="165" formatCode="_(&quot;$&quot;* #,##0_);_(&quot;$&quot;* \(#,##0\);_(&quot;$&quot;* &quot;-&quot;??_);_(@_)"/>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numFmt numFmtId="0" formatCode="General"/>
    </dxf>
    <dxf>
      <fill>
        <patternFill patternType="solid">
          <bgColor theme="4" tint="0.59999389629810485"/>
        </patternFill>
      </fill>
    </dxf>
    <dxf>
      <fill>
        <patternFill patternType="solid">
          <bgColor rgb="FFFFFF00"/>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numFmt numFmtId="165" formatCode="_(&quot;$&quot;* #,##0_);_(&quot;$&quot;* \(#,##0\);_(&quot;$&quot;* &quot;-&quot;??_);_(@_)"/>
    </dxf>
    <dxf>
      <fill>
        <patternFill patternType="solid">
          <bgColor theme="4" tint="0.59999389629810485"/>
        </patternFill>
      </fill>
    </dxf>
    <dxf>
      <fill>
        <patternFill patternType="solid">
          <bgColor rgb="FFFFFF00"/>
        </patternFill>
      </fill>
    </dxf>
    <dxf>
      <fill>
        <patternFill patternType="solid">
          <bgColor rgb="FFFFFF00"/>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numFmt numFmtId="0" formatCode="General"/>
    </dxf>
    <dxf>
      <fill>
        <patternFill patternType="solid">
          <bgColor theme="4" tint="0.59999389629810485"/>
        </patternFill>
      </fill>
    </dxf>
    <dxf>
      <fill>
        <patternFill patternType="solid">
          <bgColor rgb="FFFFFF00"/>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numFmt numFmtId="2" formatCode="0.00"/>
    </dxf>
    <dxf>
      <fill>
        <patternFill patternType="solid">
          <bgColor rgb="FFFFFF00"/>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numFmt numFmtId="165" formatCode="_(&quot;$&quot;* #,##0_);_(&quot;$&quot;* \(#,##0\);_(&quot;$&quot;* &quot;-&quot;??_);_(@_)"/>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numFmt numFmtId="0" formatCode="General"/>
    </dxf>
    <dxf>
      <numFmt numFmtId="164" formatCode="&quot;$&quot;#,##0"/>
    </dxf>
    <dxf>
      <fill>
        <patternFill patternType="solid">
          <bgColor theme="4" tint="0.59999389629810485"/>
        </patternFill>
      </fill>
    </dxf>
    <dxf>
      <fill>
        <patternFill>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numFmt numFmtId="0" formatCode="General"/>
    </dxf>
    <dxf>
      <fill>
        <patternFill patternType="solid">
          <bgColor theme="4" tint="0.59999389629810485"/>
        </patternFill>
      </fill>
    </dxf>
    <dxf>
      <fill>
        <patternFill patternType="solid">
          <bgColor theme="4" tint="0.59999389629810485"/>
        </patternFill>
      </fill>
    </dxf>
    <dxf>
      <fill>
        <patternFill patternType="solid">
          <bgColor rgb="FFFFFF00"/>
        </patternFill>
      </fill>
    </dxf>
    <dxf>
      <fill>
        <patternFill patternType="solid">
          <bgColor rgb="FFFFFF00"/>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numFmt numFmtId="165" formatCode="_(&quot;$&quot;* #,##0_);_(&quot;$&quot;* \(#,##0\);_(&quot;$&quot;* &quot;-&quot;??_);_(@_)"/>
    </dxf>
    <dxf>
      <fill>
        <patternFill patternType="solid">
          <bgColor rgb="FFFFFF00"/>
        </patternFill>
      </fill>
    </dxf>
    <dxf>
      <fill>
        <patternFill patternType="solid">
          <bgColor rgb="FFFFFF00"/>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numFmt numFmtId="165" formatCode="_(&quot;$&quot;* #,##0_);_(&quot;$&quot;* \(#,##0\);_(&quot;$&quot;* &quot;-&quot;??_);_(@_)"/>
    </dxf>
    <dxf>
      <fill>
        <patternFill patternType="solid">
          <bgColor rgb="FFFFFF00"/>
        </patternFill>
      </fill>
    </dxf>
    <dxf>
      <fill>
        <patternFill patternType="solid">
          <bgColor rgb="FFFFFF00"/>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numFmt numFmtId="0" formatCode="General"/>
    </dxf>
    <dxf>
      <fill>
        <patternFill patternType="solid">
          <bgColor theme="4" tint="0.59999389629810485"/>
        </patternFill>
      </fill>
    </dxf>
    <dxf>
      <fill>
        <patternFill patternType="solid">
          <bgColor theme="4" tint="0.59999389629810485"/>
        </patternFill>
      </fill>
    </dxf>
    <dxf>
      <fill>
        <patternFill patternType="solid">
          <bgColor rgb="FFFFFF00"/>
        </patternFill>
      </fill>
    </dxf>
    <dxf>
      <fill>
        <patternFill patternType="solid">
          <bgColor rgb="FFFFFF00"/>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numFmt numFmtId="0" formatCode="General"/>
    </dxf>
    <dxf>
      <fill>
        <patternFill patternType="solid">
          <bgColor theme="4" tint="0.59999389629810485"/>
        </patternFill>
      </fill>
    </dxf>
    <dxf>
      <fill>
        <patternFill patternType="solid">
          <bgColor rgb="FFFFFF00"/>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numFmt numFmtId="165" formatCode="_(&quot;$&quot;* #,##0_);_(&quot;$&quot;* \(#,##0\);_(&quot;$&quot;* &quot;-&quot;??_);_(@_)"/>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numFmt numFmtId="0" formatCode="Genera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numFmt numFmtId="2" formatCode="0.00"/>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numFmt numFmtId="165" formatCode="_(&quot;$&quot;* #,##0_);_(&quot;$&quot;* \(#,##0\);_(&quot;$&quot;* &quot;-&quot;??_);_(@_)"/>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numFmt numFmtId="0" formatCode="General"/>
    </dxf>
    <dxf>
      <fill>
        <patternFill patternType="solid">
          <bgColor theme="4" tint="0.59999389629810485"/>
        </patternFill>
      </fill>
    </dxf>
    <dxf>
      <fill>
        <patternFill patternType="solid">
          <bgColor rgb="FFFFFF00"/>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numFmt numFmtId="165" formatCode="_(&quot;$&quot;* #,##0_);_(&quot;$&quot;* \(#,##0\);_(&quot;$&quot;* &quot;-&quot;??_);_(@_)"/>
    </dxf>
    <dxf>
      <fill>
        <patternFill patternType="solid">
          <bgColor theme="4" tint="0.59999389629810485"/>
        </patternFill>
      </fill>
    </dxf>
    <dxf>
      <fill>
        <patternFill patternType="solid">
          <bgColor rgb="FFFFFF00"/>
        </patternFill>
      </fill>
    </dxf>
    <dxf>
      <fill>
        <patternFill patternType="solid">
          <bgColor rgb="FFFFFF00"/>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numFmt numFmtId="0" formatCode="General"/>
    </dxf>
    <dxf>
      <fill>
        <patternFill patternType="solid">
          <bgColor theme="4" tint="0.59999389629810485"/>
        </patternFill>
      </fill>
    </dxf>
    <dxf>
      <fill>
        <patternFill patternType="solid">
          <bgColor rgb="FFFFFF00"/>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numFmt numFmtId="2" formatCode="0.00"/>
    </dxf>
    <dxf>
      <fill>
        <patternFill patternType="solid">
          <bgColor rgb="FFFFFF00"/>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numFmt numFmtId="165" formatCode="_(&quot;$&quot;* #,##0_);_(&quot;$&quot;* \(#,##0\);_(&quot;$&quot;* &quot;-&quot;??_);_(@_)"/>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numFmt numFmtId="0" formatCode="General"/>
    </dxf>
    <dxf>
      <numFmt numFmtId="164" formatCode="&quot;$&quot;#,##0"/>
    </dxf>
    <dxf>
      <fill>
        <patternFill patternType="solid">
          <bgColor theme="4" tint="0.59999389629810485"/>
        </patternFill>
      </fill>
    </dxf>
    <dxf>
      <fill>
        <patternFill>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numFmt numFmtId="0" formatCode="General"/>
    </dxf>
    <dxf>
      <fill>
        <patternFill patternType="solid">
          <bgColor theme="4" tint="0.59999389629810485"/>
        </patternFill>
      </fill>
    </dxf>
    <dxf>
      <fill>
        <patternFill patternType="solid">
          <bgColor theme="4" tint="0.59999389629810485"/>
        </patternFill>
      </fill>
    </dxf>
    <dxf>
      <fill>
        <patternFill patternType="solid">
          <bgColor rgb="FFFFFF00"/>
        </patternFill>
      </fill>
    </dxf>
    <dxf>
      <fill>
        <patternFill patternType="solid">
          <bgColor rgb="FFFFFF00"/>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numFmt numFmtId="165" formatCode="_(&quot;$&quot;* #,##0_);_(&quot;$&quot;* \(#,##0\);_(&quot;$&quot;* &quot;-&quot;??_);_(@_)"/>
    </dxf>
    <dxf>
      <fill>
        <patternFill patternType="solid">
          <bgColor rgb="FFFFFF00"/>
        </patternFill>
      </fill>
    </dxf>
    <dxf>
      <fill>
        <patternFill patternType="solid">
          <bgColor rgb="FFFFFF00"/>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numFmt numFmtId="165" formatCode="_(&quot;$&quot;* #,##0_);_(&quot;$&quot;* \(#,##0\);_(&quot;$&quot;* &quot;-&quot;??_);_(@_)"/>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theme="4" tint="0.59999389629810485"/>
        </patternFill>
      </fill>
    </dxf>
    <dxf>
      <fill>
        <patternFill patternType="solid">
          <bgColor theme="4" tint="0.59999389629810485"/>
        </patternFill>
      </fill>
    </dxf>
    <dxf>
      <numFmt numFmtId="0" formatCode="Genera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rgb="FFFFFF00"/>
        </patternFill>
      </fill>
    </dxf>
    <dxf>
      <fill>
        <patternFill patternType="solid">
          <bgColor theme="4" tint="0.59999389629810485"/>
        </patternFill>
      </fill>
    </dxf>
    <dxf>
      <numFmt numFmtId="0" formatCode="Genera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numFmt numFmtId="165" formatCode="_(&quot;$&quot;* #,##0_);_(&quot;$&quot;* \(#,##0\);_(&quot;$&quot;* &quot;-&quot;??_);_(@_)"/>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numFmt numFmtId="0" formatCode="Genera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numFmt numFmtId="2" formatCode="0.00"/>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numFmt numFmtId="165" formatCode="_(&quot;$&quot;* #,##0_);_(&quot;$&quot;* \(#,##0\);_(&quot;$&quot;* &quot;-&quot;??_);_(@_)"/>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numFmt numFmtId="0" formatCode="General"/>
    </dxf>
    <dxf>
      <numFmt numFmtId="0" formatCode="General"/>
    </dxf>
    <dxf>
      <numFmt numFmtId="164" formatCode="&quot;$&quot;#,##0"/>
    </dxf>
    <dxf>
      <numFmt numFmtId="19" formatCode="m/d/yyyy"/>
    </dxf>
    <dxf>
      <fill>
        <patternFill patternType="solid">
          <bgColor theme="4" tint="0.59999389629810485"/>
        </patternFill>
      </fill>
    </dxf>
    <dxf>
      <fill>
        <patternFill patternType="solid">
          <bgColor theme="4" tint="0.59999389629810485"/>
        </patternFill>
      </fill>
    </dxf>
    <dxf>
      <fill>
        <patternFill patternType="solid">
          <bgColor rgb="FFFFFF00"/>
        </patternFill>
      </fill>
    </dxf>
    <dxf>
      <numFmt numFmtId="2" formatCode="0.00"/>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rgb="FFFFFF00"/>
        </patternFill>
      </fill>
    </dxf>
    <dxf>
      <fill>
        <patternFill patternType="solid">
          <bgColor theme="4" tint="0.59999389629810485"/>
        </patternFill>
      </fill>
    </dxf>
    <dxf>
      <numFmt numFmtId="0" formatCode="Genera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numFmt numFmtId="165" formatCode="_(&quot;$&quot;* #,##0_);_(&quot;$&quot;* \(#,##0\);_(&quot;$&quot;* &quot;-&quot;??_);_(@_)"/>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rgb="FFFFFF00"/>
        </patternFill>
      </fill>
    </dxf>
    <dxf>
      <fill>
        <patternFill patternType="solid">
          <bgColor rgb="FFFFFF00"/>
        </patternFill>
      </fill>
    </dxf>
    <dxf>
      <numFmt numFmtId="165" formatCode="_(&quot;$&quot;* #,##0_);_(&quot;$&quot;* \(#,##0\);_(&quot;$&quot;* &quot;-&quot;??_);_(@_)"/>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bgColor theme="4" tint="0.59999389629810485"/>
        </patternFill>
      </fill>
    </dxf>
    <dxf>
      <fill>
        <patternFill patternType="solid">
          <bgColor theme="4" tint="0.59999389629810485"/>
        </patternFill>
      </fill>
    </dxf>
    <dxf>
      <numFmt numFmtId="164" formatCode="&quot;$&quot;#,##0"/>
    </dxf>
    <dxf>
      <numFmt numFmtId="0" formatCode="Genera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rgb="FFFFFF00"/>
        </patternFill>
      </fill>
    </dxf>
    <dxf>
      <fill>
        <patternFill patternType="solid">
          <bgColor theme="4" tint="0.59999389629810485"/>
        </patternFill>
      </fill>
    </dxf>
    <dxf>
      <numFmt numFmtId="0" formatCode="Genera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rgb="FFFFFF00"/>
        </patternFill>
      </fill>
    </dxf>
    <dxf>
      <fill>
        <patternFill patternType="solid">
          <bgColor rgb="FFFFFF00"/>
        </patternFill>
      </fill>
    </dxf>
    <dxf>
      <fill>
        <patternFill patternType="solid">
          <bgColor theme="4" tint="0.59999389629810485"/>
        </patternFill>
      </fill>
    </dxf>
    <dxf>
      <numFmt numFmtId="165" formatCode="_(&quot;$&quot;* #,##0_);_(&quot;$&quot;* \(#,##0\);_(&quot;$&quot;* &quot;-&quot;??_);_(@_)"/>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rgb="FFFFFF00"/>
        </patternFill>
      </fill>
    </dxf>
    <dxf>
      <fill>
        <patternFill patternType="solid">
          <bgColor rgb="FFFFFF00"/>
        </patternFill>
      </fill>
    </dxf>
    <dxf>
      <fill>
        <patternFill patternType="solid">
          <bgColor theme="4" tint="0.59999389629810485"/>
        </patternFill>
      </fill>
    </dxf>
    <dxf>
      <fill>
        <patternFill patternType="solid">
          <bgColor theme="4" tint="0.59999389629810485"/>
        </patternFill>
      </fill>
    </dxf>
    <dxf>
      <numFmt numFmtId="0" formatCode="Genera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ont>
        <b/>
        <color theme="1"/>
      </font>
      <border>
        <bottom style="thin">
          <color theme="9"/>
        </bottom>
        <vertical/>
        <horizontal/>
      </border>
    </dxf>
    <dxf>
      <font>
        <b/>
        <i val="0"/>
        <sz val="14"/>
        <color theme="1"/>
        <name val="MV Boli"/>
        <scheme val="none"/>
      </font>
      <fill>
        <patternFill>
          <bgColor rgb="FFF7D693"/>
        </patternFill>
      </fill>
      <border diagonalUp="0" diagonalDown="0">
        <left/>
        <right/>
        <top/>
        <bottom/>
        <vertical/>
        <horizontal/>
      </border>
    </dxf>
    <dxf>
      <fill>
        <patternFill patternType="solid">
          <fgColor theme="0"/>
          <bgColor theme="0"/>
        </patternFill>
      </fill>
    </dxf>
    <dxf>
      <fill>
        <patternFill patternType="solid">
          <fgColor rgb="FFDBE0F3"/>
          <bgColor rgb="FFDBE0F3"/>
        </patternFill>
      </fill>
    </dxf>
    <dxf>
      <fill>
        <patternFill patternType="solid">
          <fgColor theme="4"/>
          <bgColor theme="4"/>
        </patternFill>
      </fill>
    </dxf>
  </dxfs>
  <tableStyles count="2">
    <tableStyle name="Data-style" pivot="0" count="3" xr9:uid="{00000000-0011-0000-FFFF-FFFF00000000}">
      <tableStyleElement type="headerRow" dxfId="981"/>
      <tableStyleElement type="firstRowStripe" dxfId="980"/>
      <tableStyleElement type="secondRowStripe" dxfId="979"/>
    </tableStyle>
    <tableStyle name="me" pivot="0" table="0" count="10" xr9:uid="{23EF65E4-1581-4403-9055-9583CE4C9F09}">
      <tableStyleElement type="wholeTable" dxfId="978"/>
      <tableStyleElement type="headerRow" dxfId="977"/>
    </tableStyle>
  </tableStyles>
  <colors>
    <mruColors>
      <color rgb="FFBDD3FF"/>
      <color rgb="FFFDF0D5"/>
      <color rgb="FFFBE2AF"/>
      <color rgb="FFFFC9C9"/>
      <color rgb="FF9E0000"/>
      <color rgb="FFF6BB44"/>
      <color rgb="FFF8CC74"/>
      <color rgb="FFC80000"/>
      <color rgb="FFFF8181"/>
      <color rgb="FFFF3333"/>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9" tint="0.59996337778862885"/>
            </patternFill>
          </fill>
          <border diagonalUp="0" diagonalDown="0">
            <left/>
            <right/>
            <top/>
            <bottom/>
            <vertical/>
            <horizontal/>
          </border>
        </dxf>
        <dxf>
          <font>
            <color rgb="FF000000"/>
          </font>
          <fill>
            <patternFill patternType="solid">
              <fgColor auto="1"/>
              <bgColor rgb="FFFFCDCD"/>
            </patternFill>
          </fill>
          <border diagonalUp="0" diagonalDown="0">
            <left/>
            <right/>
            <top/>
            <bottom/>
            <vertical/>
            <horizontal/>
          </border>
        </dxf>
        <dxf>
          <font>
            <color theme="9" tint="-0.249977111117893"/>
          </font>
          <fill>
            <patternFill patternType="solid">
              <fgColor theme="9" tint="0.59999389629810485"/>
              <bgColor theme="9" tint="0.59999389629810485"/>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color theme="0"/>
          </font>
          <fill>
            <patternFill patternType="solid">
              <fgColor theme="9"/>
              <bgColor rgb="FF780000"/>
            </patternFill>
          </fill>
          <border diagonalUp="0" diagonalDown="0">
            <left/>
            <right/>
            <top/>
            <bottom/>
            <vertical/>
            <horizontal/>
          </border>
        </dxf>
        <dxf>
          <font>
            <color rgb="FF959595"/>
          </font>
          <fill>
            <patternFill patternType="solid">
              <fgColor rgb="FFDFDFDF"/>
              <bgColor rgb="FFDFDFDF"/>
            </patternFill>
          </fill>
          <border diagonalUp="0" diagonalDown="0">
            <left/>
            <right/>
            <top/>
            <bottom/>
            <vertical/>
            <horizontal/>
          </border>
        </dxf>
        <dxf>
          <font>
            <color rgb="FF000000"/>
          </font>
          <fill>
            <patternFill patternType="solid">
              <fgColor rgb="FFC0C0C0"/>
              <bgColor rgb="FFFFF3F3"/>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m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4.xml"/><Relationship Id="rId18" Type="http://schemas.openxmlformats.org/officeDocument/2006/relationships/pivotCacheDefinition" Target="pivotCache/pivotCacheDefinition9.xml"/><Relationship Id="rId26" Type="http://schemas.openxmlformats.org/officeDocument/2006/relationships/pivotCacheDefinition" Target="pivotCache/pivotCacheDefinition17.xml"/><Relationship Id="rId3" Type="http://schemas.openxmlformats.org/officeDocument/2006/relationships/worksheet" Target="worksheets/sheet3.xml"/><Relationship Id="rId21" Type="http://schemas.openxmlformats.org/officeDocument/2006/relationships/pivotCacheDefinition" Target="pivotCache/pivotCacheDefinition12.xml"/><Relationship Id="rId34"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17" Type="http://schemas.openxmlformats.org/officeDocument/2006/relationships/pivotCacheDefinition" Target="pivotCache/pivotCacheDefinition8.xml"/><Relationship Id="rId25" Type="http://schemas.openxmlformats.org/officeDocument/2006/relationships/pivotCacheDefinition" Target="pivotCache/pivotCacheDefinition16.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pivotCacheDefinition" Target="pivotCache/pivotCacheDefinition7.xml"/><Relationship Id="rId20" Type="http://schemas.openxmlformats.org/officeDocument/2006/relationships/pivotCacheDefinition" Target="pivotCache/pivotCacheDefinition11.xml"/><Relationship Id="rId29" Type="http://customschemas.google.com/relationships/workbookmetadata" Target="metadata"/><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24" Type="http://schemas.openxmlformats.org/officeDocument/2006/relationships/pivotCacheDefinition" Target="pivotCache/pivotCacheDefinition15.xml"/><Relationship Id="rId32"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pivotCacheDefinition" Target="pivotCache/pivotCacheDefinition6.xml"/><Relationship Id="rId23" Type="http://schemas.openxmlformats.org/officeDocument/2006/relationships/pivotCacheDefinition" Target="pivotCache/pivotCacheDefinition14.xml"/><Relationship Id="rId28" Type="http://schemas.microsoft.com/office/2007/relationships/slicerCache" Target="slicerCaches/slicerCache2.xml"/><Relationship Id="rId36" Type="http://schemas.openxmlformats.org/officeDocument/2006/relationships/calcChain" Target="calcChain.xml"/><Relationship Id="rId10" Type="http://schemas.openxmlformats.org/officeDocument/2006/relationships/pivotCacheDefinition" Target="pivotCache/pivotCacheDefinition1.xml"/><Relationship Id="rId19" Type="http://schemas.openxmlformats.org/officeDocument/2006/relationships/pivotCacheDefinition" Target="pivotCache/pivotCacheDefinition10.xml"/><Relationship Id="rId31"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5.xml"/><Relationship Id="rId22" Type="http://schemas.openxmlformats.org/officeDocument/2006/relationships/pivotCacheDefinition" Target="pivotCache/pivotCacheDefinition13.xml"/><Relationship Id="rId27" Type="http://schemas.microsoft.com/office/2007/relationships/slicerCache" Target="slicerCaches/slicerCache1.xml"/><Relationship Id="rId30" Type="http://schemas.openxmlformats.org/officeDocument/2006/relationships/theme" Target="theme/theme1.xml"/><Relationship Id="rId35" Type="http://schemas.openxmlformats.org/officeDocument/2006/relationships/powerPivotData" Target="model/item.data"/><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Center Data_DataSource.xlsx]Pivot Table!PivotTable1</c:name>
    <c:fmtId val="3"/>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b="0">
                <a:solidFill>
                  <a:sysClr val="windowText" lastClr="000000"/>
                </a:solidFill>
                <a:latin typeface="MV Boli" panose="02000500030200090000" pitchFamily="2" charset="0"/>
                <a:cs typeface="MV Boli" panose="02000500030200090000" pitchFamily="2" charset="0"/>
              </a:rPr>
              <a:t>Sales By Representative</a:t>
            </a:r>
          </a:p>
        </c:rich>
      </c:tx>
      <c:layout>
        <c:manualLayout>
          <c:xMode val="edge"/>
          <c:yMode val="edge"/>
          <c:x val="0.25688707017631446"/>
          <c:y val="5.3744572272706919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8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2060"/>
          </a:solidFill>
          <a:ln>
            <a:noFill/>
          </a:ln>
          <a:effectLst/>
        </c:spPr>
      </c:pivotFmt>
      <c:pivotFmt>
        <c:idx val="4"/>
        <c:spPr>
          <a:solidFill>
            <a:srgbClr val="F6BB44"/>
          </a:solidFill>
          <a:ln>
            <a:noFill/>
          </a:ln>
          <a:effectLst/>
        </c:spPr>
      </c:pivotFmt>
      <c:pivotFmt>
        <c:idx val="5"/>
        <c:spPr>
          <a:solidFill>
            <a:srgbClr val="002060"/>
          </a:solidFill>
          <a:ln>
            <a:noFill/>
          </a:ln>
          <a:effectLst/>
        </c:spPr>
      </c:pivotFmt>
    </c:pivotFmts>
    <c:plotArea>
      <c:layout>
        <c:manualLayout>
          <c:layoutTarget val="inner"/>
          <c:xMode val="edge"/>
          <c:yMode val="edge"/>
          <c:x val="1.6985471937994202E-2"/>
          <c:y val="0.13959129773042661"/>
          <c:w val="0.97282324489920924"/>
          <c:h val="0.71461748511571688"/>
        </c:manualLayout>
      </c:layout>
      <c:barChart>
        <c:barDir val="col"/>
        <c:grouping val="clustered"/>
        <c:varyColors val="0"/>
        <c:ser>
          <c:idx val="0"/>
          <c:order val="0"/>
          <c:tx>
            <c:strRef>
              <c:f>'Pivot Table'!$B$1</c:f>
              <c:strCache>
                <c:ptCount val="1"/>
                <c:pt idx="0">
                  <c:v>Total</c:v>
                </c:pt>
              </c:strCache>
            </c:strRef>
          </c:tx>
          <c:spPr>
            <a:solidFill>
              <a:srgbClr val="780000"/>
            </a:solidFill>
            <a:ln>
              <a:noFill/>
            </a:ln>
            <a:effectLst/>
          </c:spPr>
          <c:invertIfNegative val="0"/>
          <c:dPt>
            <c:idx val="1"/>
            <c:invertIfNegative val="0"/>
            <c:bubble3D val="0"/>
            <c:spPr>
              <a:solidFill>
                <a:srgbClr val="002060"/>
              </a:solidFill>
              <a:ln>
                <a:noFill/>
              </a:ln>
              <a:effectLst/>
            </c:spPr>
            <c:extLst>
              <c:ext xmlns:c16="http://schemas.microsoft.com/office/drawing/2014/chart" uri="{C3380CC4-5D6E-409C-BE32-E72D297353CC}">
                <c16:uniqueId val="{00000000-74AC-400D-B13B-566BB4880694}"/>
              </c:ext>
            </c:extLst>
          </c:dPt>
          <c:dPt>
            <c:idx val="2"/>
            <c:invertIfNegative val="0"/>
            <c:bubble3D val="0"/>
            <c:spPr>
              <a:solidFill>
                <a:srgbClr val="F6BB44"/>
              </a:solidFill>
              <a:ln>
                <a:noFill/>
              </a:ln>
              <a:effectLst/>
            </c:spPr>
            <c:extLst>
              <c:ext xmlns:c16="http://schemas.microsoft.com/office/drawing/2014/chart" uri="{C3380CC4-5D6E-409C-BE32-E72D297353CC}">
                <c16:uniqueId val="{00000001-74AC-400D-B13B-566BB4880694}"/>
              </c:ext>
            </c:extLst>
          </c:dPt>
          <c:dPt>
            <c:idx val="3"/>
            <c:invertIfNegative val="0"/>
            <c:bubble3D val="0"/>
            <c:spPr>
              <a:solidFill>
                <a:srgbClr val="002060"/>
              </a:solidFill>
              <a:ln>
                <a:noFill/>
              </a:ln>
              <a:effectLst/>
            </c:spPr>
            <c:extLst>
              <c:ext xmlns:c16="http://schemas.microsoft.com/office/drawing/2014/chart" uri="{C3380CC4-5D6E-409C-BE32-E72D297353CC}">
                <c16:uniqueId val="{00000002-74AC-400D-B13B-566BB4880694}"/>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Table'!$A$2:$A$7</c:f>
              <c:strCache>
                <c:ptCount val="5"/>
                <c:pt idx="0">
                  <c:v>R03</c:v>
                </c:pt>
                <c:pt idx="1">
                  <c:v>R02</c:v>
                </c:pt>
                <c:pt idx="2">
                  <c:v>R05</c:v>
                </c:pt>
                <c:pt idx="3">
                  <c:v>R01</c:v>
                </c:pt>
                <c:pt idx="4">
                  <c:v>R04</c:v>
                </c:pt>
              </c:strCache>
            </c:strRef>
          </c:cat>
          <c:val>
            <c:numRef>
              <c:f>'Pivot Table'!$B$2:$B$7</c:f>
              <c:numCache>
                <c:formatCode>_("$"* #,##0_);_("$"* \(#,##0\);_("$"* "-"??_);_(@_)</c:formatCode>
                <c:ptCount val="5"/>
                <c:pt idx="0">
                  <c:v>20872</c:v>
                </c:pt>
                <c:pt idx="1">
                  <c:v>20581</c:v>
                </c:pt>
                <c:pt idx="2">
                  <c:v>20104</c:v>
                </c:pt>
                <c:pt idx="3">
                  <c:v>18415</c:v>
                </c:pt>
                <c:pt idx="4">
                  <c:v>16651</c:v>
                </c:pt>
              </c:numCache>
            </c:numRef>
          </c:val>
          <c:extLst>
            <c:ext xmlns:c16="http://schemas.microsoft.com/office/drawing/2014/chart" uri="{C3380CC4-5D6E-409C-BE32-E72D297353CC}">
              <c16:uniqueId val="{00000000-DB4C-4630-B2E5-7EF6A9CCE93D}"/>
            </c:ext>
          </c:extLst>
        </c:ser>
        <c:dLbls>
          <c:dLblPos val="outEnd"/>
          <c:showLegendKey val="0"/>
          <c:showVal val="1"/>
          <c:showCatName val="0"/>
          <c:showSerName val="0"/>
          <c:showPercent val="0"/>
          <c:showBubbleSize val="0"/>
        </c:dLbls>
        <c:gapWidth val="106"/>
        <c:overlap val="-24"/>
        <c:axId val="740057184"/>
        <c:axId val="610165168"/>
      </c:barChart>
      <c:catAx>
        <c:axId val="7400571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V Boli" panose="02000500030200090000" pitchFamily="2" charset="0"/>
                <a:ea typeface="+mn-ea"/>
                <a:cs typeface="MV Boli" panose="02000500030200090000" pitchFamily="2" charset="0"/>
              </a:defRPr>
            </a:pPr>
            <a:endParaRPr lang="en-US"/>
          </a:p>
        </c:txPr>
        <c:crossAx val="610165168"/>
        <c:crosses val="autoZero"/>
        <c:auto val="1"/>
        <c:lblAlgn val="ctr"/>
        <c:lblOffset val="100"/>
        <c:noMultiLvlLbl val="0"/>
      </c:catAx>
      <c:valAx>
        <c:axId val="610165168"/>
        <c:scaling>
          <c:orientation val="minMax"/>
        </c:scaling>
        <c:delete val="1"/>
        <c:axPos val="l"/>
        <c:numFmt formatCode="_(&quot;$&quot;* #,##0_);_(&quot;$&quot;* \(#,##0\);_(&quot;$&quot;* &quot;-&quot;??_);_(@_)" sourceLinked="1"/>
        <c:majorTickMark val="none"/>
        <c:minorTickMark val="none"/>
        <c:tickLblPos val="nextTo"/>
        <c:crossAx val="7400571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Center Data_DataSource.xlsx]Pivot Table!PivotTable7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ysClr val="windowText" lastClr="000000"/>
                </a:solidFill>
                <a:latin typeface="MV Boli" panose="02000500030200090000" pitchFamily="2" charset="0"/>
                <a:cs typeface="MV Boli" panose="02000500030200090000" pitchFamily="2" charset="0"/>
              </a:rPr>
              <a:t>Sales By</a:t>
            </a:r>
            <a:r>
              <a:rPr lang="en-US" baseline="0">
                <a:solidFill>
                  <a:sysClr val="windowText" lastClr="000000"/>
                </a:solidFill>
                <a:latin typeface="MV Boli" panose="02000500030200090000" pitchFamily="2" charset="0"/>
                <a:cs typeface="MV Boli" panose="02000500030200090000" pitchFamily="2" charset="0"/>
              </a:rPr>
              <a:t> Day</a:t>
            </a:r>
          </a:p>
        </c:rich>
      </c:tx>
      <c:layout>
        <c:manualLayout>
          <c:xMode val="edge"/>
          <c:yMode val="edge"/>
          <c:x val="0.28255789742168236"/>
          <c:y val="2.141865360533599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02060"/>
          </a:solidFill>
          <a:ln>
            <a:noFill/>
          </a:ln>
          <a:effectLst/>
        </c:spPr>
      </c:pivotFmt>
      <c:pivotFmt>
        <c:idx val="4"/>
        <c:spPr>
          <a:solidFill>
            <a:srgbClr val="002060"/>
          </a:solidFill>
          <a:ln>
            <a:noFill/>
          </a:ln>
          <a:effectLst/>
        </c:spPr>
      </c:pivotFmt>
      <c:pivotFmt>
        <c:idx val="5"/>
        <c:spPr>
          <a:solidFill>
            <a:srgbClr val="002060"/>
          </a:solidFill>
          <a:ln>
            <a:noFill/>
          </a:ln>
          <a:effectLst/>
        </c:spPr>
      </c:pivotFmt>
      <c:pivotFmt>
        <c:idx val="6"/>
        <c:spPr>
          <a:solidFill>
            <a:srgbClr val="002060"/>
          </a:solidFill>
          <a:ln>
            <a:noFill/>
          </a:ln>
          <a:effectLst/>
        </c:spPr>
      </c:pivotFmt>
      <c:pivotFmt>
        <c:idx val="7"/>
        <c:spPr>
          <a:solidFill>
            <a:srgbClr val="002060"/>
          </a:solidFill>
          <a:ln>
            <a:noFill/>
          </a:ln>
          <a:effectLst/>
        </c:spPr>
      </c:pivotFmt>
    </c:pivotFmts>
    <c:plotArea>
      <c:layout>
        <c:manualLayout>
          <c:layoutTarget val="inner"/>
          <c:xMode val="edge"/>
          <c:yMode val="edge"/>
          <c:x val="0.20717819164746873"/>
          <c:y val="0.19147484098743794"/>
          <c:w val="0.68474760273364421"/>
          <c:h val="0.68374686831665765"/>
        </c:manualLayout>
      </c:layout>
      <c:barChart>
        <c:barDir val="bar"/>
        <c:grouping val="clustered"/>
        <c:varyColors val="0"/>
        <c:ser>
          <c:idx val="0"/>
          <c:order val="0"/>
          <c:tx>
            <c:strRef>
              <c:f>'Pivot Table'!$B$10</c:f>
              <c:strCache>
                <c:ptCount val="1"/>
                <c:pt idx="0">
                  <c:v>Total</c:v>
                </c:pt>
              </c:strCache>
            </c:strRef>
          </c:tx>
          <c:spPr>
            <a:solidFill>
              <a:srgbClr val="002060"/>
            </a:solidFill>
            <a:ln>
              <a:noFill/>
            </a:ln>
            <a:effectLst/>
          </c:spPr>
          <c:invertIfNegative val="0"/>
          <c:cat>
            <c:strRef>
              <c:f>'Pivot Table'!$A$11:$A$18</c:f>
              <c:strCache>
                <c:ptCount val="7"/>
                <c:pt idx="0">
                  <c:v>Saturday</c:v>
                </c:pt>
                <c:pt idx="1">
                  <c:v>Wednesday</c:v>
                </c:pt>
                <c:pt idx="2">
                  <c:v>Sunday</c:v>
                </c:pt>
                <c:pt idx="3">
                  <c:v>Tuesday</c:v>
                </c:pt>
                <c:pt idx="4">
                  <c:v>Friday</c:v>
                </c:pt>
                <c:pt idx="5">
                  <c:v>Monday</c:v>
                </c:pt>
                <c:pt idx="6">
                  <c:v>Thursday</c:v>
                </c:pt>
              </c:strCache>
            </c:strRef>
          </c:cat>
          <c:val>
            <c:numRef>
              <c:f>'Pivot Table'!$B$11:$B$18</c:f>
              <c:numCache>
                <c:formatCode>_("$"* #,##0_);_("$"* \(#,##0\);_("$"* "-"??_);_(@_)</c:formatCode>
                <c:ptCount val="7"/>
                <c:pt idx="0">
                  <c:v>16007</c:v>
                </c:pt>
                <c:pt idx="1">
                  <c:v>15702</c:v>
                </c:pt>
                <c:pt idx="2">
                  <c:v>13476</c:v>
                </c:pt>
                <c:pt idx="3">
                  <c:v>13143</c:v>
                </c:pt>
                <c:pt idx="4">
                  <c:v>13120</c:v>
                </c:pt>
                <c:pt idx="5">
                  <c:v>13054</c:v>
                </c:pt>
                <c:pt idx="6">
                  <c:v>12121</c:v>
                </c:pt>
              </c:numCache>
            </c:numRef>
          </c:val>
          <c:extLst>
            <c:ext xmlns:c16="http://schemas.microsoft.com/office/drawing/2014/chart" uri="{C3380CC4-5D6E-409C-BE32-E72D297353CC}">
              <c16:uniqueId val="{00000000-B18C-4121-8F69-7D29A333923A}"/>
            </c:ext>
          </c:extLst>
        </c:ser>
        <c:dLbls>
          <c:showLegendKey val="0"/>
          <c:showVal val="0"/>
          <c:showCatName val="0"/>
          <c:showSerName val="0"/>
          <c:showPercent val="0"/>
          <c:showBubbleSize val="0"/>
        </c:dLbls>
        <c:gapWidth val="87"/>
        <c:axId val="1951284912"/>
        <c:axId val="610205008"/>
      </c:barChart>
      <c:catAx>
        <c:axId val="19512849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V Boli" panose="02000500030200090000" pitchFamily="2" charset="0"/>
                <a:ea typeface="+mn-ea"/>
                <a:cs typeface="MV Boli" panose="02000500030200090000" pitchFamily="2" charset="0"/>
              </a:defRPr>
            </a:pPr>
            <a:endParaRPr lang="en-US"/>
          </a:p>
        </c:txPr>
        <c:crossAx val="610205008"/>
        <c:crosses val="autoZero"/>
        <c:auto val="1"/>
        <c:lblAlgn val="ctr"/>
        <c:lblOffset val="100"/>
        <c:noMultiLvlLbl val="0"/>
      </c:catAx>
      <c:valAx>
        <c:axId val="610205008"/>
        <c:scaling>
          <c:orientation val="minMax"/>
        </c:scaling>
        <c:delete val="0"/>
        <c:axPos val="b"/>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9512849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Center Data_DataSource.xlsx]Pivot Table!PivotTable17</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ysClr val="windowText" lastClr="000000"/>
                </a:solidFill>
                <a:latin typeface="MV Boli" panose="02000500030200090000" pitchFamily="2" charset="0"/>
                <a:cs typeface="MV Boli" panose="02000500030200090000" pitchFamily="2" charset="0"/>
              </a:rPr>
              <a:t>Sales by</a:t>
            </a:r>
            <a:r>
              <a:rPr lang="en-US" baseline="0">
                <a:solidFill>
                  <a:sysClr val="windowText" lastClr="000000"/>
                </a:solidFill>
                <a:latin typeface="MV Boli" panose="02000500030200090000" pitchFamily="2" charset="0"/>
                <a:cs typeface="MV Boli" panose="02000500030200090000" pitchFamily="2" charset="0"/>
              </a:rPr>
              <a:t> Month</a:t>
            </a:r>
            <a:endParaRPr lang="en-US">
              <a:solidFill>
                <a:sysClr val="windowText" lastClr="000000"/>
              </a:solidFill>
              <a:latin typeface="MV Boli" panose="02000500030200090000" pitchFamily="2" charset="0"/>
              <a:cs typeface="MV Boli" panose="02000500030200090000" pitchFamily="2" charset="0"/>
            </a:endParaRPr>
          </a:p>
        </c:rich>
      </c:tx>
      <c:layout>
        <c:manualLayout>
          <c:xMode val="edge"/>
          <c:yMode val="edge"/>
          <c:x val="0.38781960692630602"/>
          <c:y val="6.507058125990808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002060"/>
            </a:solidFill>
            <a:round/>
          </a:ln>
          <a:effectLst/>
        </c:spPr>
        <c:marker>
          <c:symbol val="circle"/>
          <c:size val="9"/>
          <c:spPr>
            <a:solidFill>
              <a:srgbClr val="9E0000"/>
            </a:solidFill>
            <a:ln w="9525">
              <a:solidFill>
                <a:srgbClr val="FDF0D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Table'!$B$28</c:f>
              <c:strCache>
                <c:ptCount val="1"/>
                <c:pt idx="0">
                  <c:v>Total</c:v>
                </c:pt>
              </c:strCache>
            </c:strRef>
          </c:tx>
          <c:spPr>
            <a:ln w="28575" cap="rnd">
              <a:solidFill>
                <a:srgbClr val="002060"/>
              </a:solidFill>
              <a:round/>
            </a:ln>
            <a:effectLst/>
          </c:spPr>
          <c:marker>
            <c:symbol val="circle"/>
            <c:size val="9"/>
            <c:spPr>
              <a:solidFill>
                <a:srgbClr val="9E0000"/>
              </a:solidFill>
              <a:ln w="9525">
                <a:solidFill>
                  <a:srgbClr val="FDF0D5"/>
                </a:solidFill>
              </a:ln>
              <a:effectLst/>
            </c:spPr>
          </c:marker>
          <c:cat>
            <c:strRef>
              <c:f>'Pivot Table'!$A$29:$A$41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Table'!$B$29:$B$41</c:f>
              <c:numCache>
                <c:formatCode>_("$"* #,##0_);_("$"* \(#,##0\);_("$"* "-"??_);_(@_)</c:formatCode>
                <c:ptCount val="12"/>
                <c:pt idx="0">
                  <c:v>7790</c:v>
                </c:pt>
                <c:pt idx="1">
                  <c:v>6122</c:v>
                </c:pt>
                <c:pt idx="2">
                  <c:v>14563</c:v>
                </c:pt>
                <c:pt idx="3">
                  <c:v>13536</c:v>
                </c:pt>
                <c:pt idx="4">
                  <c:v>8171</c:v>
                </c:pt>
                <c:pt idx="5">
                  <c:v>5893</c:v>
                </c:pt>
                <c:pt idx="6">
                  <c:v>6007</c:v>
                </c:pt>
                <c:pt idx="7">
                  <c:v>4950</c:v>
                </c:pt>
                <c:pt idx="8">
                  <c:v>6689</c:v>
                </c:pt>
                <c:pt idx="9">
                  <c:v>10875</c:v>
                </c:pt>
                <c:pt idx="10">
                  <c:v>6775</c:v>
                </c:pt>
                <c:pt idx="11">
                  <c:v>5252</c:v>
                </c:pt>
              </c:numCache>
            </c:numRef>
          </c:val>
          <c:smooth val="1"/>
          <c:extLst>
            <c:ext xmlns:c16="http://schemas.microsoft.com/office/drawing/2014/chart" uri="{C3380CC4-5D6E-409C-BE32-E72D297353CC}">
              <c16:uniqueId val="{00000000-2268-4305-B32D-658B5AEA4C16}"/>
            </c:ext>
          </c:extLst>
        </c:ser>
        <c:dLbls>
          <c:showLegendKey val="0"/>
          <c:showVal val="0"/>
          <c:showCatName val="0"/>
          <c:showSerName val="0"/>
          <c:showPercent val="0"/>
          <c:showBubbleSize val="0"/>
        </c:dLbls>
        <c:marker val="1"/>
        <c:smooth val="0"/>
        <c:axId val="739737264"/>
        <c:axId val="610102288"/>
      </c:lineChart>
      <c:catAx>
        <c:axId val="739737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V Boli" panose="02000500030200090000" pitchFamily="2" charset="0"/>
                <a:ea typeface="+mn-ea"/>
                <a:cs typeface="MV Boli" panose="02000500030200090000" pitchFamily="2" charset="0"/>
              </a:defRPr>
            </a:pPr>
            <a:endParaRPr lang="en-US"/>
          </a:p>
        </c:txPr>
        <c:crossAx val="610102288"/>
        <c:crosses val="autoZero"/>
        <c:auto val="1"/>
        <c:lblAlgn val="ctr"/>
        <c:lblOffset val="100"/>
        <c:noMultiLvlLbl val="0"/>
      </c:catAx>
      <c:valAx>
        <c:axId val="610102288"/>
        <c:scaling>
          <c:orientation val="minMax"/>
        </c:scaling>
        <c:delete val="0"/>
        <c:axPos val="l"/>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V Boli" panose="02000500030200090000" pitchFamily="2" charset="0"/>
                <a:ea typeface="+mn-ea"/>
                <a:cs typeface="MV Boli" panose="02000500030200090000" pitchFamily="2" charset="0"/>
              </a:defRPr>
            </a:pPr>
            <a:endParaRPr lang="en-US"/>
          </a:p>
        </c:txPr>
        <c:crossAx val="7397372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Center Data_DataSource.xlsx]Pivot Table!PivotTable5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aseline="0">
                <a:solidFill>
                  <a:sysClr val="windowText" lastClr="000000"/>
                </a:solidFill>
                <a:latin typeface="MV Boli" panose="02000500030200090000" pitchFamily="2" charset="0"/>
                <a:cs typeface="MV Boli" panose="02000500030200090000" pitchFamily="2" charset="0"/>
              </a:rPr>
              <a:t>Calls By Duration</a:t>
            </a:r>
            <a:endParaRPr lang="en-US" sz="1400">
              <a:solidFill>
                <a:sysClr val="windowText" lastClr="000000"/>
              </a:solidFill>
              <a:latin typeface="MV Boli" panose="02000500030200090000" pitchFamily="2" charset="0"/>
              <a:cs typeface="MV Boli" panose="02000500030200090000" pitchFamily="2" charset="0"/>
            </a:endParaRPr>
          </a:p>
        </c:rich>
      </c:tx>
      <c:layout>
        <c:manualLayout>
          <c:xMode val="edge"/>
          <c:yMode val="edge"/>
          <c:x val="0.31536484930589309"/>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rgbClr val="9E000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ysClr val="windowText" lastClr="000000"/>
                  </a:solidFill>
                  <a:latin typeface="MV Boli" panose="02000500030200090000" pitchFamily="2" charset="0"/>
                  <a:ea typeface="+mn-ea"/>
                  <a:cs typeface="MV Boli" panose="02000500030200090000" pitchFamily="2" charset="0"/>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7"/>
        <c:spPr>
          <a:solidFill>
            <a:srgbClr val="9E0000"/>
          </a:solidFill>
          <a:ln w="19050">
            <a:solidFill>
              <a:schemeClr val="lt1"/>
            </a:solidFill>
          </a:ln>
          <a:effectLst/>
        </c:spPr>
        <c:dLbl>
          <c:idx val="0"/>
          <c:layout>
            <c:manualLayout>
              <c:x val="0.25329376008136395"/>
              <c:y val="-1.6725854734000244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ysClr val="windowText" lastClr="000000"/>
                  </a:solidFill>
                  <a:latin typeface="MV Boli" panose="02000500030200090000" pitchFamily="2" charset="0"/>
                  <a:ea typeface="+mn-ea"/>
                  <a:cs typeface="MV Boli" panose="02000500030200090000" pitchFamily="2" charset="0"/>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8"/>
        <c:spPr>
          <a:solidFill>
            <a:srgbClr val="002060"/>
          </a:solidFill>
          <a:ln w="19050">
            <a:solidFill>
              <a:schemeClr val="lt1"/>
            </a:solidFill>
          </a:ln>
          <a:effectLst/>
        </c:spPr>
        <c:dLbl>
          <c:idx val="0"/>
          <c:layout>
            <c:manualLayout>
              <c:x val="-0.17310702190867358"/>
              <c:y val="0.12075974705352339"/>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ysClr val="windowText" lastClr="000000"/>
                  </a:solidFill>
                  <a:latin typeface="MV Boli" panose="02000500030200090000" pitchFamily="2" charset="0"/>
                  <a:ea typeface="+mn-ea"/>
                  <a:cs typeface="MV Boli" panose="02000500030200090000" pitchFamily="2" charset="0"/>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9"/>
        <c:spPr>
          <a:solidFill>
            <a:srgbClr val="F6BB44"/>
          </a:solidFill>
          <a:ln w="19050">
            <a:solidFill>
              <a:schemeClr val="lt1"/>
            </a:solidFill>
          </a:ln>
          <a:effectLst/>
        </c:spPr>
        <c:dLbl>
          <c:idx val="0"/>
          <c:layout>
            <c:manualLayout>
              <c:x val="-0.23059609100739176"/>
              <c:y val="-0.1214648056530105"/>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ysClr val="windowText" lastClr="000000"/>
                  </a:solidFill>
                  <a:latin typeface="MV Boli" panose="02000500030200090000" pitchFamily="2" charset="0"/>
                  <a:ea typeface="+mn-ea"/>
                  <a:cs typeface="MV Boli" panose="02000500030200090000" pitchFamily="2" charset="0"/>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0"/>
        <c:spPr>
          <a:solidFill>
            <a:srgbClr val="FDF0D5"/>
          </a:solidFill>
          <a:ln w="19050">
            <a:solidFill>
              <a:schemeClr val="lt1"/>
            </a:solidFill>
          </a:ln>
          <a:effectLst/>
        </c:spPr>
        <c:dLbl>
          <c:idx val="0"/>
          <c:layout>
            <c:manualLayout>
              <c:x val="0.39765322350395138"/>
              <c:y val="3.2696319008280829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ysClr val="windowText" lastClr="000000"/>
                  </a:solidFill>
                  <a:latin typeface="MV Boli" panose="02000500030200090000" pitchFamily="2" charset="0"/>
                  <a:ea typeface="+mn-ea"/>
                  <a:cs typeface="MV Boli" panose="02000500030200090000" pitchFamily="2" charset="0"/>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314203838943627"/>
          <c:y val="0.25770295948649913"/>
          <c:w val="0.41147353455818025"/>
          <c:h val="0.68578922426363376"/>
        </c:manualLayout>
      </c:layout>
      <c:doughnutChart>
        <c:varyColors val="1"/>
        <c:ser>
          <c:idx val="0"/>
          <c:order val="0"/>
          <c:tx>
            <c:strRef>
              <c:f>'Pivot Table'!$H$1</c:f>
              <c:strCache>
                <c:ptCount val="1"/>
                <c:pt idx="0">
                  <c:v>Total</c:v>
                </c:pt>
              </c:strCache>
            </c:strRef>
          </c:tx>
          <c:spPr>
            <a:solidFill>
              <a:srgbClr val="9E0000"/>
            </a:solidFill>
          </c:spPr>
          <c:dPt>
            <c:idx val="0"/>
            <c:bubble3D val="0"/>
            <c:spPr>
              <a:solidFill>
                <a:srgbClr val="9E0000"/>
              </a:solidFill>
              <a:ln w="19050">
                <a:solidFill>
                  <a:schemeClr val="lt1"/>
                </a:solidFill>
              </a:ln>
              <a:effectLst/>
            </c:spPr>
            <c:extLst>
              <c:ext xmlns:c16="http://schemas.microsoft.com/office/drawing/2014/chart" uri="{C3380CC4-5D6E-409C-BE32-E72D297353CC}">
                <c16:uniqueId val="{00000001-DDF6-41BD-9026-9E8601D73D8F}"/>
              </c:ext>
            </c:extLst>
          </c:dPt>
          <c:dPt>
            <c:idx val="1"/>
            <c:bubble3D val="0"/>
            <c:spPr>
              <a:solidFill>
                <a:srgbClr val="002060"/>
              </a:solidFill>
              <a:ln w="19050">
                <a:solidFill>
                  <a:schemeClr val="lt1"/>
                </a:solidFill>
              </a:ln>
              <a:effectLst/>
            </c:spPr>
            <c:extLst>
              <c:ext xmlns:c16="http://schemas.microsoft.com/office/drawing/2014/chart" uri="{C3380CC4-5D6E-409C-BE32-E72D297353CC}">
                <c16:uniqueId val="{00000003-DDF6-41BD-9026-9E8601D73D8F}"/>
              </c:ext>
            </c:extLst>
          </c:dPt>
          <c:dPt>
            <c:idx val="2"/>
            <c:bubble3D val="0"/>
            <c:spPr>
              <a:solidFill>
                <a:srgbClr val="F6BB44"/>
              </a:solidFill>
              <a:ln w="19050">
                <a:solidFill>
                  <a:schemeClr val="lt1"/>
                </a:solidFill>
              </a:ln>
              <a:effectLst/>
            </c:spPr>
            <c:extLst>
              <c:ext xmlns:c16="http://schemas.microsoft.com/office/drawing/2014/chart" uri="{C3380CC4-5D6E-409C-BE32-E72D297353CC}">
                <c16:uniqueId val="{00000005-DDF6-41BD-9026-9E8601D73D8F}"/>
              </c:ext>
            </c:extLst>
          </c:dPt>
          <c:dPt>
            <c:idx val="3"/>
            <c:bubble3D val="0"/>
            <c:spPr>
              <a:solidFill>
                <a:srgbClr val="FDF0D5"/>
              </a:solidFill>
              <a:ln w="19050">
                <a:solidFill>
                  <a:schemeClr val="lt1"/>
                </a:solidFill>
              </a:ln>
              <a:effectLst/>
            </c:spPr>
            <c:extLst>
              <c:ext xmlns:c16="http://schemas.microsoft.com/office/drawing/2014/chart" uri="{C3380CC4-5D6E-409C-BE32-E72D297353CC}">
                <c16:uniqueId val="{00000007-DDF6-41BD-9026-9E8601D73D8F}"/>
              </c:ext>
            </c:extLst>
          </c:dPt>
          <c:dLbls>
            <c:dLbl>
              <c:idx val="0"/>
              <c:layout>
                <c:manualLayout>
                  <c:x val="0.25329376008136395"/>
                  <c:y val="-1.6725854734000244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DF6-41BD-9026-9E8601D73D8F}"/>
                </c:ext>
              </c:extLst>
            </c:dLbl>
            <c:dLbl>
              <c:idx val="1"/>
              <c:layout>
                <c:manualLayout>
                  <c:x val="-0.17310702190867358"/>
                  <c:y val="0.12075974705352339"/>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DF6-41BD-9026-9E8601D73D8F}"/>
                </c:ext>
              </c:extLst>
            </c:dLbl>
            <c:dLbl>
              <c:idx val="2"/>
              <c:layout>
                <c:manualLayout>
                  <c:x val="-0.23059609100739176"/>
                  <c:y val="-0.1214648056530105"/>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DF6-41BD-9026-9E8601D73D8F}"/>
                </c:ext>
              </c:extLst>
            </c:dLbl>
            <c:dLbl>
              <c:idx val="3"/>
              <c:layout>
                <c:manualLayout>
                  <c:x val="0.39765322350395138"/>
                  <c:y val="3.2696319008280829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7-DDF6-41BD-9026-9E8601D73D8F}"/>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ysClr val="windowText" lastClr="000000"/>
                    </a:solidFill>
                    <a:latin typeface="MV Boli" panose="02000500030200090000" pitchFamily="2" charset="0"/>
                    <a:ea typeface="+mn-ea"/>
                    <a:cs typeface="MV Boli" panose="02000500030200090000" pitchFamily="2" charset="0"/>
                  </a:defRPr>
                </a:pPr>
                <a:endParaRPr lang="en-US"/>
              </a:p>
            </c:txPr>
            <c:showLegendKey val="0"/>
            <c:showVal val="1"/>
            <c:showCatName val="1"/>
            <c:showSerName val="0"/>
            <c:showPercent val="0"/>
            <c:showBubbleSize val="0"/>
            <c:showLeaderLines val="1"/>
            <c:leaderLines>
              <c:spPr>
                <a:ln w="12700" cap="flat" cmpd="sng" algn="ctr">
                  <a:solidFill>
                    <a:schemeClr val="tx1"/>
                  </a:solidFill>
                  <a:round/>
                </a:ln>
                <a:effectLst/>
              </c:spPr>
            </c:leaderLines>
            <c:extLst>
              <c:ext xmlns:c15="http://schemas.microsoft.com/office/drawing/2012/chart" uri="{CE6537A1-D6FC-4f65-9D91-7224C49458BB}"/>
            </c:extLst>
          </c:dLbls>
          <c:cat>
            <c:strRef>
              <c:f>'Pivot Table'!$G$2:$G$6</c:f>
              <c:strCache>
                <c:ptCount val="4"/>
                <c:pt idx="0">
                  <c:v>Long</c:v>
                </c:pt>
                <c:pt idx="1">
                  <c:v>Medium</c:v>
                </c:pt>
                <c:pt idx="2">
                  <c:v>Short</c:v>
                </c:pt>
                <c:pt idx="3">
                  <c:v>Very Short</c:v>
                </c:pt>
              </c:strCache>
            </c:strRef>
          </c:cat>
          <c:val>
            <c:numRef>
              <c:f>'Pivot Table'!$H$2:$H$6</c:f>
              <c:numCache>
                <c:formatCode>General</c:formatCode>
                <c:ptCount val="4"/>
                <c:pt idx="0">
                  <c:v>761</c:v>
                </c:pt>
                <c:pt idx="1">
                  <c:v>179</c:v>
                </c:pt>
                <c:pt idx="2">
                  <c:v>44</c:v>
                </c:pt>
                <c:pt idx="3">
                  <c:v>16</c:v>
                </c:pt>
              </c:numCache>
            </c:numRef>
          </c:val>
          <c:extLst>
            <c:ext xmlns:c16="http://schemas.microsoft.com/office/drawing/2014/chart" uri="{C3380CC4-5D6E-409C-BE32-E72D297353CC}">
              <c16:uniqueId val="{00000008-DDF6-41BD-9026-9E8601D73D8F}"/>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Center Data_DataSource.xlsx]Pivot Table!PivotTable11</c:name>
    <c:fmtId val="2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a:solidFill>
                  <a:sysClr val="windowText" lastClr="000000"/>
                </a:solidFill>
                <a:latin typeface="MV Boli" panose="02000500030200090000" pitchFamily="2" charset="0"/>
                <a:cs typeface="MV Boli" panose="02000500030200090000" pitchFamily="2" charset="0"/>
              </a:rPr>
              <a:t>Calls</a:t>
            </a:r>
            <a:r>
              <a:rPr lang="en-US" sz="1400" baseline="0">
                <a:solidFill>
                  <a:sysClr val="windowText" lastClr="000000"/>
                </a:solidFill>
                <a:latin typeface="MV Boli" panose="02000500030200090000" pitchFamily="2" charset="0"/>
                <a:cs typeface="MV Boli" panose="02000500030200090000" pitchFamily="2" charset="0"/>
              </a:rPr>
              <a:t> by days</a:t>
            </a:r>
            <a:endParaRPr lang="en-US" sz="1400">
              <a:solidFill>
                <a:sysClr val="windowText" lastClr="000000"/>
              </a:solidFill>
              <a:latin typeface="MV Boli" panose="02000500030200090000" pitchFamily="2" charset="0"/>
              <a:cs typeface="MV Boli" panose="02000500030200090000" pitchFamily="2"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rgbClr val="FBE2AF"/>
              </a:gs>
              <a:gs pos="41000">
                <a:srgbClr val="F8CC74"/>
              </a:gs>
              <a:gs pos="83000">
                <a:srgbClr val="F6BB44"/>
              </a:gs>
              <a:gs pos="100000">
                <a:srgbClr val="F6BB44"/>
              </a:gs>
            </a:gsLst>
            <a:path path="circle">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Table'!$H$10</c:f>
              <c:strCache>
                <c:ptCount val="1"/>
                <c:pt idx="0">
                  <c:v>Total</c:v>
                </c:pt>
              </c:strCache>
            </c:strRef>
          </c:tx>
          <c:spPr>
            <a:gradFill flip="none" rotWithShape="1">
              <a:gsLst>
                <a:gs pos="0">
                  <a:srgbClr val="FBE2AF"/>
                </a:gs>
                <a:gs pos="41000">
                  <a:srgbClr val="F8CC74"/>
                </a:gs>
                <a:gs pos="83000">
                  <a:srgbClr val="F6BB44"/>
                </a:gs>
                <a:gs pos="100000">
                  <a:srgbClr val="F6BB44"/>
                </a:gs>
              </a:gsLst>
              <a:path path="circle">
                <a:fillToRect l="100000" t="100000"/>
              </a:path>
              <a:tileRect r="-100000" b="-100000"/>
            </a:gradFill>
            <a:ln>
              <a:noFill/>
            </a:ln>
            <a:effectLst/>
          </c:spPr>
          <c:cat>
            <c:strRef>
              <c:f>'Pivot Table'!$G$11:$G$18</c:f>
              <c:strCache>
                <c:ptCount val="7"/>
                <c:pt idx="0">
                  <c:v>Saturday</c:v>
                </c:pt>
                <c:pt idx="1">
                  <c:v>Wednesday</c:v>
                </c:pt>
                <c:pt idx="2">
                  <c:v>Sunday</c:v>
                </c:pt>
                <c:pt idx="3">
                  <c:v>Friday</c:v>
                </c:pt>
                <c:pt idx="4">
                  <c:v>Tuesday</c:v>
                </c:pt>
                <c:pt idx="5">
                  <c:v>Monday</c:v>
                </c:pt>
                <c:pt idx="6">
                  <c:v>Thursday</c:v>
                </c:pt>
              </c:strCache>
            </c:strRef>
          </c:cat>
          <c:val>
            <c:numRef>
              <c:f>'Pivot Table'!$H$11:$H$18</c:f>
              <c:numCache>
                <c:formatCode>General</c:formatCode>
                <c:ptCount val="7"/>
                <c:pt idx="0">
                  <c:v>161</c:v>
                </c:pt>
                <c:pt idx="1">
                  <c:v>153</c:v>
                </c:pt>
                <c:pt idx="2">
                  <c:v>146</c:v>
                </c:pt>
                <c:pt idx="3">
                  <c:v>141</c:v>
                </c:pt>
                <c:pt idx="4">
                  <c:v>138</c:v>
                </c:pt>
                <c:pt idx="5">
                  <c:v>133</c:v>
                </c:pt>
                <c:pt idx="6">
                  <c:v>128</c:v>
                </c:pt>
              </c:numCache>
            </c:numRef>
          </c:val>
          <c:extLst>
            <c:ext xmlns:c16="http://schemas.microsoft.com/office/drawing/2014/chart" uri="{C3380CC4-5D6E-409C-BE32-E72D297353CC}">
              <c16:uniqueId val="{00000000-D336-4116-9EBD-11BA5440C819}"/>
            </c:ext>
          </c:extLst>
        </c:ser>
        <c:dLbls>
          <c:showLegendKey val="0"/>
          <c:showVal val="0"/>
          <c:showCatName val="0"/>
          <c:showSerName val="0"/>
          <c:showPercent val="0"/>
          <c:showBubbleSize val="0"/>
        </c:dLbls>
        <c:axId val="1087360351"/>
        <c:axId val="1079228911"/>
      </c:areaChart>
      <c:catAx>
        <c:axId val="108736035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V Boli" panose="02000500030200090000" pitchFamily="2" charset="0"/>
                <a:ea typeface="+mn-ea"/>
                <a:cs typeface="MV Boli" panose="02000500030200090000" pitchFamily="2" charset="0"/>
              </a:defRPr>
            </a:pPr>
            <a:endParaRPr lang="en-US"/>
          </a:p>
        </c:txPr>
        <c:crossAx val="1079228911"/>
        <c:crosses val="autoZero"/>
        <c:auto val="1"/>
        <c:lblAlgn val="ctr"/>
        <c:lblOffset val="100"/>
        <c:noMultiLvlLbl val="0"/>
      </c:catAx>
      <c:valAx>
        <c:axId val="107922891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V Boli" panose="02000500030200090000" pitchFamily="2" charset="0"/>
                <a:ea typeface="+mn-ea"/>
                <a:cs typeface="MV Boli" panose="02000500030200090000" pitchFamily="2" charset="0"/>
              </a:defRPr>
            </a:pPr>
            <a:endParaRPr lang="en-US"/>
          </a:p>
        </c:txPr>
        <c:crossAx val="108736035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Center Data_DataSource.xlsx]Pivot 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ysClr val="windowText" lastClr="000000"/>
                </a:solidFill>
                <a:latin typeface="MV Boli" panose="02000500030200090000" pitchFamily="2" charset="0"/>
                <a:cs typeface="MV Boli" panose="02000500030200090000" pitchFamily="2" charset="0"/>
              </a:rPr>
              <a:t>Avg</a:t>
            </a:r>
            <a:r>
              <a:rPr lang="en-US" baseline="0">
                <a:solidFill>
                  <a:sysClr val="windowText" lastClr="000000"/>
                </a:solidFill>
                <a:latin typeface="MV Boli" panose="02000500030200090000" pitchFamily="2" charset="0"/>
                <a:cs typeface="MV Boli" panose="02000500030200090000" pitchFamily="2" charset="0"/>
              </a:rPr>
              <a:t> Rating for Rep</a:t>
            </a:r>
            <a:endParaRPr lang="en-US">
              <a:solidFill>
                <a:sysClr val="windowText" lastClr="000000"/>
              </a:solidFill>
              <a:latin typeface="MV Boli" panose="02000500030200090000" pitchFamily="2" charset="0"/>
              <a:cs typeface="MV Boli" panose="02000500030200090000" pitchFamily="2"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9E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9E0000"/>
          </a:solidFill>
          <a:ln>
            <a:noFill/>
          </a:ln>
          <a:effectLst/>
        </c:spPr>
      </c:pivotFmt>
      <c:pivotFmt>
        <c:idx val="4"/>
        <c:spPr>
          <a:solidFill>
            <a:srgbClr val="9E0000"/>
          </a:solidFill>
          <a:ln>
            <a:noFill/>
          </a:ln>
          <a:effectLst/>
        </c:spPr>
      </c:pivotFmt>
      <c:pivotFmt>
        <c:idx val="5"/>
        <c:spPr>
          <a:solidFill>
            <a:srgbClr val="9E0000"/>
          </a:solidFill>
          <a:ln>
            <a:noFill/>
          </a:ln>
          <a:effectLst/>
        </c:spPr>
      </c:pivotFmt>
      <c:pivotFmt>
        <c:idx val="6"/>
        <c:spPr>
          <a:solidFill>
            <a:srgbClr val="9E0000"/>
          </a:solidFill>
          <a:ln>
            <a:noFill/>
          </a:ln>
          <a:effectLst/>
        </c:spPr>
      </c:pivotFmt>
    </c:pivotFmts>
    <c:plotArea>
      <c:layout/>
      <c:barChart>
        <c:barDir val="col"/>
        <c:grouping val="clustered"/>
        <c:varyColors val="0"/>
        <c:ser>
          <c:idx val="0"/>
          <c:order val="0"/>
          <c:tx>
            <c:strRef>
              <c:f>'Pivot Table'!$E$1</c:f>
              <c:strCache>
                <c:ptCount val="1"/>
                <c:pt idx="0">
                  <c:v>Total</c:v>
                </c:pt>
              </c:strCache>
            </c:strRef>
          </c:tx>
          <c:spPr>
            <a:solidFill>
              <a:srgbClr val="9E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Table'!$D$2:$D$7</c:f>
              <c:strCache>
                <c:ptCount val="5"/>
                <c:pt idx="0">
                  <c:v>R01</c:v>
                </c:pt>
                <c:pt idx="1">
                  <c:v>R04</c:v>
                </c:pt>
                <c:pt idx="2">
                  <c:v>R05</c:v>
                </c:pt>
                <c:pt idx="3">
                  <c:v>R02</c:v>
                </c:pt>
                <c:pt idx="4">
                  <c:v>R03</c:v>
                </c:pt>
              </c:strCache>
            </c:strRef>
          </c:cat>
          <c:val>
            <c:numRef>
              <c:f>'Pivot Table'!$E$2:$E$7</c:f>
              <c:numCache>
                <c:formatCode>0.00</c:formatCode>
                <c:ptCount val="5"/>
                <c:pt idx="0">
                  <c:v>3.9227513227513247</c:v>
                </c:pt>
                <c:pt idx="1">
                  <c:v>3.8973118279569863</c:v>
                </c:pt>
                <c:pt idx="2">
                  <c:v>3.8824999999999998</c:v>
                </c:pt>
                <c:pt idx="3">
                  <c:v>3.8706422018348627</c:v>
                </c:pt>
                <c:pt idx="4">
                  <c:v>3.8589371980676304</c:v>
                </c:pt>
              </c:numCache>
            </c:numRef>
          </c:val>
          <c:extLst>
            <c:ext xmlns:c16="http://schemas.microsoft.com/office/drawing/2014/chart" uri="{C3380CC4-5D6E-409C-BE32-E72D297353CC}">
              <c16:uniqueId val="{00000000-87E0-4901-A832-5B1589B06EE4}"/>
            </c:ext>
          </c:extLst>
        </c:ser>
        <c:dLbls>
          <c:showLegendKey val="0"/>
          <c:showVal val="1"/>
          <c:showCatName val="0"/>
          <c:showSerName val="0"/>
          <c:showPercent val="0"/>
          <c:showBubbleSize val="0"/>
        </c:dLbls>
        <c:gapWidth val="219"/>
        <c:overlap val="-27"/>
        <c:axId val="1258252655"/>
        <c:axId val="1079121871"/>
      </c:barChart>
      <c:catAx>
        <c:axId val="12582526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V Boli" panose="02000500030200090000" pitchFamily="2" charset="0"/>
                <a:ea typeface="+mn-ea"/>
                <a:cs typeface="MV Boli" panose="02000500030200090000" pitchFamily="2" charset="0"/>
              </a:defRPr>
            </a:pPr>
            <a:endParaRPr lang="en-US"/>
          </a:p>
        </c:txPr>
        <c:crossAx val="1079121871"/>
        <c:crosses val="autoZero"/>
        <c:auto val="1"/>
        <c:lblAlgn val="ctr"/>
        <c:lblOffset val="100"/>
        <c:noMultiLvlLbl val="0"/>
      </c:catAx>
      <c:valAx>
        <c:axId val="1079121871"/>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V Boli" panose="02000500030200090000" pitchFamily="2" charset="0"/>
                <a:ea typeface="+mn-ea"/>
                <a:cs typeface="MV Boli" panose="02000500030200090000" pitchFamily="2" charset="0"/>
              </a:defRPr>
            </a:pPr>
            <a:endParaRPr lang="en-US"/>
          </a:p>
        </c:txPr>
        <c:crossAx val="12582526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Center Data_DataSource.xlsx]Pivot Table!PivotTable9</c:name>
    <c:fmtId val="3"/>
  </c:pivotSource>
  <c:chart>
    <c:title>
      <c:tx>
        <c:rich>
          <a:bodyPr rot="0" spcFirstLastPara="1" vertOverflow="ellipsis" vert="horz" wrap="square" anchor="ctr" anchorCtr="1"/>
          <a:lstStyle/>
          <a:p>
            <a:pPr>
              <a:defRPr lang="en-US" sz="1400" b="0" i="0" u="none" strike="noStrike" kern="1200" spc="0" baseline="0">
                <a:solidFill>
                  <a:sysClr val="windowText" lastClr="000000"/>
                </a:solidFill>
                <a:latin typeface="MV Boli" panose="02000500030200090000" pitchFamily="2" charset="0"/>
                <a:ea typeface="+mn-ea"/>
                <a:cs typeface="MV Boli" panose="02000500030200090000" pitchFamily="2" charset="0"/>
              </a:defRPr>
            </a:pPr>
            <a:r>
              <a:rPr lang="en-US" sz="1400"/>
              <a:t>Calls</a:t>
            </a:r>
            <a:r>
              <a:rPr lang="en-US" sz="1400" baseline="0"/>
              <a:t> for Rep</a:t>
            </a:r>
            <a:endParaRPr lang="en-US" sz="1400"/>
          </a:p>
        </c:rich>
      </c:tx>
      <c:layout>
        <c:manualLayout>
          <c:xMode val="edge"/>
          <c:yMode val="edge"/>
          <c:x val="0.33451342467101103"/>
          <c:y val="4.0660069810458443E-2"/>
        </c:manualLayout>
      </c:layout>
      <c:overlay val="0"/>
      <c:spPr>
        <a:noFill/>
        <a:ln>
          <a:noFill/>
        </a:ln>
        <a:effectLst/>
      </c:spPr>
      <c:txPr>
        <a:bodyPr rot="0" spcFirstLastPara="1" vertOverflow="ellipsis" vert="horz" wrap="square" anchor="ctr" anchorCtr="1"/>
        <a:lstStyle/>
        <a:p>
          <a:pPr>
            <a:defRPr lang="en-US" sz="1400" b="0" i="0" u="none" strike="noStrike" kern="1200" spc="0" baseline="0">
              <a:solidFill>
                <a:sysClr val="windowText" lastClr="000000"/>
              </a:solidFill>
              <a:latin typeface="MV Boli" panose="02000500030200090000" pitchFamily="2" charset="0"/>
              <a:ea typeface="+mn-ea"/>
              <a:cs typeface="MV Boli" panose="02000500030200090000" pitchFamily="2"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rgbClr val="BDD3FF"/>
              </a:gs>
              <a:gs pos="22000">
                <a:srgbClr val="BDD3FF"/>
              </a:gs>
              <a:gs pos="67000">
                <a:srgbClr val="002060"/>
              </a:gs>
              <a:gs pos="100000">
                <a:srgbClr val="002060"/>
              </a:gs>
            </a:gsLst>
            <a:path path="circle">
              <a:fillToRect l="100000" t="100000"/>
            </a:path>
          </a:gra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ysClr val="windowText" lastClr="000000"/>
                  </a:solidFill>
                  <a:latin typeface="MV Boli" panose="02000500030200090000" pitchFamily="2" charset="0"/>
                  <a:ea typeface="+mn-ea"/>
                  <a:cs typeface="MV Boli" panose="02000500030200090000" pitchFamily="2"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Table'!$E$10</c:f>
              <c:strCache>
                <c:ptCount val="1"/>
                <c:pt idx="0">
                  <c:v>Total</c:v>
                </c:pt>
              </c:strCache>
            </c:strRef>
          </c:tx>
          <c:spPr>
            <a:gradFill>
              <a:gsLst>
                <a:gs pos="0">
                  <a:srgbClr val="BDD3FF"/>
                </a:gs>
                <a:gs pos="22000">
                  <a:srgbClr val="BDD3FF"/>
                </a:gs>
                <a:gs pos="67000">
                  <a:srgbClr val="002060"/>
                </a:gs>
                <a:gs pos="100000">
                  <a:srgbClr val="002060"/>
                </a:gs>
              </a:gsLst>
              <a:path path="circle">
                <a:fillToRect l="100000" t="100000"/>
              </a:path>
            </a:gradFill>
            <a:ln>
              <a:noFill/>
            </a:ln>
            <a:effectLst/>
          </c:spPr>
          <c:cat>
            <c:strRef>
              <c:f>'Pivot Table'!$D$11:$D$16</c:f>
              <c:strCache>
                <c:ptCount val="5"/>
                <c:pt idx="0">
                  <c:v>R02</c:v>
                </c:pt>
                <c:pt idx="1">
                  <c:v>R03</c:v>
                </c:pt>
                <c:pt idx="2">
                  <c:v>R05</c:v>
                </c:pt>
                <c:pt idx="3">
                  <c:v>R01</c:v>
                </c:pt>
                <c:pt idx="4">
                  <c:v>R04</c:v>
                </c:pt>
              </c:strCache>
            </c:strRef>
          </c:cat>
          <c:val>
            <c:numRef>
              <c:f>'Pivot Table'!$E$11:$E$16</c:f>
              <c:numCache>
                <c:formatCode>General</c:formatCode>
                <c:ptCount val="5"/>
                <c:pt idx="0">
                  <c:v>218</c:v>
                </c:pt>
                <c:pt idx="1">
                  <c:v>207</c:v>
                </c:pt>
                <c:pt idx="2">
                  <c:v>200</c:v>
                </c:pt>
                <c:pt idx="3">
                  <c:v>189</c:v>
                </c:pt>
                <c:pt idx="4">
                  <c:v>186</c:v>
                </c:pt>
              </c:numCache>
            </c:numRef>
          </c:val>
          <c:extLst>
            <c:ext xmlns:c16="http://schemas.microsoft.com/office/drawing/2014/chart" uri="{C3380CC4-5D6E-409C-BE32-E72D297353CC}">
              <c16:uniqueId val="{00000000-E924-44AE-B518-6669E16CF0F3}"/>
            </c:ext>
          </c:extLst>
        </c:ser>
        <c:dLbls>
          <c:showLegendKey val="0"/>
          <c:showVal val="0"/>
          <c:showCatName val="0"/>
          <c:showSerName val="0"/>
          <c:showPercent val="0"/>
          <c:showBubbleSize val="0"/>
        </c:dLbls>
        <c:axId val="1238971375"/>
        <c:axId val="1079030191"/>
      </c:areaChart>
      <c:catAx>
        <c:axId val="123897137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ysClr val="windowText" lastClr="000000"/>
                </a:solidFill>
                <a:latin typeface="MV Boli" panose="02000500030200090000" pitchFamily="2" charset="0"/>
                <a:ea typeface="+mn-ea"/>
                <a:cs typeface="MV Boli" panose="02000500030200090000" pitchFamily="2" charset="0"/>
              </a:defRPr>
            </a:pPr>
            <a:endParaRPr lang="en-US"/>
          </a:p>
        </c:txPr>
        <c:crossAx val="1079030191"/>
        <c:crosses val="autoZero"/>
        <c:auto val="1"/>
        <c:lblAlgn val="ctr"/>
        <c:lblOffset val="100"/>
        <c:noMultiLvlLbl val="0"/>
      </c:catAx>
      <c:valAx>
        <c:axId val="107903019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ysClr val="windowText" lastClr="000000"/>
                </a:solidFill>
                <a:latin typeface="MV Boli" panose="02000500030200090000" pitchFamily="2" charset="0"/>
                <a:ea typeface="+mn-ea"/>
                <a:cs typeface="MV Boli" panose="02000500030200090000" pitchFamily="2" charset="0"/>
              </a:defRPr>
            </a:pPr>
            <a:endParaRPr lang="en-US"/>
          </a:p>
        </c:txPr>
        <c:crossAx val="123897137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lgn="ctr">
        <a:defRPr lang="en-US" sz="1000" b="0" i="0" u="none" strike="noStrike" kern="1200" baseline="0">
          <a:solidFill>
            <a:sysClr val="windowText" lastClr="000000"/>
          </a:solidFill>
          <a:latin typeface="MV Boli" panose="02000500030200090000" pitchFamily="2" charset="0"/>
          <a:ea typeface="+mn-ea"/>
          <a:cs typeface="MV Boli" panose="02000500030200090000" pitchFamily="2"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image" Target="../media/image3.png"/><Relationship Id="rId7" Type="http://schemas.openxmlformats.org/officeDocument/2006/relationships/chart" Target="../charts/chart3.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2.xml"/><Relationship Id="rId11" Type="http://schemas.openxmlformats.org/officeDocument/2006/relationships/chart" Target="../charts/chart7.xml"/><Relationship Id="rId5" Type="http://schemas.openxmlformats.org/officeDocument/2006/relationships/chart" Target="../charts/chart1.xml"/><Relationship Id="rId10" Type="http://schemas.openxmlformats.org/officeDocument/2006/relationships/chart" Target="../charts/chart6.xml"/><Relationship Id="rId4" Type="http://schemas.openxmlformats.org/officeDocument/2006/relationships/image" Target="../media/image4.png"/><Relationship Id="rId9"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1</xdr:colOff>
      <xdr:row>0</xdr:row>
      <xdr:rowOff>0</xdr:rowOff>
    </xdr:from>
    <xdr:to>
      <xdr:col>17</xdr:col>
      <xdr:colOff>267957</xdr:colOff>
      <xdr:row>36</xdr:row>
      <xdr:rowOff>100483</xdr:rowOff>
    </xdr:to>
    <xdr:grpSp>
      <xdr:nvGrpSpPr>
        <xdr:cNvPr id="13" name="Group 12">
          <a:extLst>
            <a:ext uri="{FF2B5EF4-FFF2-40B4-BE49-F238E27FC236}">
              <a16:creationId xmlns:a16="http://schemas.microsoft.com/office/drawing/2014/main" id="{8BB3864B-6AB8-01E0-08C8-761F98113D9F}"/>
            </a:ext>
          </a:extLst>
        </xdr:cNvPr>
        <xdr:cNvGrpSpPr/>
      </xdr:nvGrpSpPr>
      <xdr:grpSpPr>
        <a:xfrm>
          <a:off x="1" y="0"/>
          <a:ext cx="16670748" cy="6928795"/>
          <a:chOff x="-1" y="0"/>
          <a:chExt cx="16825233" cy="5697314"/>
        </a:xfrm>
      </xdr:grpSpPr>
      <xdr:grpSp>
        <xdr:nvGrpSpPr>
          <xdr:cNvPr id="5" name="Group 4">
            <a:extLst>
              <a:ext uri="{FF2B5EF4-FFF2-40B4-BE49-F238E27FC236}">
                <a16:creationId xmlns:a16="http://schemas.microsoft.com/office/drawing/2014/main" id="{D5763965-0527-96FE-9742-5189A1CEFA9F}"/>
              </a:ext>
            </a:extLst>
          </xdr:cNvPr>
          <xdr:cNvGrpSpPr/>
        </xdr:nvGrpSpPr>
        <xdr:grpSpPr>
          <a:xfrm>
            <a:off x="-1" y="0"/>
            <a:ext cx="1860100" cy="5697314"/>
            <a:chOff x="0" y="0"/>
            <a:chExt cx="1860099" cy="5697310"/>
          </a:xfrm>
        </xdr:grpSpPr>
        <xdr:sp macro="" textlink="">
          <xdr:nvSpPr>
            <xdr:cNvPr id="2" name="Rectangle 1">
              <a:extLst>
                <a:ext uri="{FF2B5EF4-FFF2-40B4-BE49-F238E27FC236}">
                  <a16:creationId xmlns:a16="http://schemas.microsoft.com/office/drawing/2014/main" id="{8D660855-12F9-BB8E-C884-7132965A0010}"/>
                </a:ext>
              </a:extLst>
            </xdr:cNvPr>
            <xdr:cNvSpPr/>
          </xdr:nvSpPr>
          <xdr:spPr>
            <a:xfrm>
              <a:off x="0" y="0"/>
              <a:ext cx="1857375" cy="5697310"/>
            </a:xfrm>
            <a:prstGeom prst="rect">
              <a:avLst/>
            </a:prstGeom>
            <a:solidFill>
              <a:srgbClr val="F8C76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 name="Rectangle: Top Corners Rounded 3">
              <a:extLst>
                <a:ext uri="{FF2B5EF4-FFF2-40B4-BE49-F238E27FC236}">
                  <a16:creationId xmlns:a16="http://schemas.microsoft.com/office/drawing/2014/main" id="{7845D1E5-6F43-1514-1E3A-89141E6B4469}"/>
                </a:ext>
              </a:extLst>
            </xdr:cNvPr>
            <xdr:cNvSpPr/>
          </xdr:nvSpPr>
          <xdr:spPr>
            <a:xfrm rot="16200000">
              <a:off x="-1492023" y="2070326"/>
              <a:ext cx="5129899" cy="1574345"/>
            </a:xfrm>
            <a:prstGeom prst="round2SameRect">
              <a:avLst/>
            </a:prstGeom>
            <a:solidFill>
              <a:srgbClr val="F7D69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grpSp>
        <xdr:nvGrpSpPr>
          <xdr:cNvPr id="8" name="Group 7">
            <a:extLst>
              <a:ext uri="{FF2B5EF4-FFF2-40B4-BE49-F238E27FC236}">
                <a16:creationId xmlns:a16="http://schemas.microsoft.com/office/drawing/2014/main" id="{EF4EB7E2-29C7-9F3C-4490-EDABF6A63E2E}"/>
              </a:ext>
            </a:extLst>
          </xdr:cNvPr>
          <xdr:cNvGrpSpPr/>
        </xdr:nvGrpSpPr>
        <xdr:grpSpPr>
          <a:xfrm>
            <a:off x="415015" y="448640"/>
            <a:ext cx="1435553" cy="659946"/>
            <a:chOff x="449036" y="523483"/>
            <a:chExt cx="1435553" cy="659946"/>
          </a:xfrm>
        </xdr:grpSpPr>
        <xdr:sp macro="" textlink="">
          <xdr:nvSpPr>
            <xdr:cNvPr id="7" name="Arrow: Right 6">
              <a:extLst>
                <a:ext uri="{FF2B5EF4-FFF2-40B4-BE49-F238E27FC236}">
                  <a16:creationId xmlns:a16="http://schemas.microsoft.com/office/drawing/2014/main" id="{0D47CAE0-B1BF-DBE9-1E2C-BB407E214D3C}"/>
                </a:ext>
              </a:extLst>
            </xdr:cNvPr>
            <xdr:cNvSpPr/>
          </xdr:nvSpPr>
          <xdr:spPr>
            <a:xfrm>
              <a:off x="449036" y="523483"/>
              <a:ext cx="1435553" cy="659946"/>
            </a:xfrm>
            <a:prstGeom prst="rightArrow">
              <a:avLst/>
            </a:prstGeom>
            <a:solidFill>
              <a:srgbClr val="78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atin typeface="MV Boli" panose="02000500030200090000" pitchFamily="2" charset="0"/>
                <a:cs typeface="MV Boli" panose="02000500030200090000" pitchFamily="2" charset="0"/>
              </a:endParaRPr>
            </a:p>
          </xdr:txBody>
        </xdr:sp>
        <xdr:sp macro="" textlink="">
          <xdr:nvSpPr>
            <xdr:cNvPr id="6" name="TextBox 5">
              <a:extLst>
                <a:ext uri="{FF2B5EF4-FFF2-40B4-BE49-F238E27FC236}">
                  <a16:creationId xmlns:a16="http://schemas.microsoft.com/office/drawing/2014/main" id="{57877C3F-4470-797D-1215-96378C06FEEE}"/>
                </a:ext>
              </a:extLst>
            </xdr:cNvPr>
            <xdr:cNvSpPr txBox="1"/>
          </xdr:nvSpPr>
          <xdr:spPr>
            <a:xfrm>
              <a:off x="544287" y="673068"/>
              <a:ext cx="1102179" cy="422936"/>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600" b="1">
                  <a:solidFill>
                    <a:schemeClr val="bg1"/>
                  </a:solidFill>
                  <a:latin typeface="MV Boli" panose="02000500030200090000" pitchFamily="2" charset="0"/>
                  <a:cs typeface="MV Boli" panose="02000500030200090000" pitchFamily="2" charset="0"/>
                </a:rPr>
                <a:t>Overview</a:t>
              </a:r>
            </a:p>
          </xdr:txBody>
        </xdr:sp>
      </xdr:grpSp>
      <xdr:sp macro="" textlink="">
        <xdr:nvSpPr>
          <xdr:cNvPr id="9" name="Rectangle 8">
            <a:extLst>
              <a:ext uri="{FF2B5EF4-FFF2-40B4-BE49-F238E27FC236}">
                <a16:creationId xmlns:a16="http://schemas.microsoft.com/office/drawing/2014/main" id="{15AC95B9-4011-202B-39AD-20B21F9D06C0}"/>
              </a:ext>
            </a:extLst>
          </xdr:cNvPr>
          <xdr:cNvSpPr/>
        </xdr:nvSpPr>
        <xdr:spPr>
          <a:xfrm>
            <a:off x="1857374" y="0"/>
            <a:ext cx="14967858" cy="5694593"/>
          </a:xfrm>
          <a:prstGeom prst="rect">
            <a:avLst/>
          </a:prstGeom>
          <a:solidFill>
            <a:srgbClr val="FAD99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0" name="Rectangle: Top Corners Rounded 9">
            <a:extLst>
              <a:ext uri="{FF2B5EF4-FFF2-40B4-BE49-F238E27FC236}">
                <a16:creationId xmlns:a16="http://schemas.microsoft.com/office/drawing/2014/main" id="{7AED5D11-F66A-B1B2-C33B-1C7271839914}"/>
              </a:ext>
            </a:extLst>
          </xdr:cNvPr>
          <xdr:cNvSpPr/>
        </xdr:nvSpPr>
        <xdr:spPr>
          <a:xfrm rot="5400000">
            <a:off x="6633482" y="-4490352"/>
            <a:ext cx="5136697" cy="14688914"/>
          </a:xfrm>
          <a:prstGeom prst="round2SameRect">
            <a:avLst>
              <a:gd name="adj1" fmla="val 9524"/>
              <a:gd name="adj2" fmla="val 0"/>
            </a:avLst>
          </a:prstGeom>
          <a:solidFill>
            <a:srgbClr val="FAE5B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2" name="Rectangle: Rounded Corners 11">
            <a:extLst>
              <a:ext uri="{FF2B5EF4-FFF2-40B4-BE49-F238E27FC236}">
                <a16:creationId xmlns:a16="http://schemas.microsoft.com/office/drawing/2014/main" id="{589D1C49-5D86-2FE5-3E29-D79CAF898259}"/>
              </a:ext>
            </a:extLst>
          </xdr:cNvPr>
          <xdr:cNvSpPr/>
        </xdr:nvSpPr>
        <xdr:spPr>
          <a:xfrm>
            <a:off x="5565321" y="0"/>
            <a:ext cx="6184447" cy="366256"/>
          </a:xfrm>
          <a:prstGeom prst="roundRect">
            <a:avLst>
              <a:gd name="adj" fmla="val 50000"/>
            </a:avLst>
          </a:prstGeom>
          <a:solidFill>
            <a:srgbClr val="78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lvl="0" algn="ctr"/>
            <a:r>
              <a:rPr lang="en-US" sz="2400">
                <a:latin typeface="MV Boli" panose="02000500030200090000" pitchFamily="2" charset="0"/>
                <a:cs typeface="MV Boli" panose="02000500030200090000" pitchFamily="2" charset="0"/>
              </a:rPr>
              <a:t>Call</a:t>
            </a:r>
            <a:r>
              <a:rPr lang="en-US" sz="2400" baseline="0">
                <a:latin typeface="MV Boli" panose="02000500030200090000" pitchFamily="2" charset="0"/>
                <a:cs typeface="MV Boli" panose="02000500030200090000" pitchFamily="2" charset="0"/>
              </a:rPr>
              <a:t> Cetnter Dashboard</a:t>
            </a:r>
            <a:endParaRPr lang="en-US" sz="2400">
              <a:latin typeface="MV Boli" panose="02000500030200090000" pitchFamily="2" charset="0"/>
              <a:cs typeface="MV Boli" panose="02000500030200090000" pitchFamily="2" charset="0"/>
            </a:endParaRPr>
          </a:p>
        </xdr:txBody>
      </xdr:sp>
    </xdr:grpSp>
    <xdr:clientData/>
  </xdr:twoCellAnchor>
  <xdr:twoCellAnchor>
    <xdr:from>
      <xdr:col>2</xdr:col>
      <xdr:colOff>94012</xdr:colOff>
      <xdr:row>3</xdr:row>
      <xdr:rowOff>6800</xdr:rowOff>
    </xdr:from>
    <xdr:to>
      <xdr:col>5</xdr:col>
      <xdr:colOff>318529</xdr:colOff>
      <xdr:row>7</xdr:row>
      <xdr:rowOff>159200</xdr:rowOff>
    </xdr:to>
    <xdr:grpSp>
      <xdr:nvGrpSpPr>
        <xdr:cNvPr id="33" name="Group 32">
          <a:extLst>
            <a:ext uri="{FF2B5EF4-FFF2-40B4-BE49-F238E27FC236}">
              <a16:creationId xmlns:a16="http://schemas.microsoft.com/office/drawing/2014/main" id="{0F347E9C-A646-AE47-4CF5-8E4725510D91}"/>
            </a:ext>
          </a:extLst>
        </xdr:cNvPr>
        <xdr:cNvGrpSpPr/>
      </xdr:nvGrpSpPr>
      <xdr:grpSpPr>
        <a:xfrm>
          <a:off x="2023753" y="575826"/>
          <a:ext cx="3119126" cy="911101"/>
          <a:chOff x="2469696" y="557889"/>
          <a:chExt cx="3122839" cy="914400"/>
        </a:xfrm>
      </xdr:grpSpPr>
      <xdr:sp macro="" textlink="">
        <xdr:nvSpPr>
          <xdr:cNvPr id="14" name="Rectangle: Rounded Corners 13">
            <a:extLst>
              <a:ext uri="{FF2B5EF4-FFF2-40B4-BE49-F238E27FC236}">
                <a16:creationId xmlns:a16="http://schemas.microsoft.com/office/drawing/2014/main" id="{DF0E4C87-F605-36E2-9051-DAF47C3F731B}"/>
              </a:ext>
            </a:extLst>
          </xdr:cNvPr>
          <xdr:cNvSpPr/>
        </xdr:nvSpPr>
        <xdr:spPr>
          <a:xfrm>
            <a:off x="2469696" y="557889"/>
            <a:ext cx="3122839" cy="914400"/>
          </a:xfrm>
          <a:prstGeom prst="roundRect">
            <a:avLst>
              <a:gd name="adj" fmla="val 5953"/>
            </a:avLst>
          </a:prstGeom>
          <a:solidFill>
            <a:schemeClr val="bg1"/>
          </a:solidFill>
          <a:ln>
            <a:solidFill>
              <a:srgbClr val="78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2" name="Rectangle: Top Corners Rounded 21">
            <a:extLst>
              <a:ext uri="{FF2B5EF4-FFF2-40B4-BE49-F238E27FC236}">
                <a16:creationId xmlns:a16="http://schemas.microsoft.com/office/drawing/2014/main" id="{AB3AE6F0-B06A-B56C-BB1D-C284FADBA607}"/>
              </a:ext>
            </a:extLst>
          </xdr:cNvPr>
          <xdr:cNvSpPr/>
        </xdr:nvSpPr>
        <xdr:spPr>
          <a:xfrm rot="16200000">
            <a:off x="2102307" y="925284"/>
            <a:ext cx="911677" cy="176893"/>
          </a:xfrm>
          <a:prstGeom prst="round2SameRect">
            <a:avLst/>
          </a:prstGeom>
          <a:solidFill>
            <a:srgbClr val="780000"/>
          </a:solidFill>
          <a:ln>
            <a:solidFill>
              <a:srgbClr val="78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9" name="TextBox 28">
            <a:extLst>
              <a:ext uri="{FF2B5EF4-FFF2-40B4-BE49-F238E27FC236}">
                <a16:creationId xmlns:a16="http://schemas.microsoft.com/office/drawing/2014/main" id="{1BECF1E6-B2E4-EA42-5B6F-DA33A3D309E2}"/>
              </a:ext>
            </a:extLst>
          </xdr:cNvPr>
          <xdr:cNvSpPr txBox="1"/>
        </xdr:nvSpPr>
        <xdr:spPr>
          <a:xfrm>
            <a:off x="2626177" y="605516"/>
            <a:ext cx="1387929" cy="3469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a:latin typeface="MV Boli" panose="02000500030200090000" pitchFamily="2" charset="0"/>
                <a:cs typeface="MV Boli" panose="02000500030200090000" pitchFamily="2" charset="0"/>
              </a:rPr>
              <a:t>Revenue</a:t>
            </a:r>
            <a:endParaRPr lang="en-US" sz="1200">
              <a:latin typeface="MV Boli" panose="02000500030200090000" pitchFamily="2" charset="0"/>
              <a:cs typeface="MV Boli" panose="02000500030200090000" pitchFamily="2" charset="0"/>
            </a:endParaRPr>
          </a:p>
        </xdr:txBody>
      </xdr:sp>
      <xdr:sp macro="" textlink="'Pivot Table'!C25">
        <xdr:nvSpPr>
          <xdr:cNvPr id="30" name="TextBox 29">
            <a:extLst>
              <a:ext uri="{FF2B5EF4-FFF2-40B4-BE49-F238E27FC236}">
                <a16:creationId xmlns:a16="http://schemas.microsoft.com/office/drawing/2014/main" id="{CBDC1565-5674-B8C1-439C-9148548C7C4A}"/>
              </a:ext>
            </a:extLst>
          </xdr:cNvPr>
          <xdr:cNvSpPr txBox="1"/>
        </xdr:nvSpPr>
        <xdr:spPr>
          <a:xfrm>
            <a:off x="2673803" y="918479"/>
            <a:ext cx="1660073" cy="530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CE91208-4DC4-421D-852A-2D978D288BFD}" type="TxLink">
              <a:rPr lang="en-US" sz="2400" b="0" i="0" u="none" strike="noStrike">
                <a:solidFill>
                  <a:srgbClr val="000000"/>
                </a:solidFill>
                <a:latin typeface="MV Boli" panose="02000500030200090000" pitchFamily="2" charset="0"/>
                <a:cs typeface="MV Boli" panose="02000500030200090000" pitchFamily="2" charset="0"/>
              </a:rPr>
              <a:pPr algn="ctr"/>
              <a:t> $96,623 </a:t>
            </a:fld>
            <a:endParaRPr lang="en-US" sz="2400">
              <a:latin typeface="MV Boli" panose="02000500030200090000" pitchFamily="2" charset="0"/>
              <a:cs typeface="MV Boli" panose="02000500030200090000" pitchFamily="2" charset="0"/>
            </a:endParaRPr>
          </a:p>
        </xdr:txBody>
      </xdr:sp>
      <xdr:pic>
        <xdr:nvPicPr>
          <xdr:cNvPr id="32" name="Picture 31">
            <a:extLst>
              <a:ext uri="{FF2B5EF4-FFF2-40B4-BE49-F238E27FC236}">
                <a16:creationId xmlns:a16="http://schemas.microsoft.com/office/drawing/2014/main" id="{5F7C2885-EAF4-C99A-DC39-69373D53DFE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694464" y="762000"/>
            <a:ext cx="523875" cy="523875"/>
          </a:xfrm>
          <a:prstGeom prst="rect">
            <a:avLst/>
          </a:prstGeom>
        </xdr:spPr>
      </xdr:pic>
    </xdr:grpSp>
    <xdr:clientData/>
  </xdr:twoCellAnchor>
  <xdr:twoCellAnchor>
    <xdr:from>
      <xdr:col>9</xdr:col>
      <xdr:colOff>701472</xdr:colOff>
      <xdr:row>3</xdr:row>
      <xdr:rowOff>6800</xdr:rowOff>
    </xdr:from>
    <xdr:to>
      <xdr:col>12</xdr:col>
      <xdr:colOff>927894</xdr:colOff>
      <xdr:row>7</xdr:row>
      <xdr:rowOff>159200</xdr:rowOff>
    </xdr:to>
    <xdr:grpSp>
      <xdr:nvGrpSpPr>
        <xdr:cNvPr id="34" name="Group 33">
          <a:extLst>
            <a:ext uri="{FF2B5EF4-FFF2-40B4-BE49-F238E27FC236}">
              <a16:creationId xmlns:a16="http://schemas.microsoft.com/office/drawing/2014/main" id="{252EEAD0-6085-436C-8767-ADFF6E4273EB}"/>
            </a:ext>
          </a:extLst>
        </xdr:cNvPr>
        <xdr:cNvGrpSpPr/>
      </xdr:nvGrpSpPr>
      <xdr:grpSpPr>
        <a:xfrm>
          <a:off x="9385304" y="575826"/>
          <a:ext cx="3121031" cy="911101"/>
          <a:chOff x="2469696" y="557889"/>
          <a:chExt cx="3122839" cy="914400"/>
        </a:xfrm>
      </xdr:grpSpPr>
      <xdr:sp macro="" textlink="">
        <xdr:nvSpPr>
          <xdr:cNvPr id="35" name="Rectangle: Rounded Corners 34">
            <a:extLst>
              <a:ext uri="{FF2B5EF4-FFF2-40B4-BE49-F238E27FC236}">
                <a16:creationId xmlns:a16="http://schemas.microsoft.com/office/drawing/2014/main" id="{76EE8F7B-71C4-C6A5-E3C9-B741BF45A3A2}"/>
              </a:ext>
            </a:extLst>
          </xdr:cNvPr>
          <xdr:cNvSpPr/>
        </xdr:nvSpPr>
        <xdr:spPr>
          <a:xfrm>
            <a:off x="2469696" y="557889"/>
            <a:ext cx="3122839" cy="914400"/>
          </a:xfrm>
          <a:prstGeom prst="roundRect">
            <a:avLst>
              <a:gd name="adj" fmla="val 5953"/>
            </a:avLst>
          </a:prstGeom>
          <a:solidFill>
            <a:schemeClr val="bg1"/>
          </a:solidFill>
          <a:ln>
            <a:solidFill>
              <a:srgbClr val="78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6" name="Rectangle: Top Corners Rounded 35">
            <a:extLst>
              <a:ext uri="{FF2B5EF4-FFF2-40B4-BE49-F238E27FC236}">
                <a16:creationId xmlns:a16="http://schemas.microsoft.com/office/drawing/2014/main" id="{9D4BF018-2D9B-AA36-8A5E-B23C3BFD041B}"/>
              </a:ext>
            </a:extLst>
          </xdr:cNvPr>
          <xdr:cNvSpPr/>
        </xdr:nvSpPr>
        <xdr:spPr>
          <a:xfrm rot="16200000">
            <a:off x="2102307" y="925284"/>
            <a:ext cx="911677" cy="176893"/>
          </a:xfrm>
          <a:prstGeom prst="round2SameRect">
            <a:avLst/>
          </a:prstGeom>
          <a:solidFill>
            <a:srgbClr val="780000"/>
          </a:solidFill>
          <a:ln>
            <a:solidFill>
              <a:srgbClr val="78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7" name="TextBox 36">
            <a:extLst>
              <a:ext uri="{FF2B5EF4-FFF2-40B4-BE49-F238E27FC236}">
                <a16:creationId xmlns:a16="http://schemas.microsoft.com/office/drawing/2014/main" id="{26D95EBD-B68B-E21C-8DA3-60F16491A5EB}"/>
              </a:ext>
            </a:extLst>
          </xdr:cNvPr>
          <xdr:cNvSpPr txBox="1"/>
        </xdr:nvSpPr>
        <xdr:spPr>
          <a:xfrm>
            <a:off x="2626177" y="605516"/>
            <a:ext cx="1784349" cy="3469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a:latin typeface="MV Boli" panose="02000500030200090000" pitchFamily="2" charset="0"/>
                <a:cs typeface="MV Boli" panose="02000500030200090000" pitchFamily="2" charset="0"/>
              </a:rPr>
              <a:t>Representative</a:t>
            </a:r>
            <a:endParaRPr lang="en-US" sz="1200">
              <a:latin typeface="MV Boli" panose="02000500030200090000" pitchFamily="2" charset="0"/>
              <a:cs typeface="MV Boli" panose="02000500030200090000" pitchFamily="2" charset="0"/>
            </a:endParaRPr>
          </a:p>
        </xdr:txBody>
      </xdr:sp>
      <xdr:sp macro="" textlink="'Pivot Table'!B25">
        <xdr:nvSpPr>
          <xdr:cNvPr id="38" name="TextBox 37">
            <a:extLst>
              <a:ext uri="{FF2B5EF4-FFF2-40B4-BE49-F238E27FC236}">
                <a16:creationId xmlns:a16="http://schemas.microsoft.com/office/drawing/2014/main" id="{0696E206-0D3E-A101-72D1-80344068F347}"/>
              </a:ext>
            </a:extLst>
          </xdr:cNvPr>
          <xdr:cNvSpPr txBox="1"/>
        </xdr:nvSpPr>
        <xdr:spPr>
          <a:xfrm>
            <a:off x="2673803" y="918479"/>
            <a:ext cx="1660073" cy="530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9CF059B-828F-431D-8AC9-2679EFB4EC6B}" type="TxLink">
              <a:rPr lang="en-US" sz="2400" b="0" i="0" u="none" strike="noStrike">
                <a:solidFill>
                  <a:srgbClr val="000000"/>
                </a:solidFill>
                <a:latin typeface="MV Boli" panose="02000500030200090000" pitchFamily="2" charset="0"/>
                <a:cs typeface="MV Boli" panose="02000500030200090000" pitchFamily="2" charset="0"/>
              </a:rPr>
              <a:pPr algn="ctr"/>
              <a:t>5</a:t>
            </a:fld>
            <a:endParaRPr lang="en-US" sz="2400">
              <a:latin typeface="MV Boli" panose="02000500030200090000" pitchFamily="2" charset="0"/>
              <a:cs typeface="MV Boli" panose="02000500030200090000" pitchFamily="2" charset="0"/>
            </a:endParaRPr>
          </a:p>
        </xdr:txBody>
      </xdr:sp>
      <xdr:pic>
        <xdr:nvPicPr>
          <xdr:cNvPr id="39" name="Picture 38">
            <a:extLst>
              <a:ext uri="{FF2B5EF4-FFF2-40B4-BE49-F238E27FC236}">
                <a16:creationId xmlns:a16="http://schemas.microsoft.com/office/drawing/2014/main" id="{05371A79-EBAD-A5BF-47EA-1E7CE5775D4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4694464" y="762000"/>
            <a:ext cx="523875" cy="523875"/>
          </a:xfrm>
          <a:prstGeom prst="rect">
            <a:avLst/>
          </a:prstGeom>
        </xdr:spPr>
      </xdr:pic>
    </xdr:grpSp>
    <xdr:clientData/>
  </xdr:twoCellAnchor>
  <xdr:twoCellAnchor>
    <xdr:from>
      <xdr:col>13</xdr:col>
      <xdr:colOff>525289</xdr:colOff>
      <xdr:row>3</xdr:row>
      <xdr:rowOff>6800</xdr:rowOff>
    </xdr:from>
    <xdr:to>
      <xdr:col>16</xdr:col>
      <xdr:colOff>749807</xdr:colOff>
      <xdr:row>7</xdr:row>
      <xdr:rowOff>159200</xdr:rowOff>
    </xdr:to>
    <xdr:grpSp>
      <xdr:nvGrpSpPr>
        <xdr:cNvPr id="40" name="Group 39">
          <a:extLst>
            <a:ext uri="{FF2B5EF4-FFF2-40B4-BE49-F238E27FC236}">
              <a16:creationId xmlns:a16="http://schemas.microsoft.com/office/drawing/2014/main" id="{E9063B03-149E-4006-86D1-20FA66289FF9}"/>
            </a:ext>
          </a:extLst>
        </xdr:cNvPr>
        <xdr:cNvGrpSpPr/>
      </xdr:nvGrpSpPr>
      <xdr:grpSpPr>
        <a:xfrm>
          <a:off x="13068601" y="575826"/>
          <a:ext cx="3119129" cy="911101"/>
          <a:chOff x="2469696" y="557889"/>
          <a:chExt cx="3122839" cy="914400"/>
        </a:xfrm>
      </xdr:grpSpPr>
      <xdr:sp macro="" textlink="">
        <xdr:nvSpPr>
          <xdr:cNvPr id="41" name="Rectangle: Rounded Corners 40">
            <a:extLst>
              <a:ext uri="{FF2B5EF4-FFF2-40B4-BE49-F238E27FC236}">
                <a16:creationId xmlns:a16="http://schemas.microsoft.com/office/drawing/2014/main" id="{23B93AFB-B50B-459A-811A-05C45E27EC9C}"/>
              </a:ext>
            </a:extLst>
          </xdr:cNvPr>
          <xdr:cNvSpPr/>
        </xdr:nvSpPr>
        <xdr:spPr>
          <a:xfrm>
            <a:off x="2469696" y="557889"/>
            <a:ext cx="3122839" cy="914400"/>
          </a:xfrm>
          <a:prstGeom prst="roundRect">
            <a:avLst>
              <a:gd name="adj" fmla="val 5953"/>
            </a:avLst>
          </a:prstGeom>
          <a:solidFill>
            <a:schemeClr val="bg1"/>
          </a:solidFill>
          <a:ln>
            <a:solidFill>
              <a:srgbClr val="78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2" name="Rectangle: Top Corners Rounded 41">
            <a:extLst>
              <a:ext uri="{FF2B5EF4-FFF2-40B4-BE49-F238E27FC236}">
                <a16:creationId xmlns:a16="http://schemas.microsoft.com/office/drawing/2014/main" id="{63951BF6-268C-416D-14C1-C3CB58178B10}"/>
              </a:ext>
            </a:extLst>
          </xdr:cNvPr>
          <xdr:cNvSpPr/>
        </xdr:nvSpPr>
        <xdr:spPr>
          <a:xfrm rot="16200000">
            <a:off x="2102307" y="925284"/>
            <a:ext cx="911677" cy="176893"/>
          </a:xfrm>
          <a:prstGeom prst="round2SameRect">
            <a:avLst/>
          </a:prstGeom>
          <a:solidFill>
            <a:srgbClr val="780000"/>
          </a:solidFill>
          <a:ln>
            <a:solidFill>
              <a:srgbClr val="78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3" name="TextBox 42">
            <a:extLst>
              <a:ext uri="{FF2B5EF4-FFF2-40B4-BE49-F238E27FC236}">
                <a16:creationId xmlns:a16="http://schemas.microsoft.com/office/drawing/2014/main" id="{A1100D6E-E116-40A5-FDBB-D388A8D2C478}"/>
              </a:ext>
            </a:extLst>
          </xdr:cNvPr>
          <xdr:cNvSpPr txBox="1"/>
        </xdr:nvSpPr>
        <xdr:spPr>
          <a:xfrm>
            <a:off x="2626178" y="605516"/>
            <a:ext cx="1915432" cy="3469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a:latin typeface="MV Boli" panose="02000500030200090000" pitchFamily="2" charset="0"/>
                <a:cs typeface="MV Boli" panose="02000500030200090000" pitchFamily="2" charset="0"/>
              </a:rPr>
              <a:t>Total</a:t>
            </a:r>
            <a:r>
              <a:rPr lang="en-US" sz="1600" baseline="0">
                <a:latin typeface="MV Boli" panose="02000500030200090000" pitchFamily="2" charset="0"/>
                <a:cs typeface="MV Boli" panose="02000500030200090000" pitchFamily="2" charset="0"/>
              </a:rPr>
              <a:t> Customers</a:t>
            </a:r>
            <a:endParaRPr lang="en-US" sz="1200">
              <a:latin typeface="MV Boli" panose="02000500030200090000" pitchFamily="2" charset="0"/>
              <a:cs typeface="MV Boli" panose="02000500030200090000" pitchFamily="2" charset="0"/>
            </a:endParaRPr>
          </a:p>
        </xdr:txBody>
      </xdr:sp>
      <xdr:sp macro="" textlink="'Pivot Table'!D25">
        <xdr:nvSpPr>
          <xdr:cNvPr id="44" name="TextBox 43">
            <a:extLst>
              <a:ext uri="{FF2B5EF4-FFF2-40B4-BE49-F238E27FC236}">
                <a16:creationId xmlns:a16="http://schemas.microsoft.com/office/drawing/2014/main" id="{6DE5028D-FA45-F5CF-19A7-CB4082196FD8}"/>
              </a:ext>
            </a:extLst>
          </xdr:cNvPr>
          <xdr:cNvSpPr txBox="1"/>
        </xdr:nvSpPr>
        <xdr:spPr>
          <a:xfrm>
            <a:off x="2673803" y="918479"/>
            <a:ext cx="1660073" cy="530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3B4F547-B69D-44EA-8AE8-B8263A8A64ED}" type="TxLink">
              <a:rPr lang="en-US" sz="2400" b="0" i="0" u="none" strike="noStrike">
                <a:solidFill>
                  <a:srgbClr val="000000"/>
                </a:solidFill>
                <a:latin typeface="MV Boli" panose="02000500030200090000" pitchFamily="2" charset="0"/>
                <a:cs typeface="MV Boli" panose="02000500030200090000" pitchFamily="2" charset="0"/>
              </a:rPr>
              <a:pPr algn="ctr"/>
              <a:t>15</a:t>
            </a:fld>
            <a:endParaRPr lang="en-US" sz="2400">
              <a:latin typeface="MV Boli" panose="02000500030200090000" pitchFamily="2" charset="0"/>
              <a:cs typeface="MV Boli" panose="02000500030200090000" pitchFamily="2" charset="0"/>
            </a:endParaRPr>
          </a:p>
        </xdr:txBody>
      </xdr:sp>
      <xdr:pic>
        <xdr:nvPicPr>
          <xdr:cNvPr id="45" name="Picture 44">
            <a:extLst>
              <a:ext uri="{FF2B5EF4-FFF2-40B4-BE49-F238E27FC236}">
                <a16:creationId xmlns:a16="http://schemas.microsoft.com/office/drawing/2014/main" id="{D35B73C4-A6EE-7F9C-6D37-517881E96C21}"/>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xdr:blipFill>
        <xdr:spPr>
          <a:xfrm>
            <a:off x="4694464" y="762000"/>
            <a:ext cx="523875" cy="523875"/>
          </a:xfrm>
          <a:prstGeom prst="rect">
            <a:avLst/>
          </a:prstGeom>
        </xdr:spPr>
      </xdr:pic>
    </xdr:grpSp>
    <xdr:clientData/>
  </xdr:twoCellAnchor>
  <xdr:twoCellAnchor>
    <xdr:from>
      <xdr:col>5</xdr:col>
      <xdr:colOff>882699</xdr:colOff>
      <xdr:row>3</xdr:row>
      <xdr:rowOff>6800</xdr:rowOff>
    </xdr:from>
    <xdr:to>
      <xdr:col>9</xdr:col>
      <xdr:colOff>139206</xdr:colOff>
      <xdr:row>7</xdr:row>
      <xdr:rowOff>159200</xdr:rowOff>
    </xdr:to>
    <xdr:grpSp>
      <xdr:nvGrpSpPr>
        <xdr:cNvPr id="46" name="Group 45">
          <a:extLst>
            <a:ext uri="{FF2B5EF4-FFF2-40B4-BE49-F238E27FC236}">
              <a16:creationId xmlns:a16="http://schemas.microsoft.com/office/drawing/2014/main" id="{999DBCCC-A33F-4C86-B89C-D387EDD85D21}"/>
            </a:ext>
          </a:extLst>
        </xdr:cNvPr>
        <xdr:cNvGrpSpPr/>
      </xdr:nvGrpSpPr>
      <xdr:grpSpPr>
        <a:xfrm>
          <a:off x="5707049" y="575826"/>
          <a:ext cx="3115989" cy="911101"/>
          <a:chOff x="2469696" y="557889"/>
          <a:chExt cx="3122839" cy="914400"/>
        </a:xfrm>
      </xdr:grpSpPr>
      <xdr:sp macro="" textlink="">
        <xdr:nvSpPr>
          <xdr:cNvPr id="47" name="Rectangle: Rounded Corners 46">
            <a:extLst>
              <a:ext uri="{FF2B5EF4-FFF2-40B4-BE49-F238E27FC236}">
                <a16:creationId xmlns:a16="http://schemas.microsoft.com/office/drawing/2014/main" id="{49CAF4B6-8259-22B0-2CE5-1ADE8ACA13E4}"/>
              </a:ext>
            </a:extLst>
          </xdr:cNvPr>
          <xdr:cNvSpPr/>
        </xdr:nvSpPr>
        <xdr:spPr>
          <a:xfrm>
            <a:off x="2469696" y="557889"/>
            <a:ext cx="3122839" cy="914400"/>
          </a:xfrm>
          <a:prstGeom prst="roundRect">
            <a:avLst>
              <a:gd name="adj" fmla="val 5953"/>
            </a:avLst>
          </a:prstGeom>
          <a:solidFill>
            <a:schemeClr val="bg1"/>
          </a:solidFill>
          <a:ln>
            <a:solidFill>
              <a:srgbClr val="78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8" name="Rectangle: Top Corners Rounded 47">
            <a:extLst>
              <a:ext uri="{FF2B5EF4-FFF2-40B4-BE49-F238E27FC236}">
                <a16:creationId xmlns:a16="http://schemas.microsoft.com/office/drawing/2014/main" id="{030D0A3C-00F1-3D83-1A09-8DCE66C48690}"/>
              </a:ext>
            </a:extLst>
          </xdr:cNvPr>
          <xdr:cNvSpPr/>
        </xdr:nvSpPr>
        <xdr:spPr>
          <a:xfrm rot="16200000">
            <a:off x="2102307" y="925284"/>
            <a:ext cx="911677" cy="176893"/>
          </a:xfrm>
          <a:prstGeom prst="round2SameRect">
            <a:avLst/>
          </a:prstGeom>
          <a:solidFill>
            <a:srgbClr val="780000"/>
          </a:solidFill>
          <a:ln>
            <a:solidFill>
              <a:srgbClr val="78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9" name="TextBox 48">
            <a:extLst>
              <a:ext uri="{FF2B5EF4-FFF2-40B4-BE49-F238E27FC236}">
                <a16:creationId xmlns:a16="http://schemas.microsoft.com/office/drawing/2014/main" id="{92FA5F77-447F-4837-8B49-1A992EC5F0DD}"/>
              </a:ext>
            </a:extLst>
          </xdr:cNvPr>
          <xdr:cNvSpPr txBox="1"/>
        </xdr:nvSpPr>
        <xdr:spPr>
          <a:xfrm>
            <a:off x="2626177" y="605516"/>
            <a:ext cx="1387929" cy="3469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a:latin typeface="MV Boli" panose="02000500030200090000" pitchFamily="2" charset="0"/>
                <a:cs typeface="MV Boli" panose="02000500030200090000" pitchFamily="2" charset="0"/>
              </a:rPr>
              <a:t>Total Calls</a:t>
            </a:r>
          </a:p>
        </xdr:txBody>
      </xdr:sp>
      <xdr:sp macro="" textlink="'Pivot Table'!A25">
        <xdr:nvSpPr>
          <xdr:cNvPr id="50" name="TextBox 49">
            <a:extLst>
              <a:ext uri="{FF2B5EF4-FFF2-40B4-BE49-F238E27FC236}">
                <a16:creationId xmlns:a16="http://schemas.microsoft.com/office/drawing/2014/main" id="{4F265B63-6C43-5B18-DBD8-8964DD0F6EAD}"/>
              </a:ext>
            </a:extLst>
          </xdr:cNvPr>
          <xdr:cNvSpPr txBox="1"/>
        </xdr:nvSpPr>
        <xdr:spPr>
          <a:xfrm>
            <a:off x="2673803" y="918479"/>
            <a:ext cx="1660073" cy="530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0AC5C63-61EE-4288-9029-0A18FE182956}" type="TxLink">
              <a:rPr lang="en-US" sz="2400" b="0" i="0" u="none" strike="noStrike">
                <a:solidFill>
                  <a:srgbClr val="000000"/>
                </a:solidFill>
                <a:latin typeface="MV Boli" panose="02000500030200090000" pitchFamily="2" charset="0"/>
                <a:cs typeface="MV Boli" panose="02000500030200090000" pitchFamily="2" charset="0"/>
              </a:rPr>
              <a:pPr algn="ctr"/>
              <a:t>1000</a:t>
            </a:fld>
            <a:endParaRPr lang="en-US" sz="2400">
              <a:latin typeface="MV Boli" panose="02000500030200090000" pitchFamily="2" charset="0"/>
              <a:cs typeface="MV Boli" panose="02000500030200090000" pitchFamily="2" charset="0"/>
            </a:endParaRPr>
          </a:p>
        </xdr:txBody>
      </xdr:sp>
      <xdr:pic>
        <xdr:nvPicPr>
          <xdr:cNvPr id="51" name="Picture 50">
            <a:extLst>
              <a:ext uri="{FF2B5EF4-FFF2-40B4-BE49-F238E27FC236}">
                <a16:creationId xmlns:a16="http://schemas.microsoft.com/office/drawing/2014/main" id="{5F347D40-7DDA-8258-7D53-5923C0D1CD3E}"/>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xdr:blipFill>
        <xdr:spPr>
          <a:xfrm>
            <a:off x="4694464" y="762000"/>
            <a:ext cx="523875" cy="523875"/>
          </a:xfrm>
          <a:prstGeom prst="rect">
            <a:avLst/>
          </a:prstGeom>
        </xdr:spPr>
      </xdr:pic>
    </xdr:grpSp>
    <xdr:clientData/>
  </xdr:twoCellAnchor>
  <xdr:twoCellAnchor editAs="oneCell">
    <xdr:from>
      <xdr:col>0</xdr:col>
      <xdr:colOff>351691</xdr:colOff>
      <xdr:row>9</xdr:row>
      <xdr:rowOff>100484</xdr:rowOff>
    </xdr:from>
    <xdr:to>
      <xdr:col>1</xdr:col>
      <xdr:colOff>778745</xdr:colOff>
      <xdr:row>19</xdr:row>
      <xdr:rowOff>41869</xdr:rowOff>
    </xdr:to>
    <mc:AlternateContent xmlns:mc="http://schemas.openxmlformats.org/markup-compatibility/2006" xmlns:a14="http://schemas.microsoft.com/office/drawing/2010/main">
      <mc:Choice Requires="a14">
        <xdr:graphicFrame macro="">
          <xdr:nvGraphicFramePr>
            <xdr:cNvPr id="52" name="Date of Call (Month)">
              <a:extLst>
                <a:ext uri="{FF2B5EF4-FFF2-40B4-BE49-F238E27FC236}">
                  <a16:creationId xmlns:a16="http://schemas.microsoft.com/office/drawing/2014/main" id="{2DC6287F-F0DB-4A8F-9502-3F2A05A17343}"/>
                </a:ext>
              </a:extLst>
            </xdr:cNvPr>
            <xdr:cNvGraphicFramePr/>
          </xdr:nvGraphicFramePr>
          <xdr:xfrm>
            <a:off x="0" y="0"/>
            <a:ext cx="0" cy="0"/>
          </xdr:xfrm>
          <a:graphic>
            <a:graphicData uri="http://schemas.microsoft.com/office/drawing/2010/slicer">
              <sle:slicer xmlns:sle="http://schemas.microsoft.com/office/drawing/2010/slicer" name="Date of Call (Month)"/>
            </a:graphicData>
          </a:graphic>
        </xdr:graphicFrame>
      </mc:Choice>
      <mc:Fallback xmlns="">
        <xdr:sp macro="" textlink="">
          <xdr:nvSpPr>
            <xdr:cNvPr id="0" name=""/>
            <xdr:cNvSpPr>
              <a:spLocks noTextEdit="1"/>
            </xdr:cNvSpPr>
          </xdr:nvSpPr>
          <xdr:spPr>
            <a:xfrm>
              <a:off x="351691" y="1833824"/>
              <a:ext cx="1390022" cy="18673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293077</xdr:colOff>
      <xdr:row>7</xdr:row>
      <xdr:rowOff>133978</xdr:rowOff>
    </xdr:from>
    <xdr:to>
      <xdr:col>1</xdr:col>
      <xdr:colOff>686636</xdr:colOff>
      <xdr:row>9</xdr:row>
      <xdr:rowOff>117231</xdr:rowOff>
    </xdr:to>
    <xdr:sp macro="" textlink="">
      <xdr:nvSpPr>
        <xdr:cNvPr id="53" name="TextBox 52">
          <a:extLst>
            <a:ext uri="{FF2B5EF4-FFF2-40B4-BE49-F238E27FC236}">
              <a16:creationId xmlns:a16="http://schemas.microsoft.com/office/drawing/2014/main" id="{63AF60AA-8904-871C-E7EE-79674953D634}"/>
            </a:ext>
          </a:extLst>
        </xdr:cNvPr>
        <xdr:cNvSpPr txBox="1"/>
      </xdr:nvSpPr>
      <xdr:spPr>
        <a:xfrm>
          <a:off x="293077" y="1482132"/>
          <a:ext cx="1356527" cy="3684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0" cap="none" spc="0">
              <a:ln w="0"/>
              <a:solidFill>
                <a:schemeClr val="tx1"/>
              </a:solidFill>
              <a:effectLst>
                <a:outerShdw blurRad="38100" dist="19050" dir="2700000" algn="tl" rotWithShape="0">
                  <a:schemeClr val="dk1">
                    <a:alpha val="40000"/>
                  </a:schemeClr>
                </a:outerShdw>
              </a:effectLst>
              <a:latin typeface="MV Boli" panose="02000500030200090000" pitchFamily="2" charset="0"/>
              <a:cs typeface="MV Boli" panose="02000500030200090000" pitchFamily="2" charset="0"/>
            </a:rPr>
            <a:t>Month</a:t>
          </a:r>
          <a:endParaRPr lang="en-US" sz="2400" b="1">
            <a:latin typeface="MV Boli" panose="02000500030200090000" pitchFamily="2" charset="0"/>
            <a:cs typeface="MV Boli" panose="02000500030200090000" pitchFamily="2" charset="0"/>
          </a:endParaRPr>
        </a:p>
      </xdr:txBody>
    </xdr:sp>
    <xdr:clientData/>
  </xdr:twoCellAnchor>
  <xdr:twoCellAnchor editAs="oneCell">
    <xdr:from>
      <xdr:col>0</xdr:col>
      <xdr:colOff>351691</xdr:colOff>
      <xdr:row>21</xdr:row>
      <xdr:rowOff>150730</xdr:rowOff>
    </xdr:from>
    <xdr:to>
      <xdr:col>1</xdr:col>
      <xdr:colOff>787120</xdr:colOff>
      <xdr:row>33</xdr:row>
      <xdr:rowOff>98961</xdr:rowOff>
    </xdr:to>
    <mc:AlternateContent xmlns:mc="http://schemas.openxmlformats.org/markup-compatibility/2006" xmlns:a14="http://schemas.microsoft.com/office/drawing/2010/main">
      <mc:Choice Requires="a14">
        <xdr:graphicFrame macro="">
          <xdr:nvGraphicFramePr>
            <xdr:cNvPr id="54" name="Day of week">
              <a:extLst>
                <a:ext uri="{FF2B5EF4-FFF2-40B4-BE49-F238E27FC236}">
                  <a16:creationId xmlns:a16="http://schemas.microsoft.com/office/drawing/2014/main" id="{52B5C24A-5790-46E4-9809-778191BBA4AA}"/>
                </a:ext>
              </a:extLst>
            </xdr:cNvPr>
            <xdr:cNvGraphicFramePr/>
          </xdr:nvGraphicFramePr>
          <xdr:xfrm>
            <a:off x="0" y="0"/>
            <a:ext cx="0" cy="0"/>
          </xdr:xfrm>
          <a:graphic>
            <a:graphicData uri="http://schemas.microsoft.com/office/drawing/2010/slicer">
              <sle:slicer xmlns:sle="http://schemas.microsoft.com/office/drawing/2010/slicer" name="Day of week"/>
            </a:graphicData>
          </a:graphic>
        </xdr:graphicFrame>
      </mc:Choice>
      <mc:Fallback xmlns="">
        <xdr:sp macro="" textlink="">
          <xdr:nvSpPr>
            <xdr:cNvPr id="0" name=""/>
            <xdr:cNvSpPr>
              <a:spLocks noTextEdit="1"/>
            </xdr:cNvSpPr>
          </xdr:nvSpPr>
          <xdr:spPr>
            <a:xfrm>
              <a:off x="351691" y="4195193"/>
              <a:ext cx="1398397" cy="209340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234461</xdr:colOff>
      <xdr:row>19</xdr:row>
      <xdr:rowOff>185898</xdr:rowOff>
    </xdr:from>
    <xdr:to>
      <xdr:col>1</xdr:col>
      <xdr:colOff>401932</xdr:colOff>
      <xdr:row>21</xdr:row>
      <xdr:rowOff>175846</xdr:rowOff>
    </xdr:to>
    <xdr:sp macro="" textlink="">
      <xdr:nvSpPr>
        <xdr:cNvPr id="56" name="TextBox 55">
          <a:extLst>
            <a:ext uri="{FF2B5EF4-FFF2-40B4-BE49-F238E27FC236}">
              <a16:creationId xmlns:a16="http://schemas.microsoft.com/office/drawing/2014/main" id="{F3F9A9F8-C76B-4A01-9C90-7C955FC3FFBE}"/>
            </a:ext>
          </a:extLst>
        </xdr:cNvPr>
        <xdr:cNvSpPr txBox="1"/>
      </xdr:nvSpPr>
      <xdr:spPr>
        <a:xfrm>
          <a:off x="234461" y="3845173"/>
          <a:ext cx="1130439" cy="3751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0" cap="none" spc="0">
              <a:ln w="0"/>
              <a:solidFill>
                <a:schemeClr val="tx1"/>
              </a:solidFill>
              <a:effectLst>
                <a:outerShdw blurRad="38100" dist="19050" dir="2700000" algn="tl" rotWithShape="0">
                  <a:schemeClr val="dk1">
                    <a:alpha val="40000"/>
                  </a:schemeClr>
                </a:outerShdw>
              </a:effectLst>
              <a:latin typeface="MV Boli" panose="02000500030200090000" pitchFamily="2" charset="0"/>
              <a:cs typeface="MV Boli" panose="02000500030200090000" pitchFamily="2" charset="0"/>
            </a:rPr>
            <a:t>Day</a:t>
          </a:r>
          <a:endParaRPr lang="en-US" sz="2800" b="0" cap="none" spc="0">
            <a:ln w="0"/>
            <a:solidFill>
              <a:schemeClr val="tx1"/>
            </a:solidFill>
            <a:effectLst>
              <a:outerShdw blurRad="38100" dist="19050" dir="2700000" algn="tl" rotWithShape="0">
                <a:schemeClr val="dk1">
                  <a:alpha val="40000"/>
                </a:schemeClr>
              </a:outerShdw>
            </a:effectLst>
            <a:latin typeface="MV Boli" panose="02000500030200090000" pitchFamily="2" charset="0"/>
            <a:cs typeface="MV Boli" panose="02000500030200090000" pitchFamily="2" charset="0"/>
          </a:endParaRPr>
        </a:p>
      </xdr:txBody>
    </xdr:sp>
    <xdr:clientData/>
  </xdr:twoCellAnchor>
  <xdr:twoCellAnchor>
    <xdr:from>
      <xdr:col>8</xdr:col>
      <xdr:colOff>396293</xdr:colOff>
      <xdr:row>8</xdr:row>
      <xdr:rowOff>92490</xdr:rowOff>
    </xdr:from>
    <xdr:to>
      <xdr:col>12</xdr:col>
      <xdr:colOff>463281</xdr:colOff>
      <xdr:row>20</xdr:row>
      <xdr:rowOff>84117</xdr:rowOff>
    </xdr:to>
    <xdr:grpSp>
      <xdr:nvGrpSpPr>
        <xdr:cNvPr id="59" name="Group 58">
          <a:extLst>
            <a:ext uri="{FF2B5EF4-FFF2-40B4-BE49-F238E27FC236}">
              <a16:creationId xmlns:a16="http://schemas.microsoft.com/office/drawing/2014/main" id="{09A140DA-DC6D-BAA1-9959-6D5329A2BA37}"/>
            </a:ext>
          </a:extLst>
        </xdr:cNvPr>
        <xdr:cNvGrpSpPr/>
      </xdr:nvGrpSpPr>
      <xdr:grpSpPr>
        <a:xfrm>
          <a:off x="8115254" y="1609893"/>
          <a:ext cx="3926468" cy="2267730"/>
          <a:chOff x="2126902" y="1582616"/>
          <a:chExt cx="4002594" cy="2696308"/>
        </a:xfrm>
      </xdr:grpSpPr>
      <xdr:sp macro="" textlink="">
        <xdr:nvSpPr>
          <xdr:cNvPr id="58" name="Rectangle: Rounded Corners 57">
            <a:extLst>
              <a:ext uri="{FF2B5EF4-FFF2-40B4-BE49-F238E27FC236}">
                <a16:creationId xmlns:a16="http://schemas.microsoft.com/office/drawing/2014/main" id="{70A3457E-1B28-D1A9-92CB-8D21EB039737}"/>
              </a:ext>
            </a:extLst>
          </xdr:cNvPr>
          <xdr:cNvSpPr/>
        </xdr:nvSpPr>
        <xdr:spPr>
          <a:xfrm>
            <a:off x="2126902" y="1582616"/>
            <a:ext cx="4002594" cy="2696308"/>
          </a:xfrm>
          <a:prstGeom prst="roundRect">
            <a:avLst>
              <a:gd name="adj" fmla="val 4555"/>
            </a:avLst>
          </a:prstGeom>
          <a:solidFill>
            <a:schemeClr val="bg1"/>
          </a:solidFill>
          <a:ln>
            <a:solidFill>
              <a:srgbClr val="78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57" name="Chart 56">
            <a:extLst>
              <a:ext uri="{FF2B5EF4-FFF2-40B4-BE49-F238E27FC236}">
                <a16:creationId xmlns:a16="http://schemas.microsoft.com/office/drawing/2014/main" id="{23224783-EBA7-4AB3-91A1-A2701B15FC30}"/>
              </a:ext>
            </a:extLst>
          </xdr:cNvPr>
          <xdr:cNvGraphicFramePr>
            <a:graphicFrameLocks/>
          </xdr:cNvGraphicFramePr>
        </xdr:nvGraphicFramePr>
        <xdr:xfrm>
          <a:off x="2185159" y="1602225"/>
          <a:ext cx="3818373" cy="2656085"/>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xdr:from>
      <xdr:col>12</xdr:col>
      <xdr:colOff>681829</xdr:colOff>
      <xdr:row>8</xdr:row>
      <xdr:rowOff>92490</xdr:rowOff>
    </xdr:from>
    <xdr:to>
      <xdr:col>16</xdr:col>
      <xdr:colOff>755518</xdr:colOff>
      <xdr:row>20</xdr:row>
      <xdr:rowOff>117611</xdr:rowOff>
    </xdr:to>
    <xdr:grpSp>
      <xdr:nvGrpSpPr>
        <xdr:cNvPr id="65" name="Group 64">
          <a:extLst>
            <a:ext uri="{FF2B5EF4-FFF2-40B4-BE49-F238E27FC236}">
              <a16:creationId xmlns:a16="http://schemas.microsoft.com/office/drawing/2014/main" id="{7EA25EB5-52A5-61A2-ECB3-E7A33B3068B3}"/>
            </a:ext>
          </a:extLst>
        </xdr:cNvPr>
        <xdr:cNvGrpSpPr/>
      </xdr:nvGrpSpPr>
      <xdr:grpSpPr>
        <a:xfrm>
          <a:off x="12260270" y="1609893"/>
          <a:ext cx="3933171" cy="2301224"/>
          <a:chOff x="6231653" y="1632854"/>
          <a:chExt cx="3925556" cy="2394860"/>
        </a:xfrm>
      </xdr:grpSpPr>
      <xdr:sp macro="" textlink="">
        <xdr:nvSpPr>
          <xdr:cNvPr id="62" name="Rectangle: Rounded Corners 61">
            <a:extLst>
              <a:ext uri="{FF2B5EF4-FFF2-40B4-BE49-F238E27FC236}">
                <a16:creationId xmlns:a16="http://schemas.microsoft.com/office/drawing/2014/main" id="{D4F887FF-6DCA-8E06-D04E-2906959C0FE2}"/>
              </a:ext>
            </a:extLst>
          </xdr:cNvPr>
          <xdr:cNvSpPr/>
        </xdr:nvSpPr>
        <xdr:spPr>
          <a:xfrm>
            <a:off x="6231653" y="1649605"/>
            <a:ext cx="3918856" cy="2378109"/>
          </a:xfrm>
          <a:prstGeom prst="roundRect">
            <a:avLst>
              <a:gd name="adj" fmla="val 4555"/>
            </a:avLst>
          </a:prstGeom>
          <a:solidFill>
            <a:schemeClr val="bg1"/>
          </a:solidFill>
          <a:ln>
            <a:solidFill>
              <a:srgbClr val="78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60" name="Chart 59">
            <a:extLst>
              <a:ext uri="{FF2B5EF4-FFF2-40B4-BE49-F238E27FC236}">
                <a16:creationId xmlns:a16="http://schemas.microsoft.com/office/drawing/2014/main" id="{9686C225-8356-49E8-A60E-465F05907942}"/>
              </a:ext>
            </a:extLst>
          </xdr:cNvPr>
          <xdr:cNvGraphicFramePr>
            <a:graphicFrameLocks/>
          </xdr:cNvGraphicFramePr>
        </xdr:nvGraphicFramePr>
        <xdr:xfrm>
          <a:off x="6271846" y="1632854"/>
          <a:ext cx="3885363" cy="2378114"/>
        </xdr:xfrm>
        <a:graphic>
          <a:graphicData uri="http://schemas.openxmlformats.org/drawingml/2006/chart">
            <c:chart xmlns:c="http://schemas.openxmlformats.org/drawingml/2006/chart" xmlns:r="http://schemas.openxmlformats.org/officeDocument/2006/relationships" r:id="rId6"/>
          </a:graphicData>
        </a:graphic>
      </xdr:graphicFrame>
    </xdr:grpSp>
    <xdr:clientData/>
  </xdr:twoCellAnchor>
  <xdr:twoCellAnchor>
    <xdr:from>
      <xdr:col>2</xdr:col>
      <xdr:colOff>1899</xdr:colOff>
      <xdr:row>8</xdr:row>
      <xdr:rowOff>25501</xdr:rowOff>
    </xdr:from>
    <xdr:to>
      <xdr:col>8</xdr:col>
      <xdr:colOff>177744</xdr:colOff>
      <xdr:row>20</xdr:row>
      <xdr:rowOff>92693</xdr:rowOff>
    </xdr:to>
    <xdr:grpSp>
      <xdr:nvGrpSpPr>
        <xdr:cNvPr id="78" name="Group 77">
          <a:extLst>
            <a:ext uri="{FF2B5EF4-FFF2-40B4-BE49-F238E27FC236}">
              <a16:creationId xmlns:a16="http://schemas.microsoft.com/office/drawing/2014/main" id="{B821DCF5-9330-B0DC-5494-3156071C4035}"/>
            </a:ext>
          </a:extLst>
        </xdr:cNvPr>
        <xdr:cNvGrpSpPr/>
      </xdr:nvGrpSpPr>
      <xdr:grpSpPr>
        <a:xfrm>
          <a:off x="1931640" y="1542904"/>
          <a:ext cx="5965065" cy="2343295"/>
          <a:chOff x="2051538" y="1590990"/>
          <a:chExt cx="5953648" cy="2378312"/>
        </a:xfrm>
      </xdr:grpSpPr>
      <xdr:sp macro="" textlink="">
        <xdr:nvSpPr>
          <xdr:cNvPr id="74" name="Rectangle: Rounded Corners 73">
            <a:extLst>
              <a:ext uri="{FF2B5EF4-FFF2-40B4-BE49-F238E27FC236}">
                <a16:creationId xmlns:a16="http://schemas.microsoft.com/office/drawing/2014/main" id="{C3658EC3-E4BE-D1F1-4245-3A50099D0958}"/>
              </a:ext>
            </a:extLst>
          </xdr:cNvPr>
          <xdr:cNvSpPr/>
        </xdr:nvSpPr>
        <xdr:spPr>
          <a:xfrm>
            <a:off x="2076659" y="1649402"/>
            <a:ext cx="5928527" cy="2319900"/>
          </a:xfrm>
          <a:prstGeom prst="roundRect">
            <a:avLst>
              <a:gd name="adj" fmla="val 4555"/>
            </a:avLst>
          </a:prstGeom>
          <a:solidFill>
            <a:schemeClr val="bg1"/>
          </a:solidFill>
          <a:ln>
            <a:solidFill>
              <a:srgbClr val="78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66" name="Chart 65">
            <a:extLst>
              <a:ext uri="{FF2B5EF4-FFF2-40B4-BE49-F238E27FC236}">
                <a16:creationId xmlns:a16="http://schemas.microsoft.com/office/drawing/2014/main" id="{0956D9F3-153D-4E46-AFAC-7B916067B74E}"/>
              </a:ext>
            </a:extLst>
          </xdr:cNvPr>
          <xdr:cNvGraphicFramePr>
            <a:graphicFrameLocks/>
          </xdr:cNvGraphicFramePr>
        </xdr:nvGraphicFramePr>
        <xdr:xfrm>
          <a:off x="2051538" y="1590990"/>
          <a:ext cx="5936902" cy="2378110"/>
        </xdr:xfrm>
        <a:graphic>
          <a:graphicData uri="http://schemas.openxmlformats.org/drawingml/2006/chart">
            <c:chart xmlns:c="http://schemas.openxmlformats.org/drawingml/2006/chart" xmlns:r="http://schemas.openxmlformats.org/officeDocument/2006/relationships" r:id="rId7"/>
          </a:graphicData>
        </a:graphic>
      </xdr:graphicFrame>
    </xdr:grpSp>
    <xdr:clientData/>
  </xdr:twoCellAnchor>
  <xdr:twoCellAnchor>
    <xdr:from>
      <xdr:col>5</xdr:col>
      <xdr:colOff>899934</xdr:colOff>
      <xdr:row>21</xdr:row>
      <xdr:rowOff>56532</xdr:rowOff>
    </xdr:from>
    <xdr:to>
      <xdr:col>9</xdr:col>
      <xdr:colOff>532135</xdr:colOff>
      <xdr:row>34</xdr:row>
      <xdr:rowOff>58616</xdr:rowOff>
    </xdr:to>
    <xdr:grpSp>
      <xdr:nvGrpSpPr>
        <xdr:cNvPr id="18" name="Group 17">
          <a:extLst>
            <a:ext uri="{FF2B5EF4-FFF2-40B4-BE49-F238E27FC236}">
              <a16:creationId xmlns:a16="http://schemas.microsoft.com/office/drawing/2014/main" id="{E5329688-51B6-57C4-5728-3550070B1506}"/>
            </a:ext>
          </a:extLst>
        </xdr:cNvPr>
        <xdr:cNvGrpSpPr/>
      </xdr:nvGrpSpPr>
      <xdr:grpSpPr>
        <a:xfrm>
          <a:off x="5724284" y="4039714"/>
          <a:ext cx="3491683" cy="2467863"/>
          <a:chOff x="6115785" y="4039714"/>
          <a:chExt cx="3491683" cy="2467863"/>
        </a:xfrm>
      </xdr:grpSpPr>
      <xdr:sp macro="" textlink="">
        <xdr:nvSpPr>
          <xdr:cNvPr id="83" name="Rectangle: Rounded Corners 82">
            <a:extLst>
              <a:ext uri="{FF2B5EF4-FFF2-40B4-BE49-F238E27FC236}">
                <a16:creationId xmlns:a16="http://schemas.microsoft.com/office/drawing/2014/main" id="{21417E5A-6844-4E76-B040-B07739332404}"/>
              </a:ext>
            </a:extLst>
          </xdr:cNvPr>
          <xdr:cNvSpPr/>
        </xdr:nvSpPr>
        <xdr:spPr>
          <a:xfrm>
            <a:off x="6115785" y="4039714"/>
            <a:ext cx="3491683" cy="2434369"/>
          </a:xfrm>
          <a:prstGeom prst="roundRect">
            <a:avLst>
              <a:gd name="adj" fmla="val 4555"/>
            </a:avLst>
          </a:prstGeom>
          <a:solidFill>
            <a:schemeClr val="bg1"/>
          </a:solidFill>
          <a:ln>
            <a:solidFill>
              <a:srgbClr val="78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82" name="Chart 81">
            <a:extLst>
              <a:ext uri="{FF2B5EF4-FFF2-40B4-BE49-F238E27FC236}">
                <a16:creationId xmlns:a16="http://schemas.microsoft.com/office/drawing/2014/main" id="{A31BD384-84CE-490A-8C6E-4367AEE40C31}"/>
              </a:ext>
            </a:extLst>
          </xdr:cNvPr>
          <xdr:cNvGraphicFramePr>
            <a:graphicFrameLocks/>
          </xdr:cNvGraphicFramePr>
        </xdr:nvGraphicFramePr>
        <xdr:xfrm>
          <a:off x="6174407" y="4083665"/>
          <a:ext cx="3400073" cy="2423912"/>
        </xdr:xfrm>
        <a:graphic>
          <a:graphicData uri="http://schemas.openxmlformats.org/drawingml/2006/chart">
            <c:chart xmlns:c="http://schemas.openxmlformats.org/drawingml/2006/chart" xmlns:r="http://schemas.openxmlformats.org/officeDocument/2006/relationships" r:id="rId8"/>
          </a:graphicData>
        </a:graphic>
      </xdr:graphicFrame>
    </xdr:grpSp>
    <xdr:clientData/>
  </xdr:twoCellAnchor>
  <xdr:twoCellAnchor>
    <xdr:from>
      <xdr:col>2</xdr:col>
      <xdr:colOff>6918</xdr:colOff>
      <xdr:row>21</xdr:row>
      <xdr:rowOff>8246</xdr:rowOff>
    </xdr:from>
    <xdr:to>
      <xdr:col>5</xdr:col>
      <xdr:colOff>750451</xdr:colOff>
      <xdr:row>34</xdr:row>
      <xdr:rowOff>41234</xdr:rowOff>
    </xdr:to>
    <xdr:grpSp>
      <xdr:nvGrpSpPr>
        <xdr:cNvPr id="11" name="Group 10">
          <a:extLst>
            <a:ext uri="{FF2B5EF4-FFF2-40B4-BE49-F238E27FC236}">
              <a16:creationId xmlns:a16="http://schemas.microsoft.com/office/drawing/2014/main" id="{1D112F3B-958A-F152-BE9E-45AB69D051F5}"/>
            </a:ext>
          </a:extLst>
        </xdr:cNvPr>
        <xdr:cNvGrpSpPr/>
      </xdr:nvGrpSpPr>
      <xdr:grpSpPr>
        <a:xfrm>
          <a:off x="1936659" y="3991428"/>
          <a:ext cx="3638142" cy="2498767"/>
          <a:chOff x="2060364" y="3991428"/>
          <a:chExt cx="3935026" cy="2498767"/>
        </a:xfrm>
      </xdr:grpSpPr>
      <xdr:sp macro="" textlink="">
        <xdr:nvSpPr>
          <xdr:cNvPr id="76" name="Rectangle: Rounded Corners 75">
            <a:extLst>
              <a:ext uri="{FF2B5EF4-FFF2-40B4-BE49-F238E27FC236}">
                <a16:creationId xmlns:a16="http://schemas.microsoft.com/office/drawing/2014/main" id="{8D59F5DC-1B90-44B0-AD7D-9F510ED777A5}"/>
              </a:ext>
            </a:extLst>
          </xdr:cNvPr>
          <xdr:cNvSpPr/>
        </xdr:nvSpPr>
        <xdr:spPr>
          <a:xfrm>
            <a:off x="2060364" y="4039714"/>
            <a:ext cx="3926468" cy="2425995"/>
          </a:xfrm>
          <a:prstGeom prst="roundRect">
            <a:avLst>
              <a:gd name="adj" fmla="val 4555"/>
            </a:avLst>
          </a:prstGeom>
          <a:solidFill>
            <a:schemeClr val="bg1"/>
          </a:solidFill>
          <a:ln>
            <a:solidFill>
              <a:srgbClr val="78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3" name="Chart 2">
            <a:extLst>
              <a:ext uri="{FF2B5EF4-FFF2-40B4-BE49-F238E27FC236}">
                <a16:creationId xmlns:a16="http://schemas.microsoft.com/office/drawing/2014/main" id="{AEEBC6E6-B20A-4A08-8B90-F86BFE259877}"/>
              </a:ext>
            </a:extLst>
          </xdr:cNvPr>
          <xdr:cNvGraphicFramePr>
            <a:graphicFrameLocks/>
          </xdr:cNvGraphicFramePr>
        </xdr:nvGraphicFramePr>
        <xdr:xfrm>
          <a:off x="2111168" y="3991428"/>
          <a:ext cx="3884222" cy="2498767"/>
        </xdr:xfrm>
        <a:graphic>
          <a:graphicData uri="http://schemas.openxmlformats.org/drawingml/2006/chart">
            <c:chart xmlns:c="http://schemas.openxmlformats.org/drawingml/2006/chart" xmlns:r="http://schemas.openxmlformats.org/officeDocument/2006/relationships" r:id="rId9"/>
          </a:graphicData>
        </a:graphic>
      </xdr:graphicFrame>
    </xdr:grpSp>
    <xdr:clientData/>
  </xdr:twoCellAnchor>
  <xdr:twoCellAnchor>
    <xdr:from>
      <xdr:col>13</xdr:col>
      <xdr:colOff>468242</xdr:colOff>
      <xdr:row>21</xdr:row>
      <xdr:rowOff>49481</xdr:rowOff>
    </xdr:from>
    <xdr:to>
      <xdr:col>16</xdr:col>
      <xdr:colOff>791675</xdr:colOff>
      <xdr:row>34</xdr:row>
      <xdr:rowOff>41234</xdr:rowOff>
    </xdr:to>
    <xdr:grpSp>
      <xdr:nvGrpSpPr>
        <xdr:cNvPr id="17" name="Group 16">
          <a:extLst>
            <a:ext uri="{FF2B5EF4-FFF2-40B4-BE49-F238E27FC236}">
              <a16:creationId xmlns:a16="http://schemas.microsoft.com/office/drawing/2014/main" id="{B4FB27D7-0AF4-90BE-B207-97EFC4743742}"/>
            </a:ext>
          </a:extLst>
        </xdr:cNvPr>
        <xdr:cNvGrpSpPr/>
      </xdr:nvGrpSpPr>
      <xdr:grpSpPr>
        <a:xfrm>
          <a:off x="13011554" y="4032663"/>
          <a:ext cx="3218044" cy="2457532"/>
          <a:chOff x="10405592" y="4016170"/>
          <a:chExt cx="3976745" cy="2482272"/>
        </a:xfrm>
      </xdr:grpSpPr>
      <xdr:sp macro="" textlink="">
        <xdr:nvSpPr>
          <xdr:cNvPr id="16" name="Rectangle: Rounded Corners 15">
            <a:extLst>
              <a:ext uri="{FF2B5EF4-FFF2-40B4-BE49-F238E27FC236}">
                <a16:creationId xmlns:a16="http://schemas.microsoft.com/office/drawing/2014/main" id="{FB001237-8DB3-4460-9D19-A00FB48CEB44}"/>
              </a:ext>
            </a:extLst>
          </xdr:cNvPr>
          <xdr:cNvSpPr/>
        </xdr:nvSpPr>
        <xdr:spPr>
          <a:xfrm>
            <a:off x="10405592" y="4033982"/>
            <a:ext cx="3926468" cy="2439720"/>
          </a:xfrm>
          <a:prstGeom prst="roundRect">
            <a:avLst>
              <a:gd name="adj" fmla="val 4555"/>
            </a:avLst>
          </a:prstGeom>
          <a:solidFill>
            <a:schemeClr val="bg1"/>
          </a:solidFill>
          <a:ln>
            <a:solidFill>
              <a:srgbClr val="78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15" name="Chart 14">
            <a:extLst>
              <a:ext uri="{FF2B5EF4-FFF2-40B4-BE49-F238E27FC236}">
                <a16:creationId xmlns:a16="http://schemas.microsoft.com/office/drawing/2014/main" id="{7D52FC9B-BF21-4D57-B82B-F86895224D6D}"/>
              </a:ext>
            </a:extLst>
          </xdr:cNvPr>
          <xdr:cNvGraphicFramePr>
            <a:graphicFrameLocks/>
          </xdr:cNvGraphicFramePr>
        </xdr:nvGraphicFramePr>
        <xdr:xfrm>
          <a:off x="10423897" y="4016170"/>
          <a:ext cx="3958440" cy="2482272"/>
        </xdr:xfrm>
        <a:graphic>
          <a:graphicData uri="http://schemas.openxmlformats.org/drawingml/2006/chart">
            <c:chart xmlns:c="http://schemas.openxmlformats.org/drawingml/2006/chart" xmlns:r="http://schemas.openxmlformats.org/officeDocument/2006/relationships" r:id="rId10"/>
          </a:graphicData>
        </a:graphic>
      </xdr:graphicFrame>
    </xdr:grpSp>
    <xdr:clientData/>
  </xdr:twoCellAnchor>
  <xdr:twoCellAnchor>
    <xdr:from>
      <xdr:col>9</xdr:col>
      <xdr:colOff>681618</xdr:colOff>
      <xdr:row>20</xdr:row>
      <xdr:rowOff>189675</xdr:rowOff>
    </xdr:from>
    <xdr:to>
      <xdr:col>13</xdr:col>
      <xdr:colOff>318760</xdr:colOff>
      <xdr:row>34</xdr:row>
      <xdr:rowOff>16494</xdr:rowOff>
    </xdr:to>
    <xdr:grpSp>
      <xdr:nvGrpSpPr>
        <xdr:cNvPr id="20" name="Group 19">
          <a:extLst>
            <a:ext uri="{FF2B5EF4-FFF2-40B4-BE49-F238E27FC236}">
              <a16:creationId xmlns:a16="http://schemas.microsoft.com/office/drawing/2014/main" id="{085C9750-C802-C19A-8145-172FF10904ED}"/>
            </a:ext>
          </a:extLst>
        </xdr:cNvPr>
        <xdr:cNvGrpSpPr/>
      </xdr:nvGrpSpPr>
      <xdr:grpSpPr>
        <a:xfrm>
          <a:off x="9365450" y="3983181"/>
          <a:ext cx="3496622" cy="2482274"/>
          <a:chOff x="12732988" y="3983182"/>
          <a:chExt cx="3496622" cy="2515259"/>
        </a:xfrm>
      </xdr:grpSpPr>
      <xdr:sp macro="" textlink="">
        <xdr:nvSpPr>
          <xdr:cNvPr id="77" name="Rectangle: Rounded Corners 76">
            <a:extLst>
              <a:ext uri="{FF2B5EF4-FFF2-40B4-BE49-F238E27FC236}">
                <a16:creationId xmlns:a16="http://schemas.microsoft.com/office/drawing/2014/main" id="{43641458-4FA9-459C-8EB2-255E199B1975}"/>
              </a:ext>
            </a:extLst>
          </xdr:cNvPr>
          <xdr:cNvSpPr/>
        </xdr:nvSpPr>
        <xdr:spPr>
          <a:xfrm>
            <a:off x="12741233" y="4030174"/>
            <a:ext cx="3471883" cy="2468267"/>
          </a:xfrm>
          <a:prstGeom prst="roundRect">
            <a:avLst>
              <a:gd name="adj" fmla="val 4555"/>
            </a:avLst>
          </a:prstGeom>
          <a:solidFill>
            <a:schemeClr val="bg1"/>
          </a:solidFill>
          <a:ln>
            <a:solidFill>
              <a:srgbClr val="78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19" name="Chart 18">
            <a:extLst>
              <a:ext uri="{FF2B5EF4-FFF2-40B4-BE49-F238E27FC236}">
                <a16:creationId xmlns:a16="http://schemas.microsoft.com/office/drawing/2014/main" id="{C92DD975-C36B-413B-B591-8C6848E6D847}"/>
              </a:ext>
            </a:extLst>
          </xdr:cNvPr>
          <xdr:cNvGraphicFramePr>
            <a:graphicFrameLocks/>
          </xdr:cNvGraphicFramePr>
        </xdr:nvGraphicFramePr>
        <xdr:xfrm>
          <a:off x="12732988" y="3983182"/>
          <a:ext cx="3496622" cy="2498766"/>
        </xdr:xfrm>
        <a:graphic>
          <a:graphicData uri="http://schemas.openxmlformats.org/drawingml/2006/chart">
            <c:chart xmlns:c="http://schemas.openxmlformats.org/drawingml/2006/chart" xmlns:r="http://schemas.openxmlformats.org/officeDocument/2006/relationships" r:id="rId11"/>
          </a:graphicData>
        </a:graphic>
      </xdr:graphicFrame>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hammed Hesham" refreshedDate="46305.97089016204" createdVersion="8" refreshedVersion="8" minRefreshableVersion="3" recordCount="1000" xr:uid="{46C4A760-0CA4-49CB-88F1-C14614988CDE}">
  <cacheSource type="worksheet">
    <worksheetSource name="CallData"/>
  </cacheSource>
  <cacheFields count="14">
    <cacheField name="Call number" numFmtId="0">
      <sharedItems/>
    </cacheField>
    <cacheField name="Customer ID" numFmtId="0">
      <sharedItems/>
    </cacheField>
    <cacheField name="Duration" numFmtId="0">
      <sharedItems containsSemiMixedTypes="0" containsString="0" containsNumber="1" containsInteger="1" minValue="2" maxValue="176"/>
    </cacheField>
    <cacheField name="Representative" numFmtId="2">
      <sharedItems/>
    </cacheField>
    <cacheField name="Date of Call" numFmtId="14">
      <sharedItems containsSemiMixedTypes="0" containsNonDate="0" containsDate="1" containsString="0" minDate="2023-01-01T00:00:00" maxDate="2024-01-01T00:00:00"/>
    </cacheField>
    <cacheField name="Purchase Amount" numFmtId="164">
      <sharedItems containsSemiMixedTypes="0" containsString="0" containsNumber="1" containsInteger="1" minValue="20" maxValue="225"/>
    </cacheField>
    <cacheField name="Satisfaction Rating" numFmtId="0">
      <sharedItems containsSemiMixedTypes="0" containsString="0" containsNumber="1" minValue="0" maxValue="5"/>
    </cacheField>
    <cacheField name="Financial Year" numFmtId="0">
      <sharedItems containsSemiMixedTypes="0" containsString="0" containsNumber="1" containsInteger="1" minValue="2023" maxValue="2024"/>
    </cacheField>
    <cacheField name="Day of week" numFmtId="0">
      <sharedItems/>
    </cacheField>
    <cacheField name="Duration Bucket" numFmtId="0">
      <sharedItems count="5">
        <s v="1 to 2 hours"/>
        <s v="More than 2 hours"/>
        <s v="30 to 60 mins"/>
        <s v="10 to 30 mins"/>
        <s v="Under 10 mins"/>
      </sharedItems>
      <fieldGroup par="13"/>
    </cacheField>
    <cacheField name="Rating rounded" numFmtId="0">
      <sharedItems containsSemiMixedTypes="0" containsString="0" containsNumber="1" containsInteger="1" minValue="0" maxValue="5"/>
    </cacheField>
    <cacheField name="Duration Category" numFmtId="0">
      <sharedItems/>
    </cacheField>
    <cacheField name="Purchase Category" numFmtId="0">
      <sharedItems/>
    </cacheField>
    <cacheField name="Duration Bucket2" numFmtId="0" databaseField="0">
      <fieldGroup base="9">
        <discretePr count="5">
          <x v="2"/>
          <x v="2"/>
          <x v="0"/>
          <x v="1"/>
          <x v="1"/>
        </discretePr>
        <groupItems count="3">
          <s v="30 to 60 mins"/>
          <s v="Group1"/>
          <s v="Group2"/>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med Hesham" refreshedDate="46306.083467013887" backgroundQuery="1" createdVersion="8" refreshedVersion="8" minRefreshableVersion="3" recordCount="0" supportSubquery="1" supportAdvancedDrill="1" xr:uid="{844817D9-4261-479A-8464-552B6DE9805D}">
  <cacheSource type="external" connectionId="1"/>
  <cacheFields count="3">
    <cacheField name="[Table_1].[Representative].[Representative]" caption="Representative" numFmtId="0" hierarchy="3" level="1">
      <sharedItems count="5">
        <s v="R01"/>
        <s v="R02"/>
        <s v="R03"/>
        <s v="R04"/>
        <s v="R05"/>
      </sharedItems>
    </cacheField>
    <cacheField name="[Measures].[Sum of Purchase Amount]" caption="Sum of Purchase Amount" numFmtId="0" hierarchy="17" level="32767"/>
    <cacheField name="[Table_1].[Day of week].[Day of week]" caption="Day of week" numFmtId="0" hierarchy="8" level="1">
      <sharedItems containsSemiMixedTypes="0" containsNonDate="0" containsString="0"/>
    </cacheField>
  </cacheFields>
  <cacheHierarchies count="28">
    <cacheHierarchy uniqueName="[Table_1].[Call number]" caption="Call number" attribute="1" defaultMemberUniqueName="[Table_1].[Call number].[All]" allUniqueName="[Table_1].[Call number].[All]" dimensionUniqueName="[Table_1]" displayFolder="" count="2" memberValueDatatype="130" unbalanced="0"/>
    <cacheHierarchy uniqueName="[Table_1].[Customer ID]" caption="Customer ID" attribute="1" defaultMemberUniqueName="[Table_1].[Customer ID].[All]" allUniqueName="[Table_1].[Customer ID].[All]" dimensionUniqueName="[Table_1]" displayFolder="" count="2" memberValueDatatype="130" unbalanced="0"/>
    <cacheHierarchy uniqueName="[Table_1].[Duration]" caption="Duration" attribute="1" defaultMemberUniqueName="[Table_1].[Duration].[All]" allUniqueName="[Table_1].[Duration].[All]" dimensionUniqueName="[Table_1]" displayFolder="" count="2" memberValueDatatype="20" unbalanced="0"/>
    <cacheHierarchy uniqueName="[Table_1].[Representative]" caption="Representative" attribute="1" defaultMemberUniqueName="[Table_1].[Representative].[All]" allUniqueName="[Table_1].[Representative].[All]" dimensionUniqueName="[Table_1]" displayFolder="" count="2" memberValueDatatype="130" unbalanced="0">
      <fieldsUsage count="2">
        <fieldUsage x="-1"/>
        <fieldUsage x="0"/>
      </fieldsUsage>
    </cacheHierarchy>
    <cacheHierarchy uniqueName="[Table_1].[Date of Call]" caption="Date of Call" attribute="1" time="1" defaultMemberUniqueName="[Table_1].[Date of Call].[All]" allUniqueName="[Table_1].[Date of Call].[All]" dimensionUniqueName="[Table_1]" displayFolder="" count="2" memberValueDatatype="7" unbalanced="0"/>
    <cacheHierarchy uniqueName="[Table_1].[Purchase Amount]" caption="Purchase Amount" attribute="1" defaultMemberUniqueName="[Table_1].[Purchase Amount].[All]" allUniqueName="[Table_1].[Purchase Amount].[All]" dimensionUniqueName="[Table_1]" displayFolder="" count="2" memberValueDatatype="20" unbalanced="0"/>
    <cacheHierarchy uniqueName="[Table_1].[Satisfaction Rating]" caption="Satisfaction Rating" attribute="1" defaultMemberUniqueName="[Table_1].[Satisfaction Rating].[All]" allUniqueName="[Table_1].[Satisfaction Rating].[All]" dimensionUniqueName="[Table_1]" displayFolder="" count="2" memberValueDatatype="5" unbalanced="0"/>
    <cacheHierarchy uniqueName="[Table_1].[Financial Year]" caption="Financial Year" attribute="1" defaultMemberUniqueName="[Table_1].[Financial Year].[All]" allUniqueName="[Table_1].[Financial Year].[All]" dimensionUniqueName="[Table_1]" displayFolder="" count="2" memberValueDatatype="20" unbalanced="0"/>
    <cacheHierarchy uniqueName="[Table_1].[Day of week]" caption="Day of week" attribute="1" defaultMemberUniqueName="[Table_1].[Day of week].[All]" allUniqueName="[Table_1].[Day of week].[All]" dimensionUniqueName="[Table_1]" displayFolder="" count="2" memberValueDatatype="130" unbalanced="0">
      <fieldsUsage count="2">
        <fieldUsage x="-1"/>
        <fieldUsage x="2"/>
      </fieldsUsage>
    </cacheHierarchy>
    <cacheHierarchy uniqueName="[Table_1].[Duration Bucket]" caption="Duration Bucket" attribute="1" defaultMemberUniqueName="[Table_1].[Duration Bucket].[All]" allUniqueName="[Table_1].[Duration Bucket].[All]" dimensionUniqueName="[Table_1]" displayFolder="" count="2" memberValueDatatype="130" unbalanced="0"/>
    <cacheHierarchy uniqueName="[Table_1].[Rating rounded]" caption="Rating rounded" attribute="1" defaultMemberUniqueName="[Table_1].[Rating rounded].[All]" allUniqueName="[Table_1].[Rating rounded].[All]" dimensionUniqueName="[Table_1]" displayFolder="" count="2" memberValueDatatype="20" unbalanced="0"/>
    <cacheHierarchy uniqueName="[Table_1].[Duration Category]" caption="Duration Category" attribute="1" defaultMemberUniqueName="[Table_1].[Duration Category].[All]" allUniqueName="[Table_1].[Duration Category].[All]" dimensionUniqueName="[Table_1]" displayFolder="" count="2" memberValueDatatype="130" unbalanced="0"/>
    <cacheHierarchy uniqueName="[Table_1].[Purchase Category]" caption="Purchase Category" attribute="1" defaultMemberUniqueName="[Table_1].[Purchase Category].[All]" allUniqueName="[Table_1].[Purchase Category].[All]" dimensionUniqueName="[Table_1]" displayFolder="" count="2" memberValueDatatype="130" unbalanced="0"/>
    <cacheHierarchy uniqueName="[Table_1].[Date of Call (Month)]" caption="Date of Call (Month)" attribute="1" defaultMemberUniqueName="[Table_1].[Date of Call (Month)].[All]" allUniqueName="[Table_1].[Date of Call (Month)].[All]" dimensionUniqueName="[Table_1]" displayFolder="" count="2" memberValueDatatype="130" unbalanced="0"/>
    <cacheHierarchy uniqueName="[Table_1].[Date of Call (Month Index)]" caption="Date of Call (Month Index)" attribute="1" defaultMemberUniqueName="[Table_1].[Date of Call (Month Index)].[All]" allUniqueName="[Table_1].[Date of Call (Month Index)].[All]" dimensionUniqueName="[Table_1]" displayFolder="" count="2" memberValueDatatype="20" unbalanced="0" hidden="1"/>
    <cacheHierarchy uniqueName="[Measures].[__XL_Count Table_1]" caption="__XL_Count Table_1" measure="1" displayFolder="" measureGroup="Table_1" count="0" hidden="1"/>
    <cacheHierarchy uniqueName="[Measures].[__No measures defined]" caption="__No measures defined" measure="1" displayFolder="" count="0" hidden="1"/>
    <cacheHierarchy uniqueName="[Measures].[Sum of Purchase Amount]" caption="Sum of Purchase Amount" measure="1" displayFolder="" measureGroup="Table_1" count="0" oneField="1" hidden="1">
      <fieldsUsage count="1">
        <fieldUsage x="1"/>
      </fieldsUsage>
      <extLst>
        <ext xmlns:x15="http://schemas.microsoft.com/office/spreadsheetml/2010/11/main" uri="{B97F6D7D-B522-45F9-BDA1-12C45D357490}">
          <x15:cacheHierarchy aggregatedColumn="5"/>
        </ext>
      </extLst>
    </cacheHierarchy>
    <cacheHierarchy uniqueName="[Measures].[Sum of Satisfaction Rating]" caption="Sum of Satisfaction Rating" measure="1" displayFolder="" measureGroup="Table_1" count="0" hidden="1">
      <extLst>
        <ext xmlns:x15="http://schemas.microsoft.com/office/spreadsheetml/2010/11/main" uri="{B97F6D7D-B522-45F9-BDA1-12C45D357490}">
          <x15:cacheHierarchy aggregatedColumn="6"/>
        </ext>
      </extLst>
    </cacheHierarchy>
    <cacheHierarchy uniqueName="[Measures].[Average of Satisfaction Rating]" caption="Average of Satisfaction Rating" measure="1" displayFolder="" measureGroup="Table_1" count="0" hidden="1">
      <extLst>
        <ext xmlns:x15="http://schemas.microsoft.com/office/spreadsheetml/2010/11/main" uri="{B97F6D7D-B522-45F9-BDA1-12C45D357490}">
          <x15:cacheHierarchy aggregatedColumn="6"/>
        </ext>
      </extLst>
    </cacheHierarchy>
    <cacheHierarchy uniqueName="[Measures].[Count of Satisfaction Rating]" caption="Count of Satisfaction Rating" measure="1" displayFolder="" measureGroup="Table_1" count="0" hidden="1">
      <extLst>
        <ext xmlns:x15="http://schemas.microsoft.com/office/spreadsheetml/2010/11/main" uri="{B97F6D7D-B522-45F9-BDA1-12C45D357490}">
          <x15:cacheHierarchy aggregatedColumn="6"/>
        </ext>
      </extLst>
    </cacheHierarchy>
    <cacheHierarchy uniqueName="[Measures].[Count of Duration Category]" caption="Count of Duration Category" measure="1" displayFolder="" measureGroup="Table_1" count="0" hidden="1">
      <extLst>
        <ext xmlns:x15="http://schemas.microsoft.com/office/spreadsheetml/2010/11/main" uri="{B97F6D7D-B522-45F9-BDA1-12C45D357490}">
          <x15:cacheHierarchy aggregatedColumn="11"/>
        </ext>
      </extLst>
    </cacheHierarchy>
    <cacheHierarchy uniqueName="[Measures].[Count of Call number]" caption="Count of Call number" measure="1" displayFolder="" measureGroup="Table_1" count="0" hidden="1">
      <extLst>
        <ext xmlns:x15="http://schemas.microsoft.com/office/spreadsheetml/2010/11/main" uri="{B97F6D7D-B522-45F9-BDA1-12C45D357490}">
          <x15:cacheHierarchy aggregatedColumn="0"/>
        </ext>
      </extLst>
    </cacheHierarchy>
    <cacheHierarchy uniqueName="[Measures].[Count of Representative]" caption="Count of Representative" measure="1" displayFolder="" measureGroup="Table_1" count="0" hidden="1">
      <extLst>
        <ext xmlns:x15="http://schemas.microsoft.com/office/spreadsheetml/2010/11/main" uri="{B97F6D7D-B522-45F9-BDA1-12C45D357490}">
          <x15:cacheHierarchy aggregatedColumn="3"/>
        </ext>
      </extLst>
    </cacheHierarchy>
    <cacheHierarchy uniqueName="[Measures].[Distinct Count of Representative]" caption="Distinct Count of Representative" measure="1" displayFolder="" measureGroup="Table_1" count="0" hidden="1">
      <extLst>
        <ext xmlns:x15="http://schemas.microsoft.com/office/spreadsheetml/2010/11/main" uri="{B97F6D7D-B522-45F9-BDA1-12C45D357490}">
          <x15:cacheHierarchy aggregatedColumn="3"/>
        </ext>
      </extLst>
    </cacheHierarchy>
    <cacheHierarchy uniqueName="[Measures].[Count of Customer ID]" caption="Count of Customer ID" measure="1" displayFolder="" measureGroup="Table_1" count="0" hidden="1">
      <extLst>
        <ext xmlns:x15="http://schemas.microsoft.com/office/spreadsheetml/2010/11/main" uri="{B97F6D7D-B522-45F9-BDA1-12C45D357490}">
          <x15:cacheHierarchy aggregatedColumn="1"/>
        </ext>
      </extLst>
    </cacheHierarchy>
    <cacheHierarchy uniqueName="[Measures].[Distinct Count of Customer ID]" caption="Distinct Count of Customer ID" measure="1" displayFolder="" measureGroup="Table_1" count="0" hidden="1">
      <extLst>
        <ext xmlns:x15="http://schemas.microsoft.com/office/spreadsheetml/2010/11/main" uri="{B97F6D7D-B522-45F9-BDA1-12C45D357490}">
          <x15:cacheHierarchy aggregatedColumn="1"/>
        </ext>
      </extLst>
    </cacheHierarchy>
    <cacheHierarchy uniqueName="[Measures].[Count of Duration Bucket]" caption="Count of Duration Bucket" measure="1" displayFolder="" measureGroup="Table_1"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Table_1" uniqueName="[Table_1]" caption="Table_1"/>
  </dimensions>
  <measureGroups count="1">
    <measureGroup name="Table_1" caption="Table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med Hesham" refreshedDate="46306.08346736111" backgroundQuery="1" createdVersion="8" refreshedVersion="8" minRefreshableVersion="3" recordCount="0" supportSubquery="1" supportAdvancedDrill="1" xr:uid="{D488336A-2B81-418A-8A1F-336BC4908186}">
  <cacheSource type="external" connectionId="1"/>
  <cacheFields count="3">
    <cacheField name="[Table_1].[Representative].[Representative]" caption="Representative" numFmtId="0" hierarchy="3" level="1">
      <sharedItems count="5">
        <s v="R01"/>
        <s v="R02"/>
        <s v="R03"/>
        <s v="R04"/>
        <s v="R05"/>
      </sharedItems>
    </cacheField>
    <cacheField name="[Measures].[Count of Call number]" caption="Count of Call number" numFmtId="0" hierarchy="22" level="32767"/>
    <cacheField name="[Table_1].[Day of week].[Day of week]" caption="Day of week" numFmtId="0" hierarchy="8" level="1">
      <sharedItems count="7">
        <s v="Friday"/>
        <s v="Monday"/>
        <s v="Saturday"/>
        <s v="Sunday"/>
        <s v="Thursday"/>
        <s v="Tuesday"/>
        <s v="Wednesday"/>
      </sharedItems>
    </cacheField>
  </cacheFields>
  <cacheHierarchies count="28">
    <cacheHierarchy uniqueName="[Table_1].[Call number]" caption="Call number" attribute="1" defaultMemberUniqueName="[Table_1].[Call number].[All]" allUniqueName="[Table_1].[Call number].[All]" dimensionUniqueName="[Table_1]" displayFolder="" count="0" memberValueDatatype="130" unbalanced="0"/>
    <cacheHierarchy uniqueName="[Table_1].[Customer ID]" caption="Customer ID" attribute="1" defaultMemberUniqueName="[Table_1].[Customer ID].[All]" allUniqueName="[Table_1].[Customer ID].[All]" dimensionUniqueName="[Table_1]" displayFolder="" count="0" memberValueDatatype="130" unbalanced="0"/>
    <cacheHierarchy uniqueName="[Table_1].[Duration]" caption="Duration" attribute="1" defaultMemberUniqueName="[Table_1].[Duration].[All]" allUniqueName="[Table_1].[Duration].[All]" dimensionUniqueName="[Table_1]" displayFolder="" count="0" memberValueDatatype="20" unbalanced="0"/>
    <cacheHierarchy uniqueName="[Table_1].[Representative]" caption="Representative" attribute="1" defaultMemberUniqueName="[Table_1].[Representative].[All]" allUniqueName="[Table_1].[Representative].[All]" dimensionUniqueName="[Table_1]" displayFolder="" count="2" memberValueDatatype="130" unbalanced="0">
      <fieldsUsage count="2">
        <fieldUsage x="-1"/>
        <fieldUsage x="0"/>
      </fieldsUsage>
    </cacheHierarchy>
    <cacheHierarchy uniqueName="[Table_1].[Date of Call]" caption="Date of Call" attribute="1" time="1" defaultMemberUniqueName="[Table_1].[Date of Call].[All]" allUniqueName="[Table_1].[Date of Call].[All]" dimensionUniqueName="[Table_1]" displayFolder="" count="0" memberValueDatatype="7" unbalanced="0"/>
    <cacheHierarchy uniqueName="[Table_1].[Purchase Amount]" caption="Purchase Amount" attribute="1" defaultMemberUniqueName="[Table_1].[Purchase Amount].[All]" allUniqueName="[Table_1].[Purchase Amount].[All]" dimensionUniqueName="[Table_1]" displayFolder="" count="0" memberValueDatatype="20" unbalanced="0"/>
    <cacheHierarchy uniqueName="[Table_1].[Satisfaction Rating]" caption="Satisfaction Rating" attribute="1" defaultMemberUniqueName="[Table_1].[Satisfaction Rating].[All]" allUniqueName="[Table_1].[Satisfaction Rating].[All]" dimensionUniqueName="[Table_1]" displayFolder="" count="0" memberValueDatatype="5" unbalanced="0"/>
    <cacheHierarchy uniqueName="[Table_1].[Financial Year]" caption="Financial Year" attribute="1" defaultMemberUniqueName="[Table_1].[Financial Year].[All]" allUniqueName="[Table_1].[Financial Year].[All]" dimensionUniqueName="[Table_1]" displayFolder="" count="0" memberValueDatatype="20" unbalanced="0"/>
    <cacheHierarchy uniqueName="[Table_1].[Day of week]" caption="Day of week" attribute="1" defaultMemberUniqueName="[Table_1].[Day of week].[All]" allUniqueName="[Table_1].[Day of week].[All]" dimensionUniqueName="[Table_1]" displayFolder="" count="2" memberValueDatatype="130" unbalanced="0">
      <fieldsUsage count="2">
        <fieldUsage x="-1"/>
        <fieldUsage x="2"/>
      </fieldsUsage>
    </cacheHierarchy>
    <cacheHierarchy uniqueName="[Table_1].[Duration Bucket]" caption="Duration Bucket" attribute="1" defaultMemberUniqueName="[Table_1].[Duration Bucket].[All]" allUniqueName="[Table_1].[Duration Bucket].[All]" dimensionUniqueName="[Table_1]" displayFolder="" count="0" memberValueDatatype="130" unbalanced="0"/>
    <cacheHierarchy uniqueName="[Table_1].[Rating rounded]" caption="Rating rounded" attribute="1" defaultMemberUniqueName="[Table_1].[Rating rounded].[All]" allUniqueName="[Table_1].[Rating rounded].[All]" dimensionUniqueName="[Table_1]" displayFolder="" count="0" memberValueDatatype="20" unbalanced="0"/>
    <cacheHierarchy uniqueName="[Table_1].[Duration Category]" caption="Duration Category" attribute="1" defaultMemberUniqueName="[Table_1].[Duration Category].[All]" allUniqueName="[Table_1].[Duration Category].[All]" dimensionUniqueName="[Table_1]" displayFolder="" count="0" memberValueDatatype="130" unbalanced="0"/>
    <cacheHierarchy uniqueName="[Table_1].[Purchase Category]" caption="Purchase Category" attribute="1" defaultMemberUniqueName="[Table_1].[Purchase Category].[All]" allUniqueName="[Table_1].[Purchase Category].[All]" dimensionUniqueName="[Table_1]" displayFolder="" count="0" memberValueDatatype="130" unbalanced="0"/>
    <cacheHierarchy uniqueName="[Table_1].[Date of Call (Month)]" caption="Date of Call (Month)" attribute="1" defaultMemberUniqueName="[Table_1].[Date of Call (Month)].[All]" allUniqueName="[Table_1].[Date of Call (Month)].[All]" dimensionUniqueName="[Table_1]" displayFolder="" count="2" memberValueDatatype="130" unbalanced="0"/>
    <cacheHierarchy uniqueName="[Table_1].[Date of Call (Month Index)]" caption="Date of Call (Month Index)" attribute="1" defaultMemberUniqueName="[Table_1].[Date of Call (Month Index)].[All]" allUniqueName="[Table_1].[Date of Call (Month Index)].[All]" dimensionUniqueName="[Table_1]" displayFolder="" count="0" memberValueDatatype="20" unbalanced="0" hidden="1"/>
    <cacheHierarchy uniqueName="[Measures].[__XL_Count Table_1]" caption="__XL_Count Table_1" measure="1" displayFolder="" measureGroup="Table_1" count="0" hidden="1"/>
    <cacheHierarchy uniqueName="[Measures].[__No measures defined]" caption="__No measures defined" measure="1" displayFolder="" count="0" hidden="1"/>
    <cacheHierarchy uniqueName="[Measures].[Sum of Purchase Amount]" caption="Sum of Purchase Amount" measure="1" displayFolder="" measureGroup="Table_1" count="0" hidden="1">
      <extLst>
        <ext xmlns:x15="http://schemas.microsoft.com/office/spreadsheetml/2010/11/main" uri="{B97F6D7D-B522-45F9-BDA1-12C45D357490}">
          <x15:cacheHierarchy aggregatedColumn="5"/>
        </ext>
      </extLst>
    </cacheHierarchy>
    <cacheHierarchy uniqueName="[Measures].[Sum of Satisfaction Rating]" caption="Sum of Satisfaction Rating" measure="1" displayFolder="" measureGroup="Table_1" count="0" hidden="1">
      <extLst>
        <ext xmlns:x15="http://schemas.microsoft.com/office/spreadsheetml/2010/11/main" uri="{B97F6D7D-B522-45F9-BDA1-12C45D357490}">
          <x15:cacheHierarchy aggregatedColumn="6"/>
        </ext>
      </extLst>
    </cacheHierarchy>
    <cacheHierarchy uniqueName="[Measures].[Average of Satisfaction Rating]" caption="Average of Satisfaction Rating" measure="1" displayFolder="" measureGroup="Table_1" count="0" hidden="1">
      <extLst>
        <ext xmlns:x15="http://schemas.microsoft.com/office/spreadsheetml/2010/11/main" uri="{B97F6D7D-B522-45F9-BDA1-12C45D357490}">
          <x15:cacheHierarchy aggregatedColumn="6"/>
        </ext>
      </extLst>
    </cacheHierarchy>
    <cacheHierarchy uniqueName="[Measures].[Count of Satisfaction Rating]" caption="Count of Satisfaction Rating" measure="1" displayFolder="" measureGroup="Table_1" count="0" hidden="1">
      <extLst>
        <ext xmlns:x15="http://schemas.microsoft.com/office/spreadsheetml/2010/11/main" uri="{B97F6D7D-B522-45F9-BDA1-12C45D357490}">
          <x15:cacheHierarchy aggregatedColumn="6"/>
        </ext>
      </extLst>
    </cacheHierarchy>
    <cacheHierarchy uniqueName="[Measures].[Count of Duration Category]" caption="Count of Duration Category" measure="1" displayFolder="" measureGroup="Table_1" count="0" hidden="1">
      <extLst>
        <ext xmlns:x15="http://schemas.microsoft.com/office/spreadsheetml/2010/11/main" uri="{B97F6D7D-B522-45F9-BDA1-12C45D357490}">
          <x15:cacheHierarchy aggregatedColumn="11"/>
        </ext>
      </extLst>
    </cacheHierarchy>
    <cacheHierarchy uniqueName="[Measures].[Count of Call number]" caption="Count of Call number" measure="1" displayFolder="" measureGroup="Table_1"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Representative]" caption="Count of Representative" measure="1" displayFolder="" measureGroup="Table_1" count="0" hidden="1">
      <extLst>
        <ext xmlns:x15="http://schemas.microsoft.com/office/spreadsheetml/2010/11/main" uri="{B97F6D7D-B522-45F9-BDA1-12C45D357490}">
          <x15:cacheHierarchy aggregatedColumn="3"/>
        </ext>
      </extLst>
    </cacheHierarchy>
    <cacheHierarchy uniqueName="[Measures].[Distinct Count of Representative]" caption="Distinct Count of Representative" measure="1" displayFolder="" measureGroup="Table_1" count="0" hidden="1">
      <extLst>
        <ext xmlns:x15="http://schemas.microsoft.com/office/spreadsheetml/2010/11/main" uri="{B97F6D7D-B522-45F9-BDA1-12C45D357490}">
          <x15:cacheHierarchy aggregatedColumn="3"/>
        </ext>
      </extLst>
    </cacheHierarchy>
    <cacheHierarchy uniqueName="[Measures].[Count of Customer ID]" caption="Count of Customer ID" measure="1" displayFolder="" measureGroup="Table_1" count="0" hidden="1">
      <extLst>
        <ext xmlns:x15="http://schemas.microsoft.com/office/spreadsheetml/2010/11/main" uri="{B97F6D7D-B522-45F9-BDA1-12C45D357490}">
          <x15:cacheHierarchy aggregatedColumn="1"/>
        </ext>
      </extLst>
    </cacheHierarchy>
    <cacheHierarchy uniqueName="[Measures].[Distinct Count of Customer ID]" caption="Distinct Count of Customer ID" measure="1" displayFolder="" measureGroup="Table_1" count="0" hidden="1">
      <extLst>
        <ext xmlns:x15="http://schemas.microsoft.com/office/spreadsheetml/2010/11/main" uri="{B97F6D7D-B522-45F9-BDA1-12C45D357490}">
          <x15:cacheHierarchy aggregatedColumn="1"/>
        </ext>
      </extLst>
    </cacheHierarchy>
    <cacheHierarchy uniqueName="[Measures].[Count of Duration Bucket]" caption="Count of Duration Bucket" measure="1" displayFolder="" measureGroup="Table_1"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Table_1" uniqueName="[Table_1]" caption="Table_1"/>
  </dimensions>
  <measureGroups count="1">
    <measureGroup name="Table_1" caption="Table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med Hesham" refreshedDate="46306.083467824072" backgroundQuery="1" createdVersion="8" refreshedVersion="8" minRefreshableVersion="3" recordCount="0" supportSubquery="1" supportAdvancedDrill="1" xr:uid="{28056944-D345-4F18-8561-87F96E216DB9}">
  <cacheSource type="external" connectionId="1"/>
  <cacheFields count="5">
    <cacheField name="[Measures].[Count of Call number]" caption="Count of Call number" numFmtId="0" hierarchy="22" level="32767"/>
    <cacheField name="[Measures].[Distinct Count of Representative]" caption="Distinct Count of Representative" numFmtId="0" hierarchy="24" level="32767"/>
    <cacheField name="[Measures].[Sum of Purchase Amount]" caption="Sum of Purchase Amount" numFmtId="0" hierarchy="17" level="32767"/>
    <cacheField name="[Measures].[Distinct Count of Customer ID]" caption="Distinct Count of Customer ID" numFmtId="0" hierarchy="26" level="32767"/>
    <cacheField name="[Table_1].[Day of week].[Day of week]" caption="Day of week" numFmtId="0" hierarchy="8" level="1">
      <sharedItems containsSemiMixedTypes="0" containsNonDate="0" containsString="0"/>
    </cacheField>
  </cacheFields>
  <cacheHierarchies count="28">
    <cacheHierarchy uniqueName="[Table_1].[Call number]" caption="Call number" attribute="1" defaultMemberUniqueName="[Table_1].[Call number].[All]" allUniqueName="[Table_1].[Call number].[All]" dimensionUniqueName="[Table_1]" displayFolder="" count="0" memberValueDatatype="130" unbalanced="0"/>
    <cacheHierarchy uniqueName="[Table_1].[Customer ID]" caption="Customer ID" attribute="1" defaultMemberUniqueName="[Table_1].[Customer ID].[All]" allUniqueName="[Table_1].[Customer ID].[All]" dimensionUniqueName="[Table_1]" displayFolder="" count="0" memberValueDatatype="130" unbalanced="0"/>
    <cacheHierarchy uniqueName="[Table_1].[Duration]" caption="Duration" attribute="1" defaultMemberUniqueName="[Table_1].[Duration].[All]" allUniqueName="[Table_1].[Duration].[All]" dimensionUniqueName="[Table_1]" displayFolder="" count="0" memberValueDatatype="20" unbalanced="0"/>
    <cacheHierarchy uniqueName="[Table_1].[Representative]" caption="Representative" attribute="1" defaultMemberUniqueName="[Table_1].[Representative].[All]" allUniqueName="[Table_1].[Representative].[All]" dimensionUniqueName="[Table_1]" displayFolder="" count="0" memberValueDatatype="130" unbalanced="0"/>
    <cacheHierarchy uniqueName="[Table_1].[Date of Call]" caption="Date of Call" attribute="1" time="1" defaultMemberUniqueName="[Table_1].[Date of Call].[All]" allUniqueName="[Table_1].[Date of Call].[All]" dimensionUniqueName="[Table_1]" displayFolder="" count="0" memberValueDatatype="7" unbalanced="0"/>
    <cacheHierarchy uniqueName="[Table_1].[Purchase Amount]" caption="Purchase Amount" attribute="1" defaultMemberUniqueName="[Table_1].[Purchase Amount].[All]" allUniqueName="[Table_1].[Purchase Amount].[All]" dimensionUniqueName="[Table_1]" displayFolder="" count="0" memberValueDatatype="20" unbalanced="0"/>
    <cacheHierarchy uniqueName="[Table_1].[Satisfaction Rating]" caption="Satisfaction Rating" attribute="1" defaultMemberUniqueName="[Table_1].[Satisfaction Rating].[All]" allUniqueName="[Table_1].[Satisfaction Rating].[All]" dimensionUniqueName="[Table_1]" displayFolder="" count="0" memberValueDatatype="5" unbalanced="0"/>
    <cacheHierarchy uniqueName="[Table_1].[Financial Year]" caption="Financial Year" attribute="1" defaultMemberUniqueName="[Table_1].[Financial Year].[All]" allUniqueName="[Table_1].[Financial Year].[All]" dimensionUniqueName="[Table_1]" displayFolder="" count="0" memberValueDatatype="20" unbalanced="0"/>
    <cacheHierarchy uniqueName="[Table_1].[Day of week]" caption="Day of week" attribute="1" defaultMemberUniqueName="[Table_1].[Day of week].[All]" allUniqueName="[Table_1].[Day of week].[All]" dimensionUniqueName="[Table_1]" displayFolder="" count="2" memberValueDatatype="130" unbalanced="0">
      <fieldsUsage count="2">
        <fieldUsage x="-1"/>
        <fieldUsage x="4"/>
      </fieldsUsage>
    </cacheHierarchy>
    <cacheHierarchy uniqueName="[Table_1].[Duration Bucket]" caption="Duration Bucket" attribute="1" defaultMemberUniqueName="[Table_1].[Duration Bucket].[All]" allUniqueName="[Table_1].[Duration Bucket].[All]" dimensionUniqueName="[Table_1]" displayFolder="" count="0" memberValueDatatype="130" unbalanced="0"/>
    <cacheHierarchy uniqueName="[Table_1].[Rating rounded]" caption="Rating rounded" attribute="1" defaultMemberUniqueName="[Table_1].[Rating rounded].[All]" allUniqueName="[Table_1].[Rating rounded].[All]" dimensionUniqueName="[Table_1]" displayFolder="" count="0" memberValueDatatype="20" unbalanced="0"/>
    <cacheHierarchy uniqueName="[Table_1].[Duration Category]" caption="Duration Category" attribute="1" defaultMemberUniqueName="[Table_1].[Duration Category].[All]" allUniqueName="[Table_1].[Duration Category].[All]" dimensionUniqueName="[Table_1]" displayFolder="" count="0" memberValueDatatype="130" unbalanced="0"/>
    <cacheHierarchy uniqueName="[Table_1].[Purchase Category]" caption="Purchase Category" attribute="1" defaultMemberUniqueName="[Table_1].[Purchase Category].[All]" allUniqueName="[Table_1].[Purchase Category].[All]" dimensionUniqueName="[Table_1]" displayFolder="" count="0" memberValueDatatype="130" unbalanced="0"/>
    <cacheHierarchy uniqueName="[Table_1].[Date of Call (Month)]" caption="Date of Call (Month)" attribute="1" defaultMemberUniqueName="[Table_1].[Date of Call (Month)].[All]" allUniqueName="[Table_1].[Date of Call (Month)].[All]" dimensionUniqueName="[Table_1]" displayFolder="" count="2" memberValueDatatype="130" unbalanced="0"/>
    <cacheHierarchy uniqueName="[Table_1].[Date of Call (Month Index)]" caption="Date of Call (Month Index)" attribute="1" defaultMemberUniqueName="[Table_1].[Date of Call (Month Index)].[All]" allUniqueName="[Table_1].[Date of Call (Month Index)].[All]" dimensionUniqueName="[Table_1]" displayFolder="" count="0" memberValueDatatype="20" unbalanced="0" hidden="1"/>
    <cacheHierarchy uniqueName="[Measures].[__XL_Count Table_1]" caption="__XL_Count Table_1" measure="1" displayFolder="" measureGroup="Table_1" count="0" hidden="1"/>
    <cacheHierarchy uniqueName="[Measures].[__No measures defined]" caption="__No measures defined" measure="1" displayFolder="" count="0" hidden="1"/>
    <cacheHierarchy uniqueName="[Measures].[Sum of Purchase Amount]" caption="Sum of Purchase Amount" measure="1" displayFolder="" measureGroup="Table_1" count="0" oneField="1" hidden="1">
      <fieldsUsage count="1">
        <fieldUsage x="2"/>
      </fieldsUsage>
      <extLst>
        <ext xmlns:x15="http://schemas.microsoft.com/office/spreadsheetml/2010/11/main" uri="{B97F6D7D-B522-45F9-BDA1-12C45D357490}">
          <x15:cacheHierarchy aggregatedColumn="5"/>
        </ext>
      </extLst>
    </cacheHierarchy>
    <cacheHierarchy uniqueName="[Measures].[Sum of Satisfaction Rating]" caption="Sum of Satisfaction Rating" measure="1" displayFolder="" measureGroup="Table_1" count="0" hidden="1">
      <extLst>
        <ext xmlns:x15="http://schemas.microsoft.com/office/spreadsheetml/2010/11/main" uri="{B97F6D7D-B522-45F9-BDA1-12C45D357490}">
          <x15:cacheHierarchy aggregatedColumn="6"/>
        </ext>
      </extLst>
    </cacheHierarchy>
    <cacheHierarchy uniqueName="[Measures].[Average of Satisfaction Rating]" caption="Average of Satisfaction Rating" measure="1" displayFolder="" measureGroup="Table_1" count="0" hidden="1">
      <extLst>
        <ext xmlns:x15="http://schemas.microsoft.com/office/spreadsheetml/2010/11/main" uri="{B97F6D7D-B522-45F9-BDA1-12C45D357490}">
          <x15:cacheHierarchy aggregatedColumn="6"/>
        </ext>
      </extLst>
    </cacheHierarchy>
    <cacheHierarchy uniqueName="[Measures].[Count of Satisfaction Rating]" caption="Count of Satisfaction Rating" measure="1" displayFolder="" measureGroup="Table_1" count="0" hidden="1">
      <extLst>
        <ext xmlns:x15="http://schemas.microsoft.com/office/spreadsheetml/2010/11/main" uri="{B97F6D7D-B522-45F9-BDA1-12C45D357490}">
          <x15:cacheHierarchy aggregatedColumn="6"/>
        </ext>
      </extLst>
    </cacheHierarchy>
    <cacheHierarchy uniqueName="[Measures].[Count of Duration Category]" caption="Count of Duration Category" measure="1" displayFolder="" measureGroup="Table_1" count="0" hidden="1">
      <extLst>
        <ext xmlns:x15="http://schemas.microsoft.com/office/spreadsheetml/2010/11/main" uri="{B97F6D7D-B522-45F9-BDA1-12C45D357490}">
          <x15:cacheHierarchy aggregatedColumn="11"/>
        </ext>
      </extLst>
    </cacheHierarchy>
    <cacheHierarchy uniqueName="[Measures].[Count of Call number]" caption="Count of Call number" measure="1" displayFolder="" measureGroup="Table_1"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Representative]" caption="Count of Representative" measure="1" displayFolder="" measureGroup="Table_1" count="0" hidden="1">
      <extLst>
        <ext xmlns:x15="http://schemas.microsoft.com/office/spreadsheetml/2010/11/main" uri="{B97F6D7D-B522-45F9-BDA1-12C45D357490}">
          <x15:cacheHierarchy aggregatedColumn="3"/>
        </ext>
      </extLst>
    </cacheHierarchy>
    <cacheHierarchy uniqueName="[Measures].[Distinct Count of Representative]" caption="Distinct Count of Representative" measure="1" displayFolder="" measureGroup="Table_1" count="0" oneField="1" hidden="1">
      <fieldsUsage count="1">
        <fieldUsage x="1"/>
      </fieldsUsage>
      <extLst>
        <ext xmlns:x15="http://schemas.microsoft.com/office/spreadsheetml/2010/11/main" uri="{B97F6D7D-B522-45F9-BDA1-12C45D357490}">
          <x15:cacheHierarchy aggregatedColumn="3"/>
        </ext>
      </extLst>
    </cacheHierarchy>
    <cacheHierarchy uniqueName="[Measures].[Count of Customer ID]" caption="Count of Customer ID" measure="1" displayFolder="" measureGroup="Table_1" count="0" hidden="1">
      <extLst>
        <ext xmlns:x15="http://schemas.microsoft.com/office/spreadsheetml/2010/11/main" uri="{B97F6D7D-B522-45F9-BDA1-12C45D357490}">
          <x15:cacheHierarchy aggregatedColumn="1"/>
        </ext>
      </extLst>
    </cacheHierarchy>
    <cacheHierarchy uniqueName="[Measures].[Distinct Count of Customer ID]" caption="Distinct Count of Customer ID" measure="1" displayFolder="" measureGroup="Table_1" count="0" oneField="1" hidden="1">
      <fieldsUsage count="1">
        <fieldUsage x="3"/>
      </fieldsUsage>
      <extLst>
        <ext xmlns:x15="http://schemas.microsoft.com/office/spreadsheetml/2010/11/main" uri="{B97F6D7D-B522-45F9-BDA1-12C45D357490}">
          <x15:cacheHierarchy aggregatedColumn="1"/>
        </ext>
      </extLst>
    </cacheHierarchy>
    <cacheHierarchy uniqueName="[Measures].[Count of Duration Bucket]" caption="Count of Duration Bucket" measure="1" displayFolder="" measureGroup="Table_1"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Table_1" uniqueName="[Table_1]" caption="Table_1"/>
  </dimensions>
  <measureGroups count="1">
    <measureGroup name="Table_1" caption="Table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med Hesham" refreshedDate="46306.083468171295" backgroundQuery="1" createdVersion="8" refreshedVersion="8" minRefreshableVersion="3" recordCount="0" supportSubquery="1" supportAdvancedDrill="1" xr:uid="{8D3F945D-1B76-437C-932C-A88D091F9864}">
  <cacheSource type="external" connectionId="1"/>
  <cacheFields count="3">
    <cacheField name="[Table_1].[Day of week].[Day of week]" caption="Day of week" numFmtId="0" hierarchy="8" level="1">
      <sharedItems count="7">
        <s v="Friday"/>
        <s v="Monday"/>
        <s v="Saturday"/>
        <s v="Sunday"/>
        <s v="Thursday"/>
        <s v="Tuesday"/>
        <s v="Wednesday"/>
      </sharedItems>
    </cacheField>
    <cacheField name="[Measures].[Sum of Purchase Amount]" caption="Sum of Purchase Amount" numFmtId="0" hierarchy="17" level="32767"/>
    <cacheField name="[Table_1].[Date of Call (Month)].[Date of Call (Month)]" caption="Date of Call (Month)" numFmtId="0" hierarchy="13" level="1">
      <sharedItems count="12">
        <s v="Jan"/>
        <s v="Feb"/>
        <s v="Mar"/>
        <s v="Apr"/>
        <s v="May"/>
        <s v="Jun"/>
        <s v="Jul"/>
        <s v="Aug"/>
        <s v="Sep"/>
        <s v="Oct"/>
        <s v="Nov"/>
        <s v="Dec"/>
      </sharedItems>
    </cacheField>
  </cacheFields>
  <cacheHierarchies count="28">
    <cacheHierarchy uniqueName="[Table_1].[Call number]" caption="Call number" attribute="1" defaultMemberUniqueName="[Table_1].[Call number].[All]" allUniqueName="[Table_1].[Call number].[All]" dimensionUniqueName="[Table_1]" displayFolder="" count="0" memberValueDatatype="130" unbalanced="0"/>
    <cacheHierarchy uniqueName="[Table_1].[Customer ID]" caption="Customer ID" attribute="1" defaultMemberUniqueName="[Table_1].[Customer ID].[All]" allUniqueName="[Table_1].[Customer ID].[All]" dimensionUniqueName="[Table_1]" displayFolder="" count="0" memberValueDatatype="130" unbalanced="0"/>
    <cacheHierarchy uniqueName="[Table_1].[Duration]" caption="Duration" attribute="1" defaultMemberUniqueName="[Table_1].[Duration].[All]" allUniqueName="[Table_1].[Duration].[All]" dimensionUniqueName="[Table_1]" displayFolder="" count="0" memberValueDatatype="20" unbalanced="0"/>
    <cacheHierarchy uniqueName="[Table_1].[Representative]" caption="Representative" attribute="1" defaultMemberUniqueName="[Table_1].[Representative].[All]" allUniqueName="[Table_1].[Representative].[All]" dimensionUniqueName="[Table_1]" displayFolder="" count="0" memberValueDatatype="130" unbalanced="0"/>
    <cacheHierarchy uniqueName="[Table_1].[Date of Call]" caption="Date of Call" attribute="1" time="1" defaultMemberUniqueName="[Table_1].[Date of Call].[All]" allUniqueName="[Table_1].[Date of Call].[All]" dimensionUniqueName="[Table_1]" displayFolder="" count="0" memberValueDatatype="7" unbalanced="0"/>
    <cacheHierarchy uniqueName="[Table_1].[Purchase Amount]" caption="Purchase Amount" attribute="1" defaultMemberUniqueName="[Table_1].[Purchase Amount].[All]" allUniqueName="[Table_1].[Purchase Amount].[All]" dimensionUniqueName="[Table_1]" displayFolder="" count="0" memberValueDatatype="20" unbalanced="0"/>
    <cacheHierarchy uniqueName="[Table_1].[Satisfaction Rating]" caption="Satisfaction Rating" attribute="1" defaultMemberUniqueName="[Table_1].[Satisfaction Rating].[All]" allUniqueName="[Table_1].[Satisfaction Rating].[All]" dimensionUniqueName="[Table_1]" displayFolder="" count="0" memberValueDatatype="5" unbalanced="0"/>
    <cacheHierarchy uniqueName="[Table_1].[Financial Year]" caption="Financial Year" attribute="1" defaultMemberUniqueName="[Table_1].[Financial Year].[All]" allUniqueName="[Table_1].[Financial Year].[All]" dimensionUniqueName="[Table_1]" displayFolder="" count="0" memberValueDatatype="20" unbalanced="0"/>
    <cacheHierarchy uniqueName="[Table_1].[Day of week]" caption="Day of week" attribute="1" defaultMemberUniqueName="[Table_1].[Day of week].[All]" allUniqueName="[Table_1].[Day of week].[All]" dimensionUniqueName="[Table_1]" displayFolder="" count="2" memberValueDatatype="130" unbalanced="0">
      <fieldsUsage count="2">
        <fieldUsage x="-1"/>
        <fieldUsage x="0"/>
      </fieldsUsage>
    </cacheHierarchy>
    <cacheHierarchy uniqueName="[Table_1].[Duration Bucket]" caption="Duration Bucket" attribute="1" defaultMemberUniqueName="[Table_1].[Duration Bucket].[All]" allUniqueName="[Table_1].[Duration Bucket].[All]" dimensionUniqueName="[Table_1]" displayFolder="" count="0" memberValueDatatype="130" unbalanced="0"/>
    <cacheHierarchy uniqueName="[Table_1].[Rating rounded]" caption="Rating rounded" attribute="1" defaultMemberUniqueName="[Table_1].[Rating rounded].[All]" allUniqueName="[Table_1].[Rating rounded].[All]" dimensionUniqueName="[Table_1]" displayFolder="" count="0" memberValueDatatype="20" unbalanced="0"/>
    <cacheHierarchy uniqueName="[Table_1].[Duration Category]" caption="Duration Category" attribute="1" defaultMemberUniqueName="[Table_1].[Duration Category].[All]" allUniqueName="[Table_1].[Duration Category].[All]" dimensionUniqueName="[Table_1]" displayFolder="" count="0" memberValueDatatype="130" unbalanced="0"/>
    <cacheHierarchy uniqueName="[Table_1].[Purchase Category]" caption="Purchase Category" attribute="1" defaultMemberUniqueName="[Table_1].[Purchase Category].[All]" allUniqueName="[Table_1].[Purchase Category].[All]" dimensionUniqueName="[Table_1]" displayFolder="" count="0" memberValueDatatype="130" unbalanced="0"/>
    <cacheHierarchy uniqueName="[Table_1].[Date of Call (Month)]" caption="Date of Call (Month)" attribute="1" defaultMemberUniqueName="[Table_1].[Date of Call (Month)].[All]" allUniqueName="[Table_1].[Date of Call (Month)].[All]" dimensionUniqueName="[Table_1]" displayFolder="" count="2" memberValueDatatype="130" unbalanced="0">
      <fieldsUsage count="2">
        <fieldUsage x="-1"/>
        <fieldUsage x="2"/>
      </fieldsUsage>
    </cacheHierarchy>
    <cacheHierarchy uniqueName="[Table_1].[Date of Call (Month Index)]" caption="Date of Call (Month Index)" attribute="1" defaultMemberUniqueName="[Table_1].[Date of Call (Month Index)].[All]" allUniqueName="[Table_1].[Date of Call (Month Index)].[All]" dimensionUniqueName="[Table_1]" displayFolder="" count="0" memberValueDatatype="20" unbalanced="0" hidden="1"/>
    <cacheHierarchy uniqueName="[Measures].[__XL_Count Table_1]" caption="__XL_Count Table_1" measure="1" displayFolder="" measureGroup="Table_1" count="0" hidden="1"/>
    <cacheHierarchy uniqueName="[Measures].[__No measures defined]" caption="__No measures defined" measure="1" displayFolder="" count="0" hidden="1"/>
    <cacheHierarchy uniqueName="[Measures].[Sum of Purchase Amount]" caption="Sum of Purchase Amount" measure="1" displayFolder="" measureGroup="Table_1" count="0" oneField="1" hidden="1">
      <fieldsUsage count="1">
        <fieldUsage x="1"/>
      </fieldsUsage>
      <extLst>
        <ext xmlns:x15="http://schemas.microsoft.com/office/spreadsheetml/2010/11/main" uri="{B97F6D7D-B522-45F9-BDA1-12C45D357490}">
          <x15:cacheHierarchy aggregatedColumn="5"/>
        </ext>
      </extLst>
    </cacheHierarchy>
    <cacheHierarchy uniqueName="[Measures].[Sum of Satisfaction Rating]" caption="Sum of Satisfaction Rating" measure="1" displayFolder="" measureGroup="Table_1" count="0" hidden="1">
      <extLst>
        <ext xmlns:x15="http://schemas.microsoft.com/office/spreadsheetml/2010/11/main" uri="{B97F6D7D-B522-45F9-BDA1-12C45D357490}">
          <x15:cacheHierarchy aggregatedColumn="6"/>
        </ext>
      </extLst>
    </cacheHierarchy>
    <cacheHierarchy uniqueName="[Measures].[Average of Satisfaction Rating]" caption="Average of Satisfaction Rating" measure="1" displayFolder="" measureGroup="Table_1" count="0" hidden="1">
      <extLst>
        <ext xmlns:x15="http://schemas.microsoft.com/office/spreadsheetml/2010/11/main" uri="{B97F6D7D-B522-45F9-BDA1-12C45D357490}">
          <x15:cacheHierarchy aggregatedColumn="6"/>
        </ext>
      </extLst>
    </cacheHierarchy>
    <cacheHierarchy uniqueName="[Measures].[Count of Satisfaction Rating]" caption="Count of Satisfaction Rating" measure="1" displayFolder="" measureGroup="Table_1" count="0" hidden="1">
      <extLst>
        <ext xmlns:x15="http://schemas.microsoft.com/office/spreadsheetml/2010/11/main" uri="{B97F6D7D-B522-45F9-BDA1-12C45D357490}">
          <x15:cacheHierarchy aggregatedColumn="6"/>
        </ext>
      </extLst>
    </cacheHierarchy>
    <cacheHierarchy uniqueName="[Measures].[Count of Duration Category]" caption="Count of Duration Category" measure="1" displayFolder="" measureGroup="Table_1" count="0" hidden="1">
      <extLst>
        <ext xmlns:x15="http://schemas.microsoft.com/office/spreadsheetml/2010/11/main" uri="{B97F6D7D-B522-45F9-BDA1-12C45D357490}">
          <x15:cacheHierarchy aggregatedColumn="11"/>
        </ext>
      </extLst>
    </cacheHierarchy>
    <cacheHierarchy uniqueName="[Measures].[Count of Call number]" caption="Count of Call number" measure="1" displayFolder="" measureGroup="Table_1" count="0" hidden="1">
      <extLst>
        <ext xmlns:x15="http://schemas.microsoft.com/office/spreadsheetml/2010/11/main" uri="{B97F6D7D-B522-45F9-BDA1-12C45D357490}">
          <x15:cacheHierarchy aggregatedColumn="0"/>
        </ext>
      </extLst>
    </cacheHierarchy>
    <cacheHierarchy uniqueName="[Measures].[Count of Representative]" caption="Count of Representative" measure="1" displayFolder="" measureGroup="Table_1" count="0" hidden="1">
      <extLst>
        <ext xmlns:x15="http://schemas.microsoft.com/office/spreadsheetml/2010/11/main" uri="{B97F6D7D-B522-45F9-BDA1-12C45D357490}">
          <x15:cacheHierarchy aggregatedColumn="3"/>
        </ext>
      </extLst>
    </cacheHierarchy>
    <cacheHierarchy uniqueName="[Measures].[Distinct Count of Representative]" caption="Distinct Count of Representative" measure="1" displayFolder="" measureGroup="Table_1" count="0" hidden="1">
      <extLst>
        <ext xmlns:x15="http://schemas.microsoft.com/office/spreadsheetml/2010/11/main" uri="{B97F6D7D-B522-45F9-BDA1-12C45D357490}">
          <x15:cacheHierarchy aggregatedColumn="3"/>
        </ext>
      </extLst>
    </cacheHierarchy>
    <cacheHierarchy uniqueName="[Measures].[Count of Customer ID]" caption="Count of Customer ID" measure="1" displayFolder="" measureGroup="Table_1" count="0" hidden="1">
      <extLst>
        <ext xmlns:x15="http://schemas.microsoft.com/office/spreadsheetml/2010/11/main" uri="{B97F6D7D-B522-45F9-BDA1-12C45D357490}">
          <x15:cacheHierarchy aggregatedColumn="1"/>
        </ext>
      </extLst>
    </cacheHierarchy>
    <cacheHierarchy uniqueName="[Measures].[Distinct Count of Customer ID]" caption="Distinct Count of Customer ID" measure="1" displayFolder="" measureGroup="Table_1" count="0" hidden="1">
      <extLst>
        <ext xmlns:x15="http://schemas.microsoft.com/office/spreadsheetml/2010/11/main" uri="{B97F6D7D-B522-45F9-BDA1-12C45D357490}">
          <x15:cacheHierarchy aggregatedColumn="1"/>
        </ext>
      </extLst>
    </cacheHierarchy>
    <cacheHierarchy uniqueName="[Measures].[Count of Duration Bucket]" caption="Count of Duration Bucket" measure="1" displayFolder="" measureGroup="Table_1"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Table_1" uniqueName="[Table_1]" caption="Table_1"/>
  </dimensions>
  <measureGroups count="1">
    <measureGroup name="Table_1" caption="Table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med Hesham" refreshedDate="46306.083468750003" backgroundQuery="1" createdVersion="8" refreshedVersion="8" minRefreshableVersion="3" recordCount="0" supportSubquery="1" supportAdvancedDrill="1" xr:uid="{BB3FB44B-5A64-4E10-A69A-34B6F00C4082}">
  <cacheSource type="external" connectionId="1"/>
  <cacheFields count="3">
    <cacheField name="[Table_1].[Representative].[Representative]" caption="Representative" numFmtId="0" hierarchy="3" level="1">
      <sharedItems count="5">
        <s v="R01"/>
        <s v="R02"/>
        <s v="R03"/>
        <s v="R04"/>
        <s v="R05"/>
      </sharedItems>
    </cacheField>
    <cacheField name="[Measures].[Average of Satisfaction Rating]" caption="Average of Satisfaction Rating" numFmtId="0" hierarchy="19" level="32767"/>
    <cacheField name="[Table_1].[Day of week].[Day of week]" caption="Day of week" numFmtId="0" hierarchy="8" level="1">
      <sharedItems containsSemiMixedTypes="0" containsNonDate="0" containsString="0"/>
    </cacheField>
  </cacheFields>
  <cacheHierarchies count="28">
    <cacheHierarchy uniqueName="[Table_1].[Call number]" caption="Call number" attribute="1" defaultMemberUniqueName="[Table_1].[Call number].[All]" allUniqueName="[Table_1].[Call number].[All]" dimensionUniqueName="[Table_1]" displayFolder="" count="0" memberValueDatatype="130" unbalanced="0"/>
    <cacheHierarchy uniqueName="[Table_1].[Customer ID]" caption="Customer ID" attribute="1" defaultMemberUniqueName="[Table_1].[Customer ID].[All]" allUniqueName="[Table_1].[Customer ID].[All]" dimensionUniqueName="[Table_1]" displayFolder="" count="0" memberValueDatatype="130" unbalanced="0"/>
    <cacheHierarchy uniqueName="[Table_1].[Duration]" caption="Duration" attribute="1" defaultMemberUniqueName="[Table_1].[Duration].[All]" allUniqueName="[Table_1].[Duration].[All]" dimensionUniqueName="[Table_1]" displayFolder="" count="0" memberValueDatatype="20" unbalanced="0"/>
    <cacheHierarchy uniqueName="[Table_1].[Representative]" caption="Representative" attribute="1" defaultMemberUniqueName="[Table_1].[Representative].[All]" allUniqueName="[Table_1].[Representative].[All]" dimensionUniqueName="[Table_1]" displayFolder="" count="2" memberValueDatatype="130" unbalanced="0">
      <fieldsUsage count="2">
        <fieldUsage x="-1"/>
        <fieldUsage x="0"/>
      </fieldsUsage>
    </cacheHierarchy>
    <cacheHierarchy uniqueName="[Table_1].[Date of Call]" caption="Date of Call" attribute="1" time="1" defaultMemberUniqueName="[Table_1].[Date of Call].[All]" allUniqueName="[Table_1].[Date of Call].[All]" dimensionUniqueName="[Table_1]" displayFolder="" count="0" memberValueDatatype="7" unbalanced="0"/>
    <cacheHierarchy uniqueName="[Table_1].[Purchase Amount]" caption="Purchase Amount" attribute="1" defaultMemberUniqueName="[Table_1].[Purchase Amount].[All]" allUniqueName="[Table_1].[Purchase Amount].[All]" dimensionUniqueName="[Table_1]" displayFolder="" count="0" memberValueDatatype="20" unbalanced="0"/>
    <cacheHierarchy uniqueName="[Table_1].[Satisfaction Rating]" caption="Satisfaction Rating" attribute="1" defaultMemberUniqueName="[Table_1].[Satisfaction Rating].[All]" allUniqueName="[Table_1].[Satisfaction Rating].[All]" dimensionUniqueName="[Table_1]" displayFolder="" count="0" memberValueDatatype="5" unbalanced="0"/>
    <cacheHierarchy uniqueName="[Table_1].[Financial Year]" caption="Financial Year" attribute="1" defaultMemberUniqueName="[Table_1].[Financial Year].[All]" allUniqueName="[Table_1].[Financial Year].[All]" dimensionUniqueName="[Table_1]" displayFolder="" count="0" memberValueDatatype="20" unbalanced="0"/>
    <cacheHierarchy uniqueName="[Table_1].[Day of week]" caption="Day of week" attribute="1" defaultMemberUniqueName="[Table_1].[Day of week].[All]" allUniqueName="[Table_1].[Day of week].[All]" dimensionUniqueName="[Table_1]" displayFolder="" count="2" memberValueDatatype="130" unbalanced="0">
      <fieldsUsage count="2">
        <fieldUsage x="-1"/>
        <fieldUsage x="2"/>
      </fieldsUsage>
    </cacheHierarchy>
    <cacheHierarchy uniqueName="[Table_1].[Duration Bucket]" caption="Duration Bucket" attribute="1" defaultMemberUniqueName="[Table_1].[Duration Bucket].[All]" allUniqueName="[Table_1].[Duration Bucket].[All]" dimensionUniqueName="[Table_1]" displayFolder="" count="0" memberValueDatatype="130" unbalanced="0"/>
    <cacheHierarchy uniqueName="[Table_1].[Rating rounded]" caption="Rating rounded" attribute="1" defaultMemberUniqueName="[Table_1].[Rating rounded].[All]" allUniqueName="[Table_1].[Rating rounded].[All]" dimensionUniqueName="[Table_1]" displayFolder="" count="0" memberValueDatatype="20" unbalanced="0"/>
    <cacheHierarchy uniqueName="[Table_1].[Duration Category]" caption="Duration Category" attribute="1" defaultMemberUniqueName="[Table_1].[Duration Category].[All]" allUniqueName="[Table_1].[Duration Category].[All]" dimensionUniqueName="[Table_1]" displayFolder="" count="0" memberValueDatatype="130" unbalanced="0"/>
    <cacheHierarchy uniqueName="[Table_1].[Purchase Category]" caption="Purchase Category" attribute="1" defaultMemberUniqueName="[Table_1].[Purchase Category].[All]" allUniqueName="[Table_1].[Purchase Category].[All]" dimensionUniqueName="[Table_1]" displayFolder="" count="0" memberValueDatatype="130" unbalanced="0"/>
    <cacheHierarchy uniqueName="[Table_1].[Date of Call (Month)]" caption="Date of Call (Month)" attribute="1" defaultMemberUniqueName="[Table_1].[Date of Call (Month)].[All]" allUniqueName="[Table_1].[Date of Call (Month)].[All]" dimensionUniqueName="[Table_1]" displayFolder="" count="2" memberValueDatatype="130" unbalanced="0"/>
    <cacheHierarchy uniqueName="[Table_1].[Date of Call (Month Index)]" caption="Date of Call (Month Index)" attribute="1" defaultMemberUniqueName="[Table_1].[Date of Call (Month Index)].[All]" allUniqueName="[Table_1].[Date of Call (Month Index)].[All]" dimensionUniqueName="[Table_1]" displayFolder="" count="0" memberValueDatatype="20" unbalanced="0" hidden="1"/>
    <cacheHierarchy uniqueName="[Measures].[__XL_Count Table_1]" caption="__XL_Count Table_1" measure="1" displayFolder="" measureGroup="Table_1" count="0" hidden="1"/>
    <cacheHierarchy uniqueName="[Measures].[__No measures defined]" caption="__No measures defined" measure="1" displayFolder="" count="0" hidden="1"/>
    <cacheHierarchy uniqueName="[Measures].[Sum of Purchase Amount]" caption="Sum of Purchase Amount" measure="1" displayFolder="" measureGroup="Table_1" count="0" hidden="1">
      <extLst>
        <ext xmlns:x15="http://schemas.microsoft.com/office/spreadsheetml/2010/11/main" uri="{B97F6D7D-B522-45F9-BDA1-12C45D357490}">
          <x15:cacheHierarchy aggregatedColumn="5"/>
        </ext>
      </extLst>
    </cacheHierarchy>
    <cacheHierarchy uniqueName="[Measures].[Sum of Satisfaction Rating]" caption="Sum of Satisfaction Rating" measure="1" displayFolder="" measureGroup="Table_1" count="0" hidden="1">
      <extLst>
        <ext xmlns:x15="http://schemas.microsoft.com/office/spreadsheetml/2010/11/main" uri="{B97F6D7D-B522-45F9-BDA1-12C45D357490}">
          <x15:cacheHierarchy aggregatedColumn="6"/>
        </ext>
      </extLst>
    </cacheHierarchy>
    <cacheHierarchy uniqueName="[Measures].[Average of Satisfaction Rating]" caption="Average of Satisfaction Rating" measure="1" displayFolder="" measureGroup="Table_1" count="0" oneField="1" hidden="1">
      <fieldsUsage count="1">
        <fieldUsage x="1"/>
      </fieldsUsage>
      <extLst>
        <ext xmlns:x15="http://schemas.microsoft.com/office/spreadsheetml/2010/11/main" uri="{B97F6D7D-B522-45F9-BDA1-12C45D357490}">
          <x15:cacheHierarchy aggregatedColumn="6"/>
        </ext>
      </extLst>
    </cacheHierarchy>
    <cacheHierarchy uniqueName="[Measures].[Count of Satisfaction Rating]" caption="Count of Satisfaction Rating" measure="1" displayFolder="" measureGroup="Table_1" count="0" hidden="1">
      <extLst>
        <ext xmlns:x15="http://schemas.microsoft.com/office/spreadsheetml/2010/11/main" uri="{B97F6D7D-B522-45F9-BDA1-12C45D357490}">
          <x15:cacheHierarchy aggregatedColumn="6"/>
        </ext>
      </extLst>
    </cacheHierarchy>
    <cacheHierarchy uniqueName="[Measures].[Count of Duration Category]" caption="Count of Duration Category" measure="1" displayFolder="" measureGroup="Table_1" count="0" hidden="1">
      <extLst>
        <ext xmlns:x15="http://schemas.microsoft.com/office/spreadsheetml/2010/11/main" uri="{B97F6D7D-B522-45F9-BDA1-12C45D357490}">
          <x15:cacheHierarchy aggregatedColumn="11"/>
        </ext>
      </extLst>
    </cacheHierarchy>
    <cacheHierarchy uniqueName="[Measures].[Count of Call number]" caption="Count of Call number" measure="1" displayFolder="" measureGroup="Table_1" count="0" hidden="1">
      <extLst>
        <ext xmlns:x15="http://schemas.microsoft.com/office/spreadsheetml/2010/11/main" uri="{B97F6D7D-B522-45F9-BDA1-12C45D357490}">
          <x15:cacheHierarchy aggregatedColumn="0"/>
        </ext>
      </extLst>
    </cacheHierarchy>
    <cacheHierarchy uniqueName="[Measures].[Count of Representative]" caption="Count of Representative" measure="1" displayFolder="" measureGroup="Table_1" count="0" hidden="1">
      <extLst>
        <ext xmlns:x15="http://schemas.microsoft.com/office/spreadsheetml/2010/11/main" uri="{B97F6D7D-B522-45F9-BDA1-12C45D357490}">
          <x15:cacheHierarchy aggregatedColumn="3"/>
        </ext>
      </extLst>
    </cacheHierarchy>
    <cacheHierarchy uniqueName="[Measures].[Distinct Count of Representative]" caption="Distinct Count of Representative" measure="1" displayFolder="" measureGroup="Table_1" count="0" hidden="1">
      <extLst>
        <ext xmlns:x15="http://schemas.microsoft.com/office/spreadsheetml/2010/11/main" uri="{B97F6D7D-B522-45F9-BDA1-12C45D357490}">
          <x15:cacheHierarchy aggregatedColumn="3"/>
        </ext>
      </extLst>
    </cacheHierarchy>
    <cacheHierarchy uniqueName="[Measures].[Count of Customer ID]" caption="Count of Customer ID" measure="1" displayFolder="" measureGroup="Table_1" count="0" hidden="1">
      <extLst>
        <ext xmlns:x15="http://schemas.microsoft.com/office/spreadsheetml/2010/11/main" uri="{B97F6D7D-B522-45F9-BDA1-12C45D357490}">
          <x15:cacheHierarchy aggregatedColumn="1"/>
        </ext>
      </extLst>
    </cacheHierarchy>
    <cacheHierarchy uniqueName="[Measures].[Distinct Count of Customer ID]" caption="Distinct Count of Customer ID" measure="1" displayFolder="" measureGroup="Table_1" count="0" hidden="1">
      <extLst>
        <ext xmlns:x15="http://schemas.microsoft.com/office/spreadsheetml/2010/11/main" uri="{B97F6D7D-B522-45F9-BDA1-12C45D357490}">
          <x15:cacheHierarchy aggregatedColumn="1"/>
        </ext>
      </extLst>
    </cacheHierarchy>
    <cacheHierarchy uniqueName="[Measures].[Count of Duration Bucket]" caption="Count of Duration Bucket" measure="1" displayFolder="" measureGroup="Table_1"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Table_1" uniqueName="[Table_1]" caption="Table_1"/>
  </dimensions>
  <measureGroups count="1">
    <measureGroup name="Table_1" caption="Table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med Hesham" refreshedDate="46306.083469212965" backgroundQuery="1" createdVersion="8" refreshedVersion="8" minRefreshableVersion="3" recordCount="0" supportSubquery="1" supportAdvancedDrill="1" xr:uid="{9125F28B-1CC5-48DC-9002-97BE4B09C639}">
  <cacheSource type="external" connectionId="1"/>
  <cacheFields count="3">
    <cacheField name="[Table_1].[Duration Category].[Duration Category]" caption="Duration Category" numFmtId="0" hierarchy="11" level="1">
      <sharedItems count="4">
        <s v="Long"/>
        <s v="Medium"/>
        <s v="Short"/>
        <s v="Very Short"/>
      </sharedItems>
    </cacheField>
    <cacheField name="[Measures].[Count of Duration Category]" caption="Count of Duration Category" numFmtId="0" hierarchy="21" level="32767"/>
    <cacheField name="[Table_1].[Day of week].[Day of week]" caption="Day of week" numFmtId="0" hierarchy="8" level="1">
      <sharedItems containsSemiMixedTypes="0" containsNonDate="0" containsString="0"/>
    </cacheField>
  </cacheFields>
  <cacheHierarchies count="28">
    <cacheHierarchy uniqueName="[Table_1].[Call number]" caption="Call number" attribute="1" defaultMemberUniqueName="[Table_1].[Call number].[All]" allUniqueName="[Table_1].[Call number].[All]" dimensionUniqueName="[Table_1]" displayFolder="" count="0" memberValueDatatype="130" unbalanced="0"/>
    <cacheHierarchy uniqueName="[Table_1].[Customer ID]" caption="Customer ID" attribute="1" defaultMemberUniqueName="[Table_1].[Customer ID].[All]" allUniqueName="[Table_1].[Customer ID].[All]" dimensionUniqueName="[Table_1]" displayFolder="" count="0" memberValueDatatype="130" unbalanced="0"/>
    <cacheHierarchy uniqueName="[Table_1].[Duration]" caption="Duration" attribute="1" defaultMemberUniqueName="[Table_1].[Duration].[All]" allUniqueName="[Table_1].[Duration].[All]" dimensionUniqueName="[Table_1]" displayFolder="" count="0" memberValueDatatype="20" unbalanced="0"/>
    <cacheHierarchy uniqueName="[Table_1].[Representative]" caption="Representative" attribute="1" defaultMemberUniqueName="[Table_1].[Representative].[All]" allUniqueName="[Table_1].[Representative].[All]" dimensionUniqueName="[Table_1]" displayFolder="" count="0" memberValueDatatype="130" unbalanced="0"/>
    <cacheHierarchy uniqueName="[Table_1].[Date of Call]" caption="Date of Call" attribute="1" time="1" defaultMemberUniqueName="[Table_1].[Date of Call].[All]" allUniqueName="[Table_1].[Date of Call].[All]" dimensionUniqueName="[Table_1]" displayFolder="" count="0" memberValueDatatype="7" unbalanced="0"/>
    <cacheHierarchy uniqueName="[Table_1].[Purchase Amount]" caption="Purchase Amount" attribute="1" defaultMemberUniqueName="[Table_1].[Purchase Amount].[All]" allUniqueName="[Table_1].[Purchase Amount].[All]" dimensionUniqueName="[Table_1]" displayFolder="" count="0" memberValueDatatype="20" unbalanced="0"/>
    <cacheHierarchy uniqueName="[Table_1].[Satisfaction Rating]" caption="Satisfaction Rating" attribute="1" defaultMemberUniqueName="[Table_1].[Satisfaction Rating].[All]" allUniqueName="[Table_1].[Satisfaction Rating].[All]" dimensionUniqueName="[Table_1]" displayFolder="" count="0" memberValueDatatype="5" unbalanced="0"/>
    <cacheHierarchy uniqueName="[Table_1].[Financial Year]" caption="Financial Year" attribute="1" defaultMemberUniqueName="[Table_1].[Financial Year].[All]" allUniqueName="[Table_1].[Financial Year].[All]" dimensionUniqueName="[Table_1]" displayFolder="" count="0" memberValueDatatype="20" unbalanced="0"/>
    <cacheHierarchy uniqueName="[Table_1].[Day of week]" caption="Day of week" attribute="1" defaultMemberUniqueName="[Table_1].[Day of week].[All]" allUniqueName="[Table_1].[Day of week].[All]" dimensionUniqueName="[Table_1]" displayFolder="" count="2" memberValueDatatype="130" unbalanced="0">
      <fieldsUsage count="2">
        <fieldUsage x="-1"/>
        <fieldUsage x="2"/>
      </fieldsUsage>
    </cacheHierarchy>
    <cacheHierarchy uniqueName="[Table_1].[Duration Bucket]" caption="Duration Bucket" attribute="1" defaultMemberUniqueName="[Table_1].[Duration Bucket].[All]" allUniqueName="[Table_1].[Duration Bucket].[All]" dimensionUniqueName="[Table_1]" displayFolder="" count="0" memberValueDatatype="130" unbalanced="0"/>
    <cacheHierarchy uniqueName="[Table_1].[Rating rounded]" caption="Rating rounded" attribute="1" defaultMemberUniqueName="[Table_1].[Rating rounded].[All]" allUniqueName="[Table_1].[Rating rounded].[All]" dimensionUniqueName="[Table_1]" displayFolder="" count="0" memberValueDatatype="20" unbalanced="0"/>
    <cacheHierarchy uniqueName="[Table_1].[Duration Category]" caption="Duration Category" attribute="1" defaultMemberUniqueName="[Table_1].[Duration Category].[All]" allUniqueName="[Table_1].[Duration Category].[All]" dimensionUniqueName="[Table_1]" displayFolder="" count="2" memberValueDatatype="130" unbalanced="0">
      <fieldsUsage count="2">
        <fieldUsage x="-1"/>
        <fieldUsage x="0"/>
      </fieldsUsage>
    </cacheHierarchy>
    <cacheHierarchy uniqueName="[Table_1].[Purchase Category]" caption="Purchase Category" attribute="1" defaultMemberUniqueName="[Table_1].[Purchase Category].[All]" allUniqueName="[Table_1].[Purchase Category].[All]" dimensionUniqueName="[Table_1]" displayFolder="" count="0" memberValueDatatype="130" unbalanced="0"/>
    <cacheHierarchy uniqueName="[Table_1].[Date of Call (Month)]" caption="Date of Call (Month)" attribute="1" defaultMemberUniqueName="[Table_1].[Date of Call (Month)].[All]" allUniqueName="[Table_1].[Date of Call (Month)].[All]" dimensionUniqueName="[Table_1]" displayFolder="" count="2" memberValueDatatype="130" unbalanced="0"/>
    <cacheHierarchy uniqueName="[Table_1].[Date of Call (Month Index)]" caption="Date of Call (Month Index)" attribute="1" defaultMemberUniqueName="[Table_1].[Date of Call (Month Index)].[All]" allUniqueName="[Table_1].[Date of Call (Month Index)].[All]" dimensionUniqueName="[Table_1]" displayFolder="" count="0" memberValueDatatype="20" unbalanced="0" hidden="1"/>
    <cacheHierarchy uniqueName="[Measures].[__XL_Count Table_1]" caption="__XL_Count Table_1" measure="1" displayFolder="" measureGroup="Table_1" count="0" hidden="1"/>
    <cacheHierarchy uniqueName="[Measures].[__No measures defined]" caption="__No measures defined" measure="1" displayFolder="" count="0" hidden="1"/>
    <cacheHierarchy uniqueName="[Measures].[Sum of Purchase Amount]" caption="Sum of Purchase Amount" measure="1" displayFolder="" measureGroup="Table_1" count="0" hidden="1">
      <extLst>
        <ext xmlns:x15="http://schemas.microsoft.com/office/spreadsheetml/2010/11/main" uri="{B97F6D7D-B522-45F9-BDA1-12C45D357490}">
          <x15:cacheHierarchy aggregatedColumn="5"/>
        </ext>
      </extLst>
    </cacheHierarchy>
    <cacheHierarchy uniqueName="[Measures].[Sum of Satisfaction Rating]" caption="Sum of Satisfaction Rating" measure="1" displayFolder="" measureGroup="Table_1" count="0" hidden="1">
      <extLst>
        <ext xmlns:x15="http://schemas.microsoft.com/office/spreadsheetml/2010/11/main" uri="{B97F6D7D-B522-45F9-BDA1-12C45D357490}">
          <x15:cacheHierarchy aggregatedColumn="6"/>
        </ext>
      </extLst>
    </cacheHierarchy>
    <cacheHierarchy uniqueName="[Measures].[Average of Satisfaction Rating]" caption="Average of Satisfaction Rating" measure="1" displayFolder="" measureGroup="Table_1" count="0" hidden="1">
      <extLst>
        <ext xmlns:x15="http://schemas.microsoft.com/office/spreadsheetml/2010/11/main" uri="{B97F6D7D-B522-45F9-BDA1-12C45D357490}">
          <x15:cacheHierarchy aggregatedColumn="6"/>
        </ext>
      </extLst>
    </cacheHierarchy>
    <cacheHierarchy uniqueName="[Measures].[Count of Satisfaction Rating]" caption="Count of Satisfaction Rating" measure="1" displayFolder="" measureGroup="Table_1" count="0" hidden="1">
      <extLst>
        <ext xmlns:x15="http://schemas.microsoft.com/office/spreadsheetml/2010/11/main" uri="{B97F6D7D-B522-45F9-BDA1-12C45D357490}">
          <x15:cacheHierarchy aggregatedColumn="6"/>
        </ext>
      </extLst>
    </cacheHierarchy>
    <cacheHierarchy uniqueName="[Measures].[Count of Duration Category]" caption="Count of Duration Category" measure="1" displayFolder="" measureGroup="Table_1" count="0" oneField="1" hidden="1">
      <fieldsUsage count="1">
        <fieldUsage x="1"/>
      </fieldsUsage>
      <extLst>
        <ext xmlns:x15="http://schemas.microsoft.com/office/spreadsheetml/2010/11/main" uri="{B97F6D7D-B522-45F9-BDA1-12C45D357490}">
          <x15:cacheHierarchy aggregatedColumn="11"/>
        </ext>
      </extLst>
    </cacheHierarchy>
    <cacheHierarchy uniqueName="[Measures].[Count of Call number]" caption="Count of Call number" measure="1" displayFolder="" measureGroup="Table_1" count="0" hidden="1">
      <extLst>
        <ext xmlns:x15="http://schemas.microsoft.com/office/spreadsheetml/2010/11/main" uri="{B97F6D7D-B522-45F9-BDA1-12C45D357490}">
          <x15:cacheHierarchy aggregatedColumn="0"/>
        </ext>
      </extLst>
    </cacheHierarchy>
    <cacheHierarchy uniqueName="[Measures].[Count of Representative]" caption="Count of Representative" measure="1" displayFolder="" measureGroup="Table_1" count="0" hidden="1">
      <extLst>
        <ext xmlns:x15="http://schemas.microsoft.com/office/spreadsheetml/2010/11/main" uri="{B97F6D7D-B522-45F9-BDA1-12C45D357490}">
          <x15:cacheHierarchy aggregatedColumn="3"/>
        </ext>
      </extLst>
    </cacheHierarchy>
    <cacheHierarchy uniqueName="[Measures].[Distinct Count of Representative]" caption="Distinct Count of Representative" measure="1" displayFolder="" measureGroup="Table_1" count="0" hidden="1">
      <extLst>
        <ext xmlns:x15="http://schemas.microsoft.com/office/spreadsheetml/2010/11/main" uri="{B97F6D7D-B522-45F9-BDA1-12C45D357490}">
          <x15:cacheHierarchy aggregatedColumn="3"/>
        </ext>
      </extLst>
    </cacheHierarchy>
    <cacheHierarchy uniqueName="[Measures].[Count of Customer ID]" caption="Count of Customer ID" measure="1" displayFolder="" measureGroup="Table_1" count="0" hidden="1">
      <extLst>
        <ext xmlns:x15="http://schemas.microsoft.com/office/spreadsheetml/2010/11/main" uri="{B97F6D7D-B522-45F9-BDA1-12C45D357490}">
          <x15:cacheHierarchy aggregatedColumn="1"/>
        </ext>
      </extLst>
    </cacheHierarchy>
    <cacheHierarchy uniqueName="[Measures].[Distinct Count of Customer ID]" caption="Distinct Count of Customer ID" measure="1" displayFolder="" measureGroup="Table_1" count="0" hidden="1">
      <extLst>
        <ext xmlns:x15="http://schemas.microsoft.com/office/spreadsheetml/2010/11/main" uri="{B97F6D7D-B522-45F9-BDA1-12C45D357490}">
          <x15:cacheHierarchy aggregatedColumn="1"/>
        </ext>
      </extLst>
    </cacheHierarchy>
    <cacheHierarchy uniqueName="[Measures].[Count of Duration Bucket]" caption="Count of Duration Bucket" measure="1" displayFolder="" measureGroup="Table_1"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Table_1" uniqueName="[Table_1]" caption="Table_1"/>
  </dimensions>
  <measureGroups count="1">
    <measureGroup name="Table_1" caption="Table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med Hesham" refreshedDate="46306.083469907404" backgroundQuery="1" createdVersion="8" refreshedVersion="8" minRefreshableVersion="3" recordCount="0" supportSubquery="1" supportAdvancedDrill="1" xr:uid="{5E292125-9C04-4F9C-B263-E4D8AFC9DE65}">
  <cacheSource type="external" connectionId="1"/>
  <cacheFields count="2">
    <cacheField name="[Table_1].[Day of week].[Day of week]" caption="Day of week" numFmtId="0" hierarchy="8" level="1">
      <sharedItems count="7">
        <s v="Friday"/>
        <s v="Monday"/>
        <s v="Saturday"/>
        <s v="Sunday"/>
        <s v="Thursday"/>
        <s v="Tuesday"/>
        <s v="Wednesday"/>
      </sharedItems>
    </cacheField>
    <cacheField name="[Measures].[Sum of Purchase Amount]" caption="Sum of Purchase Amount" numFmtId="0" hierarchy="17" level="32767"/>
  </cacheFields>
  <cacheHierarchies count="28">
    <cacheHierarchy uniqueName="[Table_1].[Call number]" caption="Call number" attribute="1" defaultMemberUniqueName="[Table_1].[Call number].[All]" allUniqueName="[Table_1].[Call number].[All]" dimensionUniqueName="[Table_1]" displayFolder="" count="0" memberValueDatatype="130" unbalanced="0"/>
    <cacheHierarchy uniqueName="[Table_1].[Customer ID]" caption="Customer ID" attribute="1" defaultMemberUniqueName="[Table_1].[Customer ID].[All]" allUniqueName="[Table_1].[Customer ID].[All]" dimensionUniqueName="[Table_1]" displayFolder="" count="0" memberValueDatatype="130" unbalanced="0"/>
    <cacheHierarchy uniqueName="[Table_1].[Duration]" caption="Duration" attribute="1" defaultMemberUniqueName="[Table_1].[Duration].[All]" allUniqueName="[Table_1].[Duration].[All]" dimensionUniqueName="[Table_1]" displayFolder="" count="0" memberValueDatatype="20" unbalanced="0"/>
    <cacheHierarchy uniqueName="[Table_1].[Representative]" caption="Representative" attribute="1" defaultMemberUniqueName="[Table_1].[Representative].[All]" allUniqueName="[Table_1].[Representative].[All]" dimensionUniqueName="[Table_1]" displayFolder="" count="0" memberValueDatatype="130" unbalanced="0"/>
    <cacheHierarchy uniqueName="[Table_1].[Date of Call]" caption="Date of Call" attribute="1" time="1" defaultMemberUniqueName="[Table_1].[Date of Call].[All]" allUniqueName="[Table_1].[Date of Call].[All]" dimensionUniqueName="[Table_1]" displayFolder="" count="0" memberValueDatatype="7" unbalanced="0"/>
    <cacheHierarchy uniqueName="[Table_1].[Purchase Amount]" caption="Purchase Amount" attribute="1" defaultMemberUniqueName="[Table_1].[Purchase Amount].[All]" allUniqueName="[Table_1].[Purchase Amount].[All]" dimensionUniqueName="[Table_1]" displayFolder="" count="0" memberValueDatatype="20" unbalanced="0"/>
    <cacheHierarchy uniqueName="[Table_1].[Satisfaction Rating]" caption="Satisfaction Rating" attribute="1" defaultMemberUniqueName="[Table_1].[Satisfaction Rating].[All]" allUniqueName="[Table_1].[Satisfaction Rating].[All]" dimensionUniqueName="[Table_1]" displayFolder="" count="0" memberValueDatatype="5" unbalanced="0"/>
    <cacheHierarchy uniqueName="[Table_1].[Financial Year]" caption="Financial Year" attribute="1" defaultMemberUniqueName="[Table_1].[Financial Year].[All]" allUniqueName="[Table_1].[Financial Year].[All]" dimensionUniqueName="[Table_1]" displayFolder="" count="0" memberValueDatatype="20" unbalanced="0"/>
    <cacheHierarchy uniqueName="[Table_1].[Day of week]" caption="Day of week" attribute="1" defaultMemberUniqueName="[Table_1].[Day of week].[All]" allUniqueName="[Table_1].[Day of week].[All]" dimensionUniqueName="[Table_1]" displayFolder="" count="2" memberValueDatatype="130" unbalanced="0">
      <fieldsUsage count="2">
        <fieldUsage x="-1"/>
        <fieldUsage x="0"/>
      </fieldsUsage>
    </cacheHierarchy>
    <cacheHierarchy uniqueName="[Table_1].[Duration Bucket]" caption="Duration Bucket" attribute="1" defaultMemberUniqueName="[Table_1].[Duration Bucket].[All]" allUniqueName="[Table_1].[Duration Bucket].[All]" dimensionUniqueName="[Table_1]" displayFolder="" count="0" memberValueDatatype="130" unbalanced="0"/>
    <cacheHierarchy uniqueName="[Table_1].[Rating rounded]" caption="Rating rounded" attribute="1" defaultMemberUniqueName="[Table_1].[Rating rounded].[All]" allUniqueName="[Table_1].[Rating rounded].[All]" dimensionUniqueName="[Table_1]" displayFolder="" count="0" memberValueDatatype="20" unbalanced="0"/>
    <cacheHierarchy uniqueName="[Table_1].[Duration Category]" caption="Duration Category" attribute="1" defaultMemberUniqueName="[Table_1].[Duration Category].[All]" allUniqueName="[Table_1].[Duration Category].[All]" dimensionUniqueName="[Table_1]" displayFolder="" count="0" memberValueDatatype="130" unbalanced="0"/>
    <cacheHierarchy uniqueName="[Table_1].[Purchase Category]" caption="Purchase Category" attribute="1" defaultMemberUniqueName="[Table_1].[Purchase Category].[All]" allUniqueName="[Table_1].[Purchase Category].[All]" dimensionUniqueName="[Table_1]" displayFolder="" count="0" memberValueDatatype="130" unbalanced="0"/>
    <cacheHierarchy uniqueName="[Table_1].[Date of Call (Month)]" caption="Date of Call (Month)" attribute="1" defaultMemberUniqueName="[Table_1].[Date of Call (Month)].[All]" allUniqueName="[Table_1].[Date of Call (Month)].[All]" dimensionUniqueName="[Table_1]" displayFolder="" count="2" memberValueDatatype="130" unbalanced="0"/>
    <cacheHierarchy uniqueName="[Table_1].[Date of Call (Month Index)]" caption="Date of Call (Month Index)" attribute="1" defaultMemberUniqueName="[Table_1].[Date of Call (Month Index)].[All]" allUniqueName="[Table_1].[Date of Call (Month Index)].[All]" dimensionUniqueName="[Table_1]" displayFolder="" count="0" memberValueDatatype="20" unbalanced="0" hidden="1"/>
    <cacheHierarchy uniqueName="[Measures].[__XL_Count Table_1]" caption="__XL_Count Table_1" measure="1" displayFolder="" measureGroup="Table_1" count="0" hidden="1"/>
    <cacheHierarchy uniqueName="[Measures].[__No measures defined]" caption="__No measures defined" measure="1" displayFolder="" count="0" hidden="1"/>
    <cacheHierarchy uniqueName="[Measures].[Sum of Purchase Amount]" caption="Sum of Purchase Amount" measure="1" displayFolder="" measureGroup="Table_1" count="0" oneField="1" hidden="1">
      <fieldsUsage count="1">
        <fieldUsage x="1"/>
      </fieldsUsage>
      <extLst>
        <ext xmlns:x15="http://schemas.microsoft.com/office/spreadsheetml/2010/11/main" uri="{B97F6D7D-B522-45F9-BDA1-12C45D357490}">
          <x15:cacheHierarchy aggregatedColumn="5"/>
        </ext>
      </extLst>
    </cacheHierarchy>
    <cacheHierarchy uniqueName="[Measures].[Sum of Satisfaction Rating]" caption="Sum of Satisfaction Rating" measure="1" displayFolder="" measureGroup="Table_1" count="0" hidden="1">
      <extLst>
        <ext xmlns:x15="http://schemas.microsoft.com/office/spreadsheetml/2010/11/main" uri="{B97F6D7D-B522-45F9-BDA1-12C45D357490}">
          <x15:cacheHierarchy aggregatedColumn="6"/>
        </ext>
      </extLst>
    </cacheHierarchy>
    <cacheHierarchy uniqueName="[Measures].[Average of Satisfaction Rating]" caption="Average of Satisfaction Rating" measure="1" displayFolder="" measureGroup="Table_1" count="0" hidden="1">
      <extLst>
        <ext xmlns:x15="http://schemas.microsoft.com/office/spreadsheetml/2010/11/main" uri="{B97F6D7D-B522-45F9-BDA1-12C45D357490}">
          <x15:cacheHierarchy aggregatedColumn="6"/>
        </ext>
      </extLst>
    </cacheHierarchy>
    <cacheHierarchy uniqueName="[Measures].[Count of Satisfaction Rating]" caption="Count of Satisfaction Rating" measure="1" displayFolder="" measureGroup="Table_1" count="0" hidden="1">
      <extLst>
        <ext xmlns:x15="http://schemas.microsoft.com/office/spreadsheetml/2010/11/main" uri="{B97F6D7D-B522-45F9-BDA1-12C45D357490}">
          <x15:cacheHierarchy aggregatedColumn="6"/>
        </ext>
      </extLst>
    </cacheHierarchy>
    <cacheHierarchy uniqueName="[Measures].[Count of Duration Category]" caption="Count of Duration Category" measure="1" displayFolder="" measureGroup="Table_1" count="0" hidden="1">
      <extLst>
        <ext xmlns:x15="http://schemas.microsoft.com/office/spreadsheetml/2010/11/main" uri="{B97F6D7D-B522-45F9-BDA1-12C45D357490}">
          <x15:cacheHierarchy aggregatedColumn="11"/>
        </ext>
      </extLst>
    </cacheHierarchy>
    <cacheHierarchy uniqueName="[Measures].[Count of Call number]" caption="Count of Call number" measure="1" displayFolder="" measureGroup="Table_1" count="0" hidden="1">
      <extLst>
        <ext xmlns:x15="http://schemas.microsoft.com/office/spreadsheetml/2010/11/main" uri="{B97F6D7D-B522-45F9-BDA1-12C45D357490}">
          <x15:cacheHierarchy aggregatedColumn="0"/>
        </ext>
      </extLst>
    </cacheHierarchy>
    <cacheHierarchy uniqueName="[Measures].[Count of Representative]" caption="Count of Representative" measure="1" displayFolder="" measureGroup="Table_1" count="0" hidden="1">
      <extLst>
        <ext xmlns:x15="http://schemas.microsoft.com/office/spreadsheetml/2010/11/main" uri="{B97F6D7D-B522-45F9-BDA1-12C45D357490}">
          <x15:cacheHierarchy aggregatedColumn="3"/>
        </ext>
      </extLst>
    </cacheHierarchy>
    <cacheHierarchy uniqueName="[Measures].[Distinct Count of Representative]" caption="Distinct Count of Representative" measure="1" displayFolder="" measureGroup="Table_1" count="0" hidden="1">
      <extLst>
        <ext xmlns:x15="http://schemas.microsoft.com/office/spreadsheetml/2010/11/main" uri="{B97F6D7D-B522-45F9-BDA1-12C45D357490}">
          <x15:cacheHierarchy aggregatedColumn="3"/>
        </ext>
      </extLst>
    </cacheHierarchy>
    <cacheHierarchy uniqueName="[Measures].[Count of Customer ID]" caption="Count of Customer ID" measure="1" displayFolder="" measureGroup="Table_1" count="0" hidden="1">
      <extLst>
        <ext xmlns:x15="http://schemas.microsoft.com/office/spreadsheetml/2010/11/main" uri="{B97F6D7D-B522-45F9-BDA1-12C45D357490}">
          <x15:cacheHierarchy aggregatedColumn="1"/>
        </ext>
      </extLst>
    </cacheHierarchy>
    <cacheHierarchy uniqueName="[Measures].[Distinct Count of Customer ID]" caption="Distinct Count of Customer ID" measure="1" displayFolder="" measureGroup="Table_1" count="0" hidden="1">
      <extLst>
        <ext xmlns:x15="http://schemas.microsoft.com/office/spreadsheetml/2010/11/main" uri="{B97F6D7D-B522-45F9-BDA1-12C45D357490}">
          <x15:cacheHierarchy aggregatedColumn="1"/>
        </ext>
      </extLst>
    </cacheHierarchy>
    <cacheHierarchy uniqueName="[Measures].[Count of Duration Bucket]" caption="Count of Duration Bucket" measure="1" displayFolder="" measureGroup="Table_1"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Table_1" uniqueName="[Table_1]" caption="Table_1"/>
  </dimensions>
  <measureGroups count="1">
    <measureGroup name="Table_1" caption="Table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med Hesham" refreshedDate="46306.083470370373" backgroundQuery="1" createdVersion="8" refreshedVersion="8" minRefreshableVersion="3" recordCount="0" supportSubquery="1" supportAdvancedDrill="1" xr:uid="{84016D20-C2A3-48A3-9319-85F08D0ADDB5}">
  <cacheSource type="external" connectionId="1"/>
  <cacheFields count="3">
    <cacheField name="[Table_1].[Representative].[Representative]" caption="Representative" numFmtId="0" hierarchy="3" level="1">
      <sharedItems count="5">
        <s v="R01"/>
        <s v="R02"/>
        <s v="R03"/>
        <s v="R04"/>
        <s v="R05"/>
      </sharedItems>
    </cacheField>
    <cacheField name="[Measures].[Count of Call number]" caption="Count of Call number" numFmtId="0" hierarchy="22" level="32767"/>
    <cacheField name="[Table_1].[Day of week].[Day of week]" caption="Day of week" numFmtId="0" hierarchy="8" level="1">
      <sharedItems containsSemiMixedTypes="0" containsNonDate="0" containsString="0"/>
    </cacheField>
  </cacheFields>
  <cacheHierarchies count="28">
    <cacheHierarchy uniqueName="[Table_1].[Call number]" caption="Call number" attribute="1" defaultMemberUniqueName="[Table_1].[Call number].[All]" allUniqueName="[Table_1].[Call number].[All]" dimensionUniqueName="[Table_1]" displayFolder="" count="0" memberValueDatatype="130" unbalanced="0"/>
    <cacheHierarchy uniqueName="[Table_1].[Customer ID]" caption="Customer ID" attribute="1" defaultMemberUniqueName="[Table_1].[Customer ID].[All]" allUniqueName="[Table_1].[Customer ID].[All]" dimensionUniqueName="[Table_1]" displayFolder="" count="0" memberValueDatatype="130" unbalanced="0"/>
    <cacheHierarchy uniqueName="[Table_1].[Duration]" caption="Duration" attribute="1" defaultMemberUniqueName="[Table_1].[Duration].[All]" allUniqueName="[Table_1].[Duration].[All]" dimensionUniqueName="[Table_1]" displayFolder="" count="0" memberValueDatatype="20" unbalanced="0"/>
    <cacheHierarchy uniqueName="[Table_1].[Representative]" caption="Representative" attribute="1" defaultMemberUniqueName="[Table_1].[Representative].[All]" allUniqueName="[Table_1].[Representative].[All]" dimensionUniqueName="[Table_1]" displayFolder="" count="2" memberValueDatatype="130" unbalanced="0">
      <fieldsUsage count="2">
        <fieldUsage x="-1"/>
        <fieldUsage x="0"/>
      </fieldsUsage>
    </cacheHierarchy>
    <cacheHierarchy uniqueName="[Table_1].[Date of Call]" caption="Date of Call" attribute="1" time="1" defaultMemberUniqueName="[Table_1].[Date of Call].[All]" allUniqueName="[Table_1].[Date of Call].[All]" dimensionUniqueName="[Table_1]" displayFolder="" count="0" memberValueDatatype="7" unbalanced="0"/>
    <cacheHierarchy uniqueName="[Table_1].[Purchase Amount]" caption="Purchase Amount" attribute="1" defaultMemberUniqueName="[Table_1].[Purchase Amount].[All]" allUniqueName="[Table_1].[Purchase Amount].[All]" dimensionUniqueName="[Table_1]" displayFolder="" count="0" memberValueDatatype="20" unbalanced="0"/>
    <cacheHierarchy uniqueName="[Table_1].[Satisfaction Rating]" caption="Satisfaction Rating" attribute="1" defaultMemberUniqueName="[Table_1].[Satisfaction Rating].[All]" allUniqueName="[Table_1].[Satisfaction Rating].[All]" dimensionUniqueName="[Table_1]" displayFolder="" count="0" memberValueDatatype="5" unbalanced="0"/>
    <cacheHierarchy uniqueName="[Table_1].[Financial Year]" caption="Financial Year" attribute="1" defaultMemberUniqueName="[Table_1].[Financial Year].[All]" allUniqueName="[Table_1].[Financial Year].[All]" dimensionUniqueName="[Table_1]" displayFolder="" count="0" memberValueDatatype="20" unbalanced="0"/>
    <cacheHierarchy uniqueName="[Table_1].[Day of week]" caption="Day of week" attribute="1" defaultMemberUniqueName="[Table_1].[Day of week].[All]" allUniqueName="[Table_1].[Day of week].[All]" dimensionUniqueName="[Table_1]" displayFolder="" count="2" memberValueDatatype="130" unbalanced="0">
      <fieldsUsage count="2">
        <fieldUsage x="-1"/>
        <fieldUsage x="2"/>
      </fieldsUsage>
    </cacheHierarchy>
    <cacheHierarchy uniqueName="[Table_1].[Duration Bucket]" caption="Duration Bucket" attribute="1" defaultMemberUniqueName="[Table_1].[Duration Bucket].[All]" allUniqueName="[Table_1].[Duration Bucket].[All]" dimensionUniqueName="[Table_1]" displayFolder="" count="0" memberValueDatatype="130" unbalanced="0"/>
    <cacheHierarchy uniqueName="[Table_1].[Rating rounded]" caption="Rating rounded" attribute="1" defaultMemberUniqueName="[Table_1].[Rating rounded].[All]" allUniqueName="[Table_1].[Rating rounded].[All]" dimensionUniqueName="[Table_1]" displayFolder="" count="0" memberValueDatatype="20" unbalanced="0"/>
    <cacheHierarchy uniqueName="[Table_1].[Duration Category]" caption="Duration Category" attribute="1" defaultMemberUniqueName="[Table_1].[Duration Category].[All]" allUniqueName="[Table_1].[Duration Category].[All]" dimensionUniqueName="[Table_1]" displayFolder="" count="0" memberValueDatatype="130" unbalanced="0"/>
    <cacheHierarchy uniqueName="[Table_1].[Purchase Category]" caption="Purchase Category" attribute="1" defaultMemberUniqueName="[Table_1].[Purchase Category].[All]" allUniqueName="[Table_1].[Purchase Category].[All]" dimensionUniqueName="[Table_1]" displayFolder="" count="0" memberValueDatatype="130" unbalanced="0"/>
    <cacheHierarchy uniqueName="[Table_1].[Date of Call (Month)]" caption="Date of Call (Month)" attribute="1" defaultMemberUniqueName="[Table_1].[Date of Call (Month)].[All]" allUniqueName="[Table_1].[Date of Call (Month)].[All]" dimensionUniqueName="[Table_1]" displayFolder="" count="2" memberValueDatatype="130" unbalanced="0"/>
    <cacheHierarchy uniqueName="[Table_1].[Date of Call (Month Index)]" caption="Date of Call (Month Index)" attribute="1" defaultMemberUniqueName="[Table_1].[Date of Call (Month Index)].[All]" allUniqueName="[Table_1].[Date of Call (Month Index)].[All]" dimensionUniqueName="[Table_1]" displayFolder="" count="0" memberValueDatatype="20" unbalanced="0" hidden="1"/>
    <cacheHierarchy uniqueName="[Measures].[__XL_Count Table_1]" caption="__XL_Count Table_1" measure="1" displayFolder="" measureGroup="Table_1" count="0" hidden="1"/>
    <cacheHierarchy uniqueName="[Measures].[__No measures defined]" caption="__No measures defined" measure="1" displayFolder="" count="0" hidden="1"/>
    <cacheHierarchy uniqueName="[Measures].[Sum of Purchase Amount]" caption="Sum of Purchase Amount" measure="1" displayFolder="" measureGroup="Table_1" count="0" hidden="1">
      <extLst>
        <ext xmlns:x15="http://schemas.microsoft.com/office/spreadsheetml/2010/11/main" uri="{B97F6D7D-B522-45F9-BDA1-12C45D357490}">
          <x15:cacheHierarchy aggregatedColumn="5"/>
        </ext>
      </extLst>
    </cacheHierarchy>
    <cacheHierarchy uniqueName="[Measures].[Sum of Satisfaction Rating]" caption="Sum of Satisfaction Rating" measure="1" displayFolder="" measureGroup="Table_1" count="0" hidden="1">
      <extLst>
        <ext xmlns:x15="http://schemas.microsoft.com/office/spreadsheetml/2010/11/main" uri="{B97F6D7D-B522-45F9-BDA1-12C45D357490}">
          <x15:cacheHierarchy aggregatedColumn="6"/>
        </ext>
      </extLst>
    </cacheHierarchy>
    <cacheHierarchy uniqueName="[Measures].[Average of Satisfaction Rating]" caption="Average of Satisfaction Rating" measure="1" displayFolder="" measureGroup="Table_1" count="0" hidden="1">
      <extLst>
        <ext xmlns:x15="http://schemas.microsoft.com/office/spreadsheetml/2010/11/main" uri="{B97F6D7D-B522-45F9-BDA1-12C45D357490}">
          <x15:cacheHierarchy aggregatedColumn="6"/>
        </ext>
      </extLst>
    </cacheHierarchy>
    <cacheHierarchy uniqueName="[Measures].[Count of Satisfaction Rating]" caption="Count of Satisfaction Rating" measure="1" displayFolder="" measureGroup="Table_1" count="0" hidden="1">
      <extLst>
        <ext xmlns:x15="http://schemas.microsoft.com/office/spreadsheetml/2010/11/main" uri="{B97F6D7D-B522-45F9-BDA1-12C45D357490}">
          <x15:cacheHierarchy aggregatedColumn="6"/>
        </ext>
      </extLst>
    </cacheHierarchy>
    <cacheHierarchy uniqueName="[Measures].[Count of Duration Category]" caption="Count of Duration Category" measure="1" displayFolder="" measureGroup="Table_1" count="0" hidden="1">
      <extLst>
        <ext xmlns:x15="http://schemas.microsoft.com/office/spreadsheetml/2010/11/main" uri="{B97F6D7D-B522-45F9-BDA1-12C45D357490}">
          <x15:cacheHierarchy aggregatedColumn="11"/>
        </ext>
      </extLst>
    </cacheHierarchy>
    <cacheHierarchy uniqueName="[Measures].[Count of Call number]" caption="Count of Call number" measure="1" displayFolder="" measureGroup="Table_1"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Representative]" caption="Count of Representative" measure="1" displayFolder="" measureGroup="Table_1" count="0" hidden="1">
      <extLst>
        <ext xmlns:x15="http://schemas.microsoft.com/office/spreadsheetml/2010/11/main" uri="{B97F6D7D-B522-45F9-BDA1-12C45D357490}">
          <x15:cacheHierarchy aggregatedColumn="3"/>
        </ext>
      </extLst>
    </cacheHierarchy>
    <cacheHierarchy uniqueName="[Measures].[Distinct Count of Representative]" caption="Distinct Count of Representative" measure="1" displayFolder="" measureGroup="Table_1" count="0" hidden="1">
      <extLst>
        <ext xmlns:x15="http://schemas.microsoft.com/office/spreadsheetml/2010/11/main" uri="{B97F6D7D-B522-45F9-BDA1-12C45D357490}">
          <x15:cacheHierarchy aggregatedColumn="3"/>
        </ext>
      </extLst>
    </cacheHierarchy>
    <cacheHierarchy uniqueName="[Measures].[Count of Customer ID]" caption="Count of Customer ID" measure="1" displayFolder="" measureGroup="Table_1" count="0" hidden="1">
      <extLst>
        <ext xmlns:x15="http://schemas.microsoft.com/office/spreadsheetml/2010/11/main" uri="{B97F6D7D-B522-45F9-BDA1-12C45D357490}">
          <x15:cacheHierarchy aggregatedColumn="1"/>
        </ext>
      </extLst>
    </cacheHierarchy>
    <cacheHierarchy uniqueName="[Measures].[Distinct Count of Customer ID]" caption="Distinct Count of Customer ID" measure="1" displayFolder="" measureGroup="Table_1" count="0" hidden="1">
      <extLst>
        <ext xmlns:x15="http://schemas.microsoft.com/office/spreadsheetml/2010/11/main" uri="{B97F6D7D-B522-45F9-BDA1-12C45D357490}">
          <x15:cacheHierarchy aggregatedColumn="1"/>
        </ext>
      </extLst>
    </cacheHierarchy>
    <cacheHierarchy uniqueName="[Measures].[Count of Duration Bucket]" caption="Count of Duration Bucket" measure="1" displayFolder="" measureGroup="Table_1"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Table_1" uniqueName="[Table_1]" caption="Table_1"/>
  </dimensions>
  <measureGroups count="1">
    <measureGroup name="Table_1" caption="Table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med Hesham" refreshedDate="46306.083470833335" backgroundQuery="1" createdVersion="8" refreshedVersion="8" minRefreshableVersion="3" recordCount="0" supportSubquery="1" supportAdvancedDrill="1" xr:uid="{0EC5592B-09BA-4FBB-BCC4-91F07F6FAC12}">
  <cacheSource type="external" connectionId="1"/>
  <cacheFields count="3">
    <cacheField name="[Table_1].[Representative].[Representative]" caption="Representative" numFmtId="0" hierarchy="3" level="1">
      <sharedItems count="5">
        <s v="R01"/>
        <s v="R02"/>
        <s v="R03"/>
        <s v="R04"/>
        <s v="R05"/>
      </sharedItems>
    </cacheField>
    <cacheField name="[Measures].[Sum of Purchase Amount]" caption="Sum of Purchase Amount" numFmtId="0" hierarchy="17" level="32767"/>
    <cacheField name="[Table_1].[Day of week].[Day of week]" caption="Day of week" numFmtId="0" hierarchy="8" level="1">
      <sharedItems containsSemiMixedTypes="0" containsNonDate="0" containsString="0"/>
    </cacheField>
  </cacheFields>
  <cacheHierarchies count="28">
    <cacheHierarchy uniqueName="[Table_1].[Call number]" caption="Call number" attribute="1" defaultMemberUniqueName="[Table_1].[Call number].[All]" allUniqueName="[Table_1].[Call number].[All]" dimensionUniqueName="[Table_1]" displayFolder="" count="0" memberValueDatatype="130" unbalanced="0"/>
    <cacheHierarchy uniqueName="[Table_1].[Customer ID]" caption="Customer ID" attribute="1" defaultMemberUniqueName="[Table_1].[Customer ID].[All]" allUniqueName="[Table_1].[Customer ID].[All]" dimensionUniqueName="[Table_1]" displayFolder="" count="0" memberValueDatatype="130" unbalanced="0"/>
    <cacheHierarchy uniqueName="[Table_1].[Duration]" caption="Duration" attribute="1" defaultMemberUniqueName="[Table_1].[Duration].[All]" allUniqueName="[Table_1].[Duration].[All]" dimensionUniqueName="[Table_1]" displayFolder="" count="0" memberValueDatatype="20" unbalanced="0"/>
    <cacheHierarchy uniqueName="[Table_1].[Representative]" caption="Representative" attribute="1" defaultMemberUniqueName="[Table_1].[Representative].[All]" allUniqueName="[Table_1].[Representative].[All]" dimensionUniqueName="[Table_1]" displayFolder="" count="2" memberValueDatatype="130" unbalanced="0">
      <fieldsUsage count="2">
        <fieldUsage x="-1"/>
        <fieldUsage x="0"/>
      </fieldsUsage>
    </cacheHierarchy>
    <cacheHierarchy uniqueName="[Table_1].[Date of Call]" caption="Date of Call" attribute="1" time="1" defaultMemberUniqueName="[Table_1].[Date of Call].[All]" allUniqueName="[Table_1].[Date of Call].[All]" dimensionUniqueName="[Table_1]" displayFolder="" count="0" memberValueDatatype="7" unbalanced="0"/>
    <cacheHierarchy uniqueName="[Table_1].[Purchase Amount]" caption="Purchase Amount" attribute="1" defaultMemberUniqueName="[Table_1].[Purchase Amount].[All]" allUniqueName="[Table_1].[Purchase Amount].[All]" dimensionUniqueName="[Table_1]" displayFolder="" count="0" memberValueDatatype="20" unbalanced="0"/>
    <cacheHierarchy uniqueName="[Table_1].[Satisfaction Rating]" caption="Satisfaction Rating" attribute="1" defaultMemberUniqueName="[Table_1].[Satisfaction Rating].[All]" allUniqueName="[Table_1].[Satisfaction Rating].[All]" dimensionUniqueName="[Table_1]" displayFolder="" count="0" memberValueDatatype="5" unbalanced="0"/>
    <cacheHierarchy uniqueName="[Table_1].[Financial Year]" caption="Financial Year" attribute="1" defaultMemberUniqueName="[Table_1].[Financial Year].[All]" allUniqueName="[Table_1].[Financial Year].[All]" dimensionUniqueName="[Table_1]" displayFolder="" count="0" memberValueDatatype="20" unbalanced="0"/>
    <cacheHierarchy uniqueName="[Table_1].[Day of week]" caption="Day of week" attribute="1" defaultMemberUniqueName="[Table_1].[Day of week].[All]" allUniqueName="[Table_1].[Day of week].[All]" dimensionUniqueName="[Table_1]" displayFolder="" count="2" memberValueDatatype="130" unbalanced="0">
      <fieldsUsage count="2">
        <fieldUsage x="-1"/>
        <fieldUsage x="2"/>
      </fieldsUsage>
    </cacheHierarchy>
    <cacheHierarchy uniqueName="[Table_1].[Duration Bucket]" caption="Duration Bucket" attribute="1" defaultMemberUniqueName="[Table_1].[Duration Bucket].[All]" allUniqueName="[Table_1].[Duration Bucket].[All]" dimensionUniqueName="[Table_1]" displayFolder="" count="0" memberValueDatatype="130" unbalanced="0"/>
    <cacheHierarchy uniqueName="[Table_1].[Rating rounded]" caption="Rating rounded" attribute="1" defaultMemberUniqueName="[Table_1].[Rating rounded].[All]" allUniqueName="[Table_1].[Rating rounded].[All]" dimensionUniqueName="[Table_1]" displayFolder="" count="0" memberValueDatatype="20" unbalanced="0"/>
    <cacheHierarchy uniqueName="[Table_1].[Duration Category]" caption="Duration Category" attribute="1" defaultMemberUniqueName="[Table_1].[Duration Category].[All]" allUniqueName="[Table_1].[Duration Category].[All]" dimensionUniqueName="[Table_1]" displayFolder="" count="0" memberValueDatatype="130" unbalanced="0"/>
    <cacheHierarchy uniqueName="[Table_1].[Purchase Category]" caption="Purchase Category" attribute="1" defaultMemberUniqueName="[Table_1].[Purchase Category].[All]" allUniqueName="[Table_1].[Purchase Category].[All]" dimensionUniqueName="[Table_1]" displayFolder="" count="0" memberValueDatatype="130" unbalanced="0"/>
    <cacheHierarchy uniqueName="[Table_1].[Date of Call (Month)]" caption="Date of Call (Month)" attribute="1" defaultMemberUniqueName="[Table_1].[Date of Call (Month)].[All]" allUniqueName="[Table_1].[Date of Call (Month)].[All]" dimensionUniqueName="[Table_1]" displayFolder="" count="2" memberValueDatatype="130" unbalanced="0"/>
    <cacheHierarchy uniqueName="[Table_1].[Date of Call (Month Index)]" caption="Date of Call (Month Index)" attribute="1" defaultMemberUniqueName="[Table_1].[Date of Call (Month Index)].[All]" allUniqueName="[Table_1].[Date of Call (Month Index)].[All]" dimensionUniqueName="[Table_1]" displayFolder="" count="0" memberValueDatatype="20" unbalanced="0" hidden="1"/>
    <cacheHierarchy uniqueName="[Measures].[__XL_Count Table_1]" caption="__XL_Count Table_1" measure="1" displayFolder="" measureGroup="Table_1" count="0" hidden="1"/>
    <cacheHierarchy uniqueName="[Measures].[__No measures defined]" caption="__No measures defined" measure="1" displayFolder="" count="0" hidden="1"/>
    <cacheHierarchy uniqueName="[Measures].[Sum of Purchase Amount]" caption="Sum of Purchase Amount" measure="1" displayFolder="" measureGroup="Table_1" count="0" oneField="1" hidden="1">
      <fieldsUsage count="1">
        <fieldUsage x="1"/>
      </fieldsUsage>
      <extLst>
        <ext xmlns:x15="http://schemas.microsoft.com/office/spreadsheetml/2010/11/main" uri="{B97F6D7D-B522-45F9-BDA1-12C45D357490}">
          <x15:cacheHierarchy aggregatedColumn="5"/>
        </ext>
      </extLst>
    </cacheHierarchy>
    <cacheHierarchy uniqueName="[Measures].[Sum of Satisfaction Rating]" caption="Sum of Satisfaction Rating" measure="1" displayFolder="" measureGroup="Table_1" count="0" hidden="1">
      <extLst>
        <ext xmlns:x15="http://schemas.microsoft.com/office/spreadsheetml/2010/11/main" uri="{B97F6D7D-B522-45F9-BDA1-12C45D357490}">
          <x15:cacheHierarchy aggregatedColumn="6"/>
        </ext>
      </extLst>
    </cacheHierarchy>
    <cacheHierarchy uniqueName="[Measures].[Average of Satisfaction Rating]" caption="Average of Satisfaction Rating" measure="1" displayFolder="" measureGroup="Table_1" count="0" hidden="1">
      <extLst>
        <ext xmlns:x15="http://schemas.microsoft.com/office/spreadsheetml/2010/11/main" uri="{B97F6D7D-B522-45F9-BDA1-12C45D357490}">
          <x15:cacheHierarchy aggregatedColumn="6"/>
        </ext>
      </extLst>
    </cacheHierarchy>
    <cacheHierarchy uniqueName="[Measures].[Count of Satisfaction Rating]" caption="Count of Satisfaction Rating" measure="1" displayFolder="" measureGroup="Table_1" count="0" hidden="1">
      <extLst>
        <ext xmlns:x15="http://schemas.microsoft.com/office/spreadsheetml/2010/11/main" uri="{B97F6D7D-B522-45F9-BDA1-12C45D357490}">
          <x15:cacheHierarchy aggregatedColumn="6"/>
        </ext>
      </extLst>
    </cacheHierarchy>
    <cacheHierarchy uniqueName="[Measures].[Count of Duration Category]" caption="Count of Duration Category" measure="1" displayFolder="" measureGroup="Table_1" count="0" hidden="1">
      <extLst>
        <ext xmlns:x15="http://schemas.microsoft.com/office/spreadsheetml/2010/11/main" uri="{B97F6D7D-B522-45F9-BDA1-12C45D357490}">
          <x15:cacheHierarchy aggregatedColumn="11"/>
        </ext>
      </extLst>
    </cacheHierarchy>
    <cacheHierarchy uniqueName="[Measures].[Count of Call number]" caption="Count of Call number" measure="1" displayFolder="" measureGroup="Table_1" count="0" hidden="1">
      <extLst>
        <ext xmlns:x15="http://schemas.microsoft.com/office/spreadsheetml/2010/11/main" uri="{B97F6D7D-B522-45F9-BDA1-12C45D357490}">
          <x15:cacheHierarchy aggregatedColumn="0"/>
        </ext>
      </extLst>
    </cacheHierarchy>
    <cacheHierarchy uniqueName="[Measures].[Count of Representative]" caption="Count of Representative" measure="1" displayFolder="" measureGroup="Table_1" count="0" hidden="1">
      <extLst>
        <ext xmlns:x15="http://schemas.microsoft.com/office/spreadsheetml/2010/11/main" uri="{B97F6D7D-B522-45F9-BDA1-12C45D357490}">
          <x15:cacheHierarchy aggregatedColumn="3"/>
        </ext>
      </extLst>
    </cacheHierarchy>
    <cacheHierarchy uniqueName="[Measures].[Distinct Count of Representative]" caption="Distinct Count of Representative" measure="1" displayFolder="" measureGroup="Table_1" count="0" hidden="1">
      <extLst>
        <ext xmlns:x15="http://schemas.microsoft.com/office/spreadsheetml/2010/11/main" uri="{B97F6D7D-B522-45F9-BDA1-12C45D357490}">
          <x15:cacheHierarchy aggregatedColumn="3"/>
        </ext>
      </extLst>
    </cacheHierarchy>
    <cacheHierarchy uniqueName="[Measures].[Count of Customer ID]" caption="Count of Customer ID" measure="1" displayFolder="" measureGroup="Table_1" count="0" hidden="1">
      <extLst>
        <ext xmlns:x15="http://schemas.microsoft.com/office/spreadsheetml/2010/11/main" uri="{B97F6D7D-B522-45F9-BDA1-12C45D357490}">
          <x15:cacheHierarchy aggregatedColumn="1"/>
        </ext>
      </extLst>
    </cacheHierarchy>
    <cacheHierarchy uniqueName="[Measures].[Distinct Count of Customer ID]" caption="Distinct Count of Customer ID" measure="1" displayFolder="" measureGroup="Table_1" count="0" hidden="1">
      <extLst>
        <ext xmlns:x15="http://schemas.microsoft.com/office/spreadsheetml/2010/11/main" uri="{B97F6D7D-B522-45F9-BDA1-12C45D357490}">
          <x15:cacheHierarchy aggregatedColumn="1"/>
        </ext>
      </extLst>
    </cacheHierarchy>
    <cacheHierarchy uniqueName="[Measures].[Count of Duration Bucket]" caption="Count of Duration Bucket" measure="1" displayFolder="" measureGroup="Table_1"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Table_1" uniqueName="[Table_1]" caption="Table_1"/>
  </dimensions>
  <measureGroups count="1">
    <measureGroup name="Table_1" caption="Table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med Hesham" refreshedDate="46306.083471527774" backgroundQuery="1" createdVersion="8" refreshedVersion="8" minRefreshableVersion="3" recordCount="0" supportSubquery="1" supportAdvancedDrill="1" xr:uid="{6DDE9B4A-27F4-4CA9-94D5-780CA30765F2}">
  <cacheSource type="external" connectionId="1"/>
  <cacheFields count="3">
    <cacheField name="[Table_1].[Representative].[Representative]" caption="Representative" numFmtId="0" hierarchy="3" level="1">
      <sharedItems count="5">
        <s v="R01"/>
        <s v="R02"/>
        <s v="R03"/>
        <s v="R04"/>
        <s v="R05"/>
      </sharedItems>
    </cacheField>
    <cacheField name="[Measures].[Average of Satisfaction Rating]" caption="Average of Satisfaction Rating" numFmtId="0" hierarchy="19" level="32767"/>
    <cacheField name="[Table_1].[Day of week].[Day of week]" caption="Day of week" numFmtId="0" hierarchy="8" level="1">
      <sharedItems containsSemiMixedTypes="0" containsNonDate="0" containsString="0"/>
    </cacheField>
  </cacheFields>
  <cacheHierarchies count="28">
    <cacheHierarchy uniqueName="[Table_1].[Call number]" caption="Call number" attribute="1" defaultMemberUniqueName="[Table_1].[Call number].[All]" allUniqueName="[Table_1].[Call number].[All]" dimensionUniqueName="[Table_1]" displayFolder="" count="0" memberValueDatatype="130" unbalanced="0"/>
    <cacheHierarchy uniqueName="[Table_1].[Customer ID]" caption="Customer ID" attribute="1" defaultMemberUniqueName="[Table_1].[Customer ID].[All]" allUniqueName="[Table_1].[Customer ID].[All]" dimensionUniqueName="[Table_1]" displayFolder="" count="0" memberValueDatatype="130" unbalanced="0"/>
    <cacheHierarchy uniqueName="[Table_1].[Duration]" caption="Duration" attribute="1" defaultMemberUniqueName="[Table_1].[Duration].[All]" allUniqueName="[Table_1].[Duration].[All]" dimensionUniqueName="[Table_1]" displayFolder="" count="0" memberValueDatatype="20" unbalanced="0"/>
    <cacheHierarchy uniqueName="[Table_1].[Representative]" caption="Representative" attribute="1" defaultMemberUniqueName="[Table_1].[Representative].[All]" allUniqueName="[Table_1].[Representative].[All]" dimensionUniqueName="[Table_1]" displayFolder="" count="2" memberValueDatatype="130" unbalanced="0">
      <fieldsUsage count="2">
        <fieldUsage x="-1"/>
        <fieldUsage x="0"/>
      </fieldsUsage>
    </cacheHierarchy>
    <cacheHierarchy uniqueName="[Table_1].[Date of Call]" caption="Date of Call" attribute="1" time="1" defaultMemberUniqueName="[Table_1].[Date of Call].[All]" allUniqueName="[Table_1].[Date of Call].[All]" dimensionUniqueName="[Table_1]" displayFolder="" count="0" memberValueDatatype="7" unbalanced="0"/>
    <cacheHierarchy uniqueName="[Table_1].[Purchase Amount]" caption="Purchase Amount" attribute="1" defaultMemberUniqueName="[Table_1].[Purchase Amount].[All]" allUniqueName="[Table_1].[Purchase Amount].[All]" dimensionUniqueName="[Table_1]" displayFolder="" count="0" memberValueDatatype="20" unbalanced="0"/>
    <cacheHierarchy uniqueName="[Table_1].[Satisfaction Rating]" caption="Satisfaction Rating" attribute="1" defaultMemberUniqueName="[Table_1].[Satisfaction Rating].[All]" allUniqueName="[Table_1].[Satisfaction Rating].[All]" dimensionUniqueName="[Table_1]" displayFolder="" count="0" memberValueDatatype="5" unbalanced="0"/>
    <cacheHierarchy uniqueName="[Table_1].[Financial Year]" caption="Financial Year" attribute="1" defaultMemberUniqueName="[Table_1].[Financial Year].[All]" allUniqueName="[Table_1].[Financial Year].[All]" dimensionUniqueName="[Table_1]" displayFolder="" count="0" memberValueDatatype="20" unbalanced="0"/>
    <cacheHierarchy uniqueName="[Table_1].[Day of week]" caption="Day of week" attribute="1" defaultMemberUniqueName="[Table_1].[Day of week].[All]" allUniqueName="[Table_1].[Day of week].[All]" dimensionUniqueName="[Table_1]" displayFolder="" count="2" memberValueDatatype="130" unbalanced="0">
      <fieldsUsage count="2">
        <fieldUsage x="-1"/>
        <fieldUsage x="2"/>
      </fieldsUsage>
    </cacheHierarchy>
    <cacheHierarchy uniqueName="[Table_1].[Duration Bucket]" caption="Duration Bucket" attribute="1" defaultMemberUniqueName="[Table_1].[Duration Bucket].[All]" allUniqueName="[Table_1].[Duration Bucket].[All]" dimensionUniqueName="[Table_1]" displayFolder="" count="0" memberValueDatatype="130" unbalanced="0"/>
    <cacheHierarchy uniqueName="[Table_1].[Rating rounded]" caption="Rating rounded" attribute="1" defaultMemberUniqueName="[Table_1].[Rating rounded].[All]" allUniqueName="[Table_1].[Rating rounded].[All]" dimensionUniqueName="[Table_1]" displayFolder="" count="0" memberValueDatatype="20" unbalanced="0"/>
    <cacheHierarchy uniqueName="[Table_1].[Duration Category]" caption="Duration Category" attribute="1" defaultMemberUniqueName="[Table_1].[Duration Category].[All]" allUniqueName="[Table_1].[Duration Category].[All]" dimensionUniqueName="[Table_1]" displayFolder="" count="0" memberValueDatatype="130" unbalanced="0"/>
    <cacheHierarchy uniqueName="[Table_1].[Purchase Category]" caption="Purchase Category" attribute="1" defaultMemberUniqueName="[Table_1].[Purchase Category].[All]" allUniqueName="[Table_1].[Purchase Category].[All]" dimensionUniqueName="[Table_1]" displayFolder="" count="0" memberValueDatatype="130" unbalanced="0"/>
    <cacheHierarchy uniqueName="[Table_1].[Date of Call (Month)]" caption="Date of Call (Month)" attribute="1" defaultMemberUniqueName="[Table_1].[Date of Call (Month)].[All]" allUniqueName="[Table_1].[Date of Call (Month)].[All]" dimensionUniqueName="[Table_1]" displayFolder="" count="2" memberValueDatatype="130" unbalanced="0"/>
    <cacheHierarchy uniqueName="[Table_1].[Date of Call (Month Index)]" caption="Date of Call (Month Index)" attribute="1" defaultMemberUniqueName="[Table_1].[Date of Call (Month Index)].[All]" allUniqueName="[Table_1].[Date of Call (Month Index)].[All]" dimensionUniqueName="[Table_1]" displayFolder="" count="0" memberValueDatatype="20" unbalanced="0" hidden="1"/>
    <cacheHierarchy uniqueName="[Measures].[__XL_Count Table_1]" caption="__XL_Count Table_1" measure="1" displayFolder="" measureGroup="Table_1" count="0" hidden="1"/>
    <cacheHierarchy uniqueName="[Measures].[__No measures defined]" caption="__No measures defined" measure="1" displayFolder="" count="0" hidden="1"/>
    <cacheHierarchy uniqueName="[Measures].[Sum of Purchase Amount]" caption="Sum of Purchase Amount" measure="1" displayFolder="" measureGroup="Table_1" count="0" hidden="1">
      <extLst>
        <ext xmlns:x15="http://schemas.microsoft.com/office/spreadsheetml/2010/11/main" uri="{B97F6D7D-B522-45F9-BDA1-12C45D357490}">
          <x15:cacheHierarchy aggregatedColumn="5"/>
        </ext>
      </extLst>
    </cacheHierarchy>
    <cacheHierarchy uniqueName="[Measures].[Sum of Satisfaction Rating]" caption="Sum of Satisfaction Rating" measure="1" displayFolder="" measureGroup="Table_1" count="0" hidden="1">
      <extLst>
        <ext xmlns:x15="http://schemas.microsoft.com/office/spreadsheetml/2010/11/main" uri="{B97F6D7D-B522-45F9-BDA1-12C45D357490}">
          <x15:cacheHierarchy aggregatedColumn="6"/>
        </ext>
      </extLst>
    </cacheHierarchy>
    <cacheHierarchy uniqueName="[Measures].[Average of Satisfaction Rating]" caption="Average of Satisfaction Rating" measure="1" displayFolder="" measureGroup="Table_1" count="0" oneField="1" hidden="1">
      <fieldsUsage count="1">
        <fieldUsage x="1"/>
      </fieldsUsage>
      <extLst>
        <ext xmlns:x15="http://schemas.microsoft.com/office/spreadsheetml/2010/11/main" uri="{B97F6D7D-B522-45F9-BDA1-12C45D357490}">
          <x15:cacheHierarchy aggregatedColumn="6"/>
        </ext>
      </extLst>
    </cacheHierarchy>
    <cacheHierarchy uniqueName="[Measures].[Count of Satisfaction Rating]" caption="Count of Satisfaction Rating" measure="1" displayFolder="" measureGroup="Table_1" count="0" hidden="1">
      <extLst>
        <ext xmlns:x15="http://schemas.microsoft.com/office/spreadsheetml/2010/11/main" uri="{B97F6D7D-B522-45F9-BDA1-12C45D357490}">
          <x15:cacheHierarchy aggregatedColumn="6"/>
        </ext>
      </extLst>
    </cacheHierarchy>
    <cacheHierarchy uniqueName="[Measures].[Count of Duration Category]" caption="Count of Duration Category" measure="1" displayFolder="" measureGroup="Table_1" count="0" hidden="1">
      <extLst>
        <ext xmlns:x15="http://schemas.microsoft.com/office/spreadsheetml/2010/11/main" uri="{B97F6D7D-B522-45F9-BDA1-12C45D357490}">
          <x15:cacheHierarchy aggregatedColumn="11"/>
        </ext>
      </extLst>
    </cacheHierarchy>
    <cacheHierarchy uniqueName="[Measures].[Count of Call number]" caption="Count of Call number" measure="1" displayFolder="" measureGroup="Table_1" count="0" hidden="1">
      <extLst>
        <ext xmlns:x15="http://schemas.microsoft.com/office/spreadsheetml/2010/11/main" uri="{B97F6D7D-B522-45F9-BDA1-12C45D357490}">
          <x15:cacheHierarchy aggregatedColumn="0"/>
        </ext>
      </extLst>
    </cacheHierarchy>
    <cacheHierarchy uniqueName="[Measures].[Count of Representative]" caption="Count of Representative" measure="1" displayFolder="" measureGroup="Table_1" count="0" hidden="1">
      <extLst>
        <ext xmlns:x15="http://schemas.microsoft.com/office/spreadsheetml/2010/11/main" uri="{B97F6D7D-B522-45F9-BDA1-12C45D357490}">
          <x15:cacheHierarchy aggregatedColumn="3"/>
        </ext>
      </extLst>
    </cacheHierarchy>
    <cacheHierarchy uniqueName="[Measures].[Distinct Count of Representative]" caption="Distinct Count of Representative" measure="1" displayFolder="" measureGroup="Table_1" count="0" hidden="1">
      <extLst>
        <ext xmlns:x15="http://schemas.microsoft.com/office/spreadsheetml/2010/11/main" uri="{B97F6D7D-B522-45F9-BDA1-12C45D357490}">
          <x15:cacheHierarchy aggregatedColumn="3"/>
        </ext>
      </extLst>
    </cacheHierarchy>
    <cacheHierarchy uniqueName="[Measures].[Count of Customer ID]" caption="Count of Customer ID" measure="1" displayFolder="" measureGroup="Table_1" count="0" hidden="1">
      <extLst>
        <ext xmlns:x15="http://schemas.microsoft.com/office/spreadsheetml/2010/11/main" uri="{B97F6D7D-B522-45F9-BDA1-12C45D357490}">
          <x15:cacheHierarchy aggregatedColumn="1"/>
        </ext>
      </extLst>
    </cacheHierarchy>
    <cacheHierarchy uniqueName="[Measures].[Distinct Count of Customer ID]" caption="Distinct Count of Customer ID" measure="1" displayFolder="" measureGroup="Table_1" count="0" hidden="1">
      <extLst>
        <ext xmlns:x15="http://schemas.microsoft.com/office/spreadsheetml/2010/11/main" uri="{B97F6D7D-B522-45F9-BDA1-12C45D357490}">
          <x15:cacheHierarchy aggregatedColumn="1"/>
        </ext>
      </extLst>
    </cacheHierarchy>
    <cacheHierarchy uniqueName="[Measures].[Count of Duration Bucket]" caption="Count of Duration Bucket" measure="1" displayFolder="" measureGroup="Table_1"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Table_1" uniqueName="[Table_1]" caption="Table_1"/>
  </dimensions>
  <measureGroups count="1">
    <measureGroup name="Table_1" caption="Table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med Hesham" refreshedDate="46306.083472106482" backgroundQuery="1" createdVersion="8" refreshedVersion="8" minRefreshableVersion="3" recordCount="0" supportSubquery="1" supportAdvancedDrill="1" xr:uid="{64260E41-7538-40FA-A5C2-9FCB708F9FC0}">
  <cacheSource type="external" connectionId="1"/>
  <cacheFields count="3">
    <cacheField name="[Table_1].[Duration Category].[Duration Category]" caption="Duration Category" numFmtId="0" hierarchy="11" level="1">
      <sharedItems count="4">
        <s v="Long"/>
        <s v="Medium"/>
        <s v="Short"/>
        <s v="Very Short"/>
      </sharedItems>
    </cacheField>
    <cacheField name="[Measures].[Count of Duration Category]" caption="Count of Duration Category" numFmtId="0" hierarchy="21" level="32767"/>
    <cacheField name="[Table_1].[Day of week].[Day of week]" caption="Day of week" numFmtId="0" hierarchy="8" level="1">
      <sharedItems containsSemiMixedTypes="0" containsNonDate="0" containsString="0"/>
    </cacheField>
  </cacheFields>
  <cacheHierarchies count="28">
    <cacheHierarchy uniqueName="[Table_1].[Call number]" caption="Call number" attribute="1" defaultMemberUniqueName="[Table_1].[Call number].[All]" allUniqueName="[Table_1].[Call number].[All]" dimensionUniqueName="[Table_1]" displayFolder="" count="0" memberValueDatatype="130" unbalanced="0"/>
    <cacheHierarchy uniqueName="[Table_1].[Customer ID]" caption="Customer ID" attribute="1" defaultMemberUniqueName="[Table_1].[Customer ID].[All]" allUniqueName="[Table_1].[Customer ID].[All]" dimensionUniqueName="[Table_1]" displayFolder="" count="0" memberValueDatatype="130" unbalanced="0"/>
    <cacheHierarchy uniqueName="[Table_1].[Duration]" caption="Duration" attribute="1" defaultMemberUniqueName="[Table_1].[Duration].[All]" allUniqueName="[Table_1].[Duration].[All]" dimensionUniqueName="[Table_1]" displayFolder="" count="0" memberValueDatatype="20" unbalanced="0"/>
    <cacheHierarchy uniqueName="[Table_1].[Representative]" caption="Representative" attribute="1" defaultMemberUniqueName="[Table_1].[Representative].[All]" allUniqueName="[Table_1].[Representative].[All]" dimensionUniqueName="[Table_1]" displayFolder="" count="0" memberValueDatatype="130" unbalanced="0"/>
    <cacheHierarchy uniqueName="[Table_1].[Date of Call]" caption="Date of Call" attribute="1" time="1" defaultMemberUniqueName="[Table_1].[Date of Call].[All]" allUniqueName="[Table_1].[Date of Call].[All]" dimensionUniqueName="[Table_1]" displayFolder="" count="0" memberValueDatatype="7" unbalanced="0"/>
    <cacheHierarchy uniqueName="[Table_1].[Purchase Amount]" caption="Purchase Amount" attribute="1" defaultMemberUniqueName="[Table_1].[Purchase Amount].[All]" allUniqueName="[Table_1].[Purchase Amount].[All]" dimensionUniqueName="[Table_1]" displayFolder="" count="0" memberValueDatatype="20" unbalanced="0"/>
    <cacheHierarchy uniqueName="[Table_1].[Satisfaction Rating]" caption="Satisfaction Rating" attribute="1" defaultMemberUniqueName="[Table_1].[Satisfaction Rating].[All]" allUniqueName="[Table_1].[Satisfaction Rating].[All]" dimensionUniqueName="[Table_1]" displayFolder="" count="0" memberValueDatatype="5" unbalanced="0"/>
    <cacheHierarchy uniqueName="[Table_1].[Financial Year]" caption="Financial Year" attribute="1" defaultMemberUniqueName="[Table_1].[Financial Year].[All]" allUniqueName="[Table_1].[Financial Year].[All]" dimensionUniqueName="[Table_1]" displayFolder="" count="0" memberValueDatatype="20" unbalanced="0"/>
    <cacheHierarchy uniqueName="[Table_1].[Day of week]" caption="Day of week" attribute="1" defaultMemberUniqueName="[Table_1].[Day of week].[All]" allUniqueName="[Table_1].[Day of week].[All]" dimensionUniqueName="[Table_1]" displayFolder="" count="2" memberValueDatatype="130" unbalanced="0">
      <fieldsUsage count="2">
        <fieldUsage x="-1"/>
        <fieldUsage x="2"/>
      </fieldsUsage>
    </cacheHierarchy>
    <cacheHierarchy uniqueName="[Table_1].[Duration Bucket]" caption="Duration Bucket" attribute="1" defaultMemberUniqueName="[Table_1].[Duration Bucket].[All]" allUniqueName="[Table_1].[Duration Bucket].[All]" dimensionUniqueName="[Table_1]" displayFolder="" count="0" memberValueDatatype="130" unbalanced="0"/>
    <cacheHierarchy uniqueName="[Table_1].[Rating rounded]" caption="Rating rounded" attribute="1" defaultMemberUniqueName="[Table_1].[Rating rounded].[All]" allUniqueName="[Table_1].[Rating rounded].[All]" dimensionUniqueName="[Table_1]" displayFolder="" count="0" memberValueDatatype="20" unbalanced="0"/>
    <cacheHierarchy uniqueName="[Table_1].[Duration Category]" caption="Duration Category" attribute="1" defaultMemberUniqueName="[Table_1].[Duration Category].[All]" allUniqueName="[Table_1].[Duration Category].[All]" dimensionUniqueName="[Table_1]" displayFolder="" count="2" memberValueDatatype="130" unbalanced="0">
      <fieldsUsage count="2">
        <fieldUsage x="-1"/>
        <fieldUsage x="0"/>
      </fieldsUsage>
    </cacheHierarchy>
    <cacheHierarchy uniqueName="[Table_1].[Purchase Category]" caption="Purchase Category" attribute="1" defaultMemberUniqueName="[Table_1].[Purchase Category].[All]" allUniqueName="[Table_1].[Purchase Category].[All]" dimensionUniqueName="[Table_1]" displayFolder="" count="0" memberValueDatatype="130" unbalanced="0"/>
    <cacheHierarchy uniqueName="[Table_1].[Date of Call (Month)]" caption="Date of Call (Month)" attribute="1" defaultMemberUniqueName="[Table_1].[Date of Call (Month)].[All]" allUniqueName="[Table_1].[Date of Call (Month)].[All]" dimensionUniqueName="[Table_1]" displayFolder="" count="2" memberValueDatatype="130" unbalanced="0"/>
    <cacheHierarchy uniqueName="[Table_1].[Date of Call (Month Index)]" caption="Date of Call (Month Index)" attribute="1" defaultMemberUniqueName="[Table_1].[Date of Call (Month Index)].[All]" allUniqueName="[Table_1].[Date of Call (Month Index)].[All]" dimensionUniqueName="[Table_1]" displayFolder="" count="0" memberValueDatatype="20" unbalanced="0" hidden="1"/>
    <cacheHierarchy uniqueName="[Measures].[__XL_Count Table_1]" caption="__XL_Count Table_1" measure="1" displayFolder="" measureGroup="Table_1" count="0" hidden="1"/>
    <cacheHierarchy uniqueName="[Measures].[__No measures defined]" caption="__No measures defined" measure="1" displayFolder="" count="0" hidden="1"/>
    <cacheHierarchy uniqueName="[Measures].[Sum of Purchase Amount]" caption="Sum of Purchase Amount" measure="1" displayFolder="" measureGroup="Table_1" count="0" hidden="1">
      <extLst>
        <ext xmlns:x15="http://schemas.microsoft.com/office/spreadsheetml/2010/11/main" uri="{B97F6D7D-B522-45F9-BDA1-12C45D357490}">
          <x15:cacheHierarchy aggregatedColumn="5"/>
        </ext>
      </extLst>
    </cacheHierarchy>
    <cacheHierarchy uniqueName="[Measures].[Sum of Satisfaction Rating]" caption="Sum of Satisfaction Rating" measure="1" displayFolder="" measureGroup="Table_1" count="0" hidden="1">
      <extLst>
        <ext xmlns:x15="http://schemas.microsoft.com/office/spreadsheetml/2010/11/main" uri="{B97F6D7D-B522-45F9-BDA1-12C45D357490}">
          <x15:cacheHierarchy aggregatedColumn="6"/>
        </ext>
      </extLst>
    </cacheHierarchy>
    <cacheHierarchy uniqueName="[Measures].[Average of Satisfaction Rating]" caption="Average of Satisfaction Rating" measure="1" displayFolder="" measureGroup="Table_1" count="0" hidden="1">
      <extLst>
        <ext xmlns:x15="http://schemas.microsoft.com/office/spreadsheetml/2010/11/main" uri="{B97F6D7D-B522-45F9-BDA1-12C45D357490}">
          <x15:cacheHierarchy aggregatedColumn="6"/>
        </ext>
      </extLst>
    </cacheHierarchy>
    <cacheHierarchy uniqueName="[Measures].[Count of Satisfaction Rating]" caption="Count of Satisfaction Rating" measure="1" displayFolder="" measureGroup="Table_1" count="0" hidden="1">
      <extLst>
        <ext xmlns:x15="http://schemas.microsoft.com/office/spreadsheetml/2010/11/main" uri="{B97F6D7D-B522-45F9-BDA1-12C45D357490}">
          <x15:cacheHierarchy aggregatedColumn="6"/>
        </ext>
      </extLst>
    </cacheHierarchy>
    <cacheHierarchy uniqueName="[Measures].[Count of Duration Category]" caption="Count of Duration Category" measure="1" displayFolder="" measureGroup="Table_1" count="0" oneField="1" hidden="1">
      <fieldsUsage count="1">
        <fieldUsage x="1"/>
      </fieldsUsage>
      <extLst>
        <ext xmlns:x15="http://schemas.microsoft.com/office/spreadsheetml/2010/11/main" uri="{B97F6D7D-B522-45F9-BDA1-12C45D357490}">
          <x15:cacheHierarchy aggregatedColumn="11"/>
        </ext>
      </extLst>
    </cacheHierarchy>
    <cacheHierarchy uniqueName="[Measures].[Count of Call number]" caption="Count of Call number" measure="1" displayFolder="" measureGroup="Table_1" count="0" hidden="1">
      <extLst>
        <ext xmlns:x15="http://schemas.microsoft.com/office/spreadsheetml/2010/11/main" uri="{B97F6D7D-B522-45F9-BDA1-12C45D357490}">
          <x15:cacheHierarchy aggregatedColumn="0"/>
        </ext>
      </extLst>
    </cacheHierarchy>
    <cacheHierarchy uniqueName="[Measures].[Count of Representative]" caption="Count of Representative" measure="1" displayFolder="" measureGroup="Table_1" count="0" hidden="1">
      <extLst>
        <ext xmlns:x15="http://schemas.microsoft.com/office/spreadsheetml/2010/11/main" uri="{B97F6D7D-B522-45F9-BDA1-12C45D357490}">
          <x15:cacheHierarchy aggregatedColumn="3"/>
        </ext>
      </extLst>
    </cacheHierarchy>
    <cacheHierarchy uniqueName="[Measures].[Distinct Count of Representative]" caption="Distinct Count of Representative" measure="1" displayFolder="" measureGroup="Table_1" count="0" hidden="1">
      <extLst>
        <ext xmlns:x15="http://schemas.microsoft.com/office/spreadsheetml/2010/11/main" uri="{B97F6D7D-B522-45F9-BDA1-12C45D357490}">
          <x15:cacheHierarchy aggregatedColumn="3"/>
        </ext>
      </extLst>
    </cacheHierarchy>
    <cacheHierarchy uniqueName="[Measures].[Count of Customer ID]" caption="Count of Customer ID" measure="1" displayFolder="" measureGroup="Table_1" count="0" hidden="1">
      <extLst>
        <ext xmlns:x15="http://schemas.microsoft.com/office/spreadsheetml/2010/11/main" uri="{B97F6D7D-B522-45F9-BDA1-12C45D357490}">
          <x15:cacheHierarchy aggregatedColumn="1"/>
        </ext>
      </extLst>
    </cacheHierarchy>
    <cacheHierarchy uniqueName="[Measures].[Distinct Count of Customer ID]" caption="Distinct Count of Customer ID" measure="1" displayFolder="" measureGroup="Table_1" count="0" hidden="1">
      <extLst>
        <ext xmlns:x15="http://schemas.microsoft.com/office/spreadsheetml/2010/11/main" uri="{B97F6D7D-B522-45F9-BDA1-12C45D357490}">
          <x15:cacheHierarchy aggregatedColumn="1"/>
        </ext>
      </extLst>
    </cacheHierarchy>
    <cacheHierarchy uniqueName="[Measures].[Count of Duration Bucket]" caption="Count of Duration Bucket" measure="1" displayFolder="" measureGroup="Table_1"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Table_1" uniqueName="[Table_1]" caption="Table_1"/>
  </dimensions>
  <measureGroups count="1">
    <measureGroup name="Table_1" caption="Table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med Hesham" refreshedDate="46306.083472337959" backgroundQuery="1" createdVersion="8" refreshedVersion="8" minRefreshableVersion="3" recordCount="0" supportSubquery="1" supportAdvancedDrill="1" xr:uid="{0D19E6AF-F172-430B-9C95-50437BB4ED85}">
  <cacheSource type="external" connectionId="1"/>
  <cacheFields count="2">
    <cacheField name="[Table_1].[Day of week].[Day of week]" caption="Day of week" numFmtId="0" hierarchy="8" level="1">
      <sharedItems count="7">
        <s v="Friday"/>
        <s v="Monday"/>
        <s v="Saturday"/>
        <s v="Sunday"/>
        <s v="Thursday"/>
        <s v="Tuesday"/>
        <s v="Wednesday"/>
      </sharedItems>
    </cacheField>
    <cacheField name="[Measures].[Sum of Purchase Amount]" caption="Sum of Purchase Amount" numFmtId="0" hierarchy="17" level="32767"/>
  </cacheFields>
  <cacheHierarchies count="28">
    <cacheHierarchy uniqueName="[Table_1].[Call number]" caption="Call number" attribute="1" defaultMemberUniqueName="[Table_1].[Call number].[All]" allUniqueName="[Table_1].[Call number].[All]" dimensionUniqueName="[Table_1]" displayFolder="" count="0" memberValueDatatype="130" unbalanced="0"/>
    <cacheHierarchy uniqueName="[Table_1].[Customer ID]" caption="Customer ID" attribute="1" defaultMemberUniqueName="[Table_1].[Customer ID].[All]" allUniqueName="[Table_1].[Customer ID].[All]" dimensionUniqueName="[Table_1]" displayFolder="" count="0" memberValueDatatype="130" unbalanced="0"/>
    <cacheHierarchy uniqueName="[Table_1].[Duration]" caption="Duration" attribute="1" defaultMemberUniqueName="[Table_1].[Duration].[All]" allUniqueName="[Table_1].[Duration].[All]" dimensionUniqueName="[Table_1]" displayFolder="" count="0" memberValueDatatype="20" unbalanced="0"/>
    <cacheHierarchy uniqueName="[Table_1].[Representative]" caption="Representative" attribute="1" defaultMemberUniqueName="[Table_1].[Representative].[All]" allUniqueName="[Table_1].[Representative].[All]" dimensionUniqueName="[Table_1]" displayFolder="" count="0" memberValueDatatype="130" unbalanced="0"/>
    <cacheHierarchy uniqueName="[Table_1].[Date of Call]" caption="Date of Call" attribute="1" time="1" defaultMemberUniqueName="[Table_1].[Date of Call].[All]" allUniqueName="[Table_1].[Date of Call].[All]" dimensionUniqueName="[Table_1]" displayFolder="" count="0" memberValueDatatype="7" unbalanced="0"/>
    <cacheHierarchy uniqueName="[Table_1].[Purchase Amount]" caption="Purchase Amount" attribute="1" defaultMemberUniqueName="[Table_1].[Purchase Amount].[All]" allUniqueName="[Table_1].[Purchase Amount].[All]" dimensionUniqueName="[Table_1]" displayFolder="" count="0" memberValueDatatype="20" unbalanced="0"/>
    <cacheHierarchy uniqueName="[Table_1].[Satisfaction Rating]" caption="Satisfaction Rating" attribute="1" defaultMemberUniqueName="[Table_1].[Satisfaction Rating].[All]" allUniqueName="[Table_1].[Satisfaction Rating].[All]" dimensionUniqueName="[Table_1]" displayFolder="" count="0" memberValueDatatype="5" unbalanced="0"/>
    <cacheHierarchy uniqueName="[Table_1].[Financial Year]" caption="Financial Year" attribute="1" defaultMemberUniqueName="[Table_1].[Financial Year].[All]" allUniqueName="[Table_1].[Financial Year].[All]" dimensionUniqueName="[Table_1]" displayFolder="" count="0" memberValueDatatype="20" unbalanced="0"/>
    <cacheHierarchy uniqueName="[Table_1].[Day of week]" caption="Day of week" attribute="1" defaultMemberUniqueName="[Table_1].[Day of week].[All]" allUniqueName="[Table_1].[Day of week].[All]" dimensionUniqueName="[Table_1]" displayFolder="" count="2" memberValueDatatype="130" unbalanced="0">
      <fieldsUsage count="2">
        <fieldUsage x="-1"/>
        <fieldUsage x="0"/>
      </fieldsUsage>
    </cacheHierarchy>
    <cacheHierarchy uniqueName="[Table_1].[Duration Bucket]" caption="Duration Bucket" attribute="1" defaultMemberUniqueName="[Table_1].[Duration Bucket].[All]" allUniqueName="[Table_1].[Duration Bucket].[All]" dimensionUniqueName="[Table_1]" displayFolder="" count="0" memberValueDatatype="130" unbalanced="0"/>
    <cacheHierarchy uniqueName="[Table_1].[Rating rounded]" caption="Rating rounded" attribute="1" defaultMemberUniqueName="[Table_1].[Rating rounded].[All]" allUniqueName="[Table_1].[Rating rounded].[All]" dimensionUniqueName="[Table_1]" displayFolder="" count="0" memberValueDatatype="20" unbalanced="0"/>
    <cacheHierarchy uniqueName="[Table_1].[Duration Category]" caption="Duration Category" attribute="1" defaultMemberUniqueName="[Table_1].[Duration Category].[All]" allUniqueName="[Table_1].[Duration Category].[All]" dimensionUniqueName="[Table_1]" displayFolder="" count="0" memberValueDatatype="130" unbalanced="0"/>
    <cacheHierarchy uniqueName="[Table_1].[Purchase Category]" caption="Purchase Category" attribute="1" defaultMemberUniqueName="[Table_1].[Purchase Category].[All]" allUniqueName="[Table_1].[Purchase Category].[All]" dimensionUniqueName="[Table_1]" displayFolder="" count="0" memberValueDatatype="130" unbalanced="0"/>
    <cacheHierarchy uniqueName="[Table_1].[Date of Call (Month)]" caption="Date of Call (Month)" attribute="1" defaultMemberUniqueName="[Table_1].[Date of Call (Month)].[All]" allUniqueName="[Table_1].[Date of Call (Month)].[All]" dimensionUniqueName="[Table_1]" displayFolder="" count="2" memberValueDatatype="130" unbalanced="0"/>
    <cacheHierarchy uniqueName="[Table_1].[Date of Call (Month Index)]" caption="Date of Call (Month Index)" attribute="1" defaultMemberUniqueName="[Table_1].[Date of Call (Month Index)].[All]" allUniqueName="[Table_1].[Date of Call (Month Index)].[All]" dimensionUniqueName="[Table_1]" displayFolder="" count="0" memberValueDatatype="20" unbalanced="0" hidden="1"/>
    <cacheHierarchy uniqueName="[Measures].[__XL_Count Table_1]" caption="__XL_Count Table_1" measure="1" displayFolder="" measureGroup="Table_1" count="0" hidden="1"/>
    <cacheHierarchy uniqueName="[Measures].[__No measures defined]" caption="__No measures defined" measure="1" displayFolder="" count="0" hidden="1"/>
    <cacheHierarchy uniqueName="[Measures].[Sum of Purchase Amount]" caption="Sum of Purchase Amount" measure="1" displayFolder="" measureGroup="Table_1" count="0" oneField="1" hidden="1">
      <fieldsUsage count="1">
        <fieldUsage x="1"/>
      </fieldsUsage>
      <extLst>
        <ext xmlns:x15="http://schemas.microsoft.com/office/spreadsheetml/2010/11/main" uri="{B97F6D7D-B522-45F9-BDA1-12C45D357490}">
          <x15:cacheHierarchy aggregatedColumn="5"/>
        </ext>
      </extLst>
    </cacheHierarchy>
    <cacheHierarchy uniqueName="[Measures].[Sum of Satisfaction Rating]" caption="Sum of Satisfaction Rating" measure="1" displayFolder="" measureGroup="Table_1" count="0" hidden="1">
      <extLst>
        <ext xmlns:x15="http://schemas.microsoft.com/office/spreadsheetml/2010/11/main" uri="{B97F6D7D-B522-45F9-BDA1-12C45D357490}">
          <x15:cacheHierarchy aggregatedColumn="6"/>
        </ext>
      </extLst>
    </cacheHierarchy>
    <cacheHierarchy uniqueName="[Measures].[Average of Satisfaction Rating]" caption="Average of Satisfaction Rating" measure="1" displayFolder="" measureGroup="Table_1" count="0" hidden="1">
      <extLst>
        <ext xmlns:x15="http://schemas.microsoft.com/office/spreadsheetml/2010/11/main" uri="{B97F6D7D-B522-45F9-BDA1-12C45D357490}">
          <x15:cacheHierarchy aggregatedColumn="6"/>
        </ext>
      </extLst>
    </cacheHierarchy>
    <cacheHierarchy uniqueName="[Measures].[Count of Satisfaction Rating]" caption="Count of Satisfaction Rating" measure="1" displayFolder="" measureGroup="Table_1" count="0" hidden="1">
      <extLst>
        <ext xmlns:x15="http://schemas.microsoft.com/office/spreadsheetml/2010/11/main" uri="{B97F6D7D-B522-45F9-BDA1-12C45D357490}">
          <x15:cacheHierarchy aggregatedColumn="6"/>
        </ext>
      </extLst>
    </cacheHierarchy>
    <cacheHierarchy uniqueName="[Measures].[Count of Duration Category]" caption="Count of Duration Category" measure="1" displayFolder="" measureGroup="Table_1" count="0" hidden="1">
      <extLst>
        <ext xmlns:x15="http://schemas.microsoft.com/office/spreadsheetml/2010/11/main" uri="{B97F6D7D-B522-45F9-BDA1-12C45D357490}">
          <x15:cacheHierarchy aggregatedColumn="11"/>
        </ext>
      </extLst>
    </cacheHierarchy>
    <cacheHierarchy uniqueName="[Measures].[Count of Call number]" caption="Count of Call number" measure="1" displayFolder="" measureGroup="Table_1" count="0" hidden="1">
      <extLst>
        <ext xmlns:x15="http://schemas.microsoft.com/office/spreadsheetml/2010/11/main" uri="{B97F6D7D-B522-45F9-BDA1-12C45D357490}">
          <x15:cacheHierarchy aggregatedColumn="0"/>
        </ext>
      </extLst>
    </cacheHierarchy>
    <cacheHierarchy uniqueName="[Measures].[Count of Representative]" caption="Count of Representative" measure="1" displayFolder="" measureGroup="Table_1" count="0" hidden="1">
      <extLst>
        <ext xmlns:x15="http://schemas.microsoft.com/office/spreadsheetml/2010/11/main" uri="{B97F6D7D-B522-45F9-BDA1-12C45D357490}">
          <x15:cacheHierarchy aggregatedColumn="3"/>
        </ext>
      </extLst>
    </cacheHierarchy>
    <cacheHierarchy uniqueName="[Measures].[Distinct Count of Representative]" caption="Distinct Count of Representative" measure="1" displayFolder="" measureGroup="Table_1" count="0" hidden="1">
      <extLst>
        <ext xmlns:x15="http://schemas.microsoft.com/office/spreadsheetml/2010/11/main" uri="{B97F6D7D-B522-45F9-BDA1-12C45D357490}">
          <x15:cacheHierarchy aggregatedColumn="3"/>
        </ext>
      </extLst>
    </cacheHierarchy>
    <cacheHierarchy uniqueName="[Measures].[Count of Customer ID]" caption="Count of Customer ID" measure="1" displayFolder="" measureGroup="Table_1" count="0" hidden="1">
      <extLst>
        <ext xmlns:x15="http://schemas.microsoft.com/office/spreadsheetml/2010/11/main" uri="{B97F6D7D-B522-45F9-BDA1-12C45D357490}">
          <x15:cacheHierarchy aggregatedColumn="1"/>
        </ext>
      </extLst>
    </cacheHierarchy>
    <cacheHierarchy uniqueName="[Measures].[Distinct Count of Customer ID]" caption="Distinct Count of Customer ID" measure="1" displayFolder="" measureGroup="Table_1" count="0" hidden="1">
      <extLst>
        <ext xmlns:x15="http://schemas.microsoft.com/office/spreadsheetml/2010/11/main" uri="{B97F6D7D-B522-45F9-BDA1-12C45D357490}">
          <x15:cacheHierarchy aggregatedColumn="1"/>
        </ext>
      </extLst>
    </cacheHierarchy>
    <cacheHierarchy uniqueName="[Measures].[Count of Duration Bucket]" caption="Count of Duration Bucket" measure="1" displayFolder="" measureGroup="Table_1"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Table_1" uniqueName="[Table_1]" caption="Table_1"/>
  </dimensions>
  <measureGroups count="1">
    <measureGroup name="Table_1" caption="Table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med Hesham" refreshedDate="46306.083472800929" backgroundQuery="1" createdVersion="8" refreshedVersion="8" minRefreshableVersion="3" recordCount="0" supportSubquery="1" supportAdvancedDrill="1" xr:uid="{B197BEBC-9F06-4C13-B803-69BDFC4A4513}">
  <cacheSource type="external" connectionId="1"/>
  <cacheFields count="3">
    <cacheField name="[Table_1].[Representative].[Representative]" caption="Representative" numFmtId="0" hierarchy="3" level="1">
      <sharedItems count="5">
        <s v="R01"/>
        <s v="R02"/>
        <s v="R03"/>
        <s v="R04"/>
        <s v="R05"/>
      </sharedItems>
    </cacheField>
    <cacheField name="[Measures].[Count of Call number]" caption="Count of Call number" numFmtId="0" hierarchy="22" level="32767"/>
    <cacheField name="[Table_1].[Day of week].[Day of week]" caption="Day of week" numFmtId="0" hierarchy="8" level="1">
      <sharedItems containsSemiMixedTypes="0" containsNonDate="0" containsString="0"/>
    </cacheField>
  </cacheFields>
  <cacheHierarchies count="28">
    <cacheHierarchy uniqueName="[Table_1].[Call number]" caption="Call number" attribute="1" defaultMemberUniqueName="[Table_1].[Call number].[All]" allUniqueName="[Table_1].[Call number].[All]" dimensionUniqueName="[Table_1]" displayFolder="" count="0" memberValueDatatype="130" unbalanced="0"/>
    <cacheHierarchy uniqueName="[Table_1].[Customer ID]" caption="Customer ID" attribute="1" defaultMemberUniqueName="[Table_1].[Customer ID].[All]" allUniqueName="[Table_1].[Customer ID].[All]" dimensionUniqueName="[Table_1]" displayFolder="" count="0" memberValueDatatype="130" unbalanced="0"/>
    <cacheHierarchy uniqueName="[Table_1].[Duration]" caption="Duration" attribute="1" defaultMemberUniqueName="[Table_1].[Duration].[All]" allUniqueName="[Table_1].[Duration].[All]" dimensionUniqueName="[Table_1]" displayFolder="" count="0" memberValueDatatype="20" unbalanced="0"/>
    <cacheHierarchy uniqueName="[Table_1].[Representative]" caption="Representative" attribute="1" defaultMemberUniqueName="[Table_1].[Representative].[All]" allUniqueName="[Table_1].[Representative].[All]" dimensionUniqueName="[Table_1]" displayFolder="" count="2" memberValueDatatype="130" unbalanced="0">
      <fieldsUsage count="2">
        <fieldUsage x="-1"/>
        <fieldUsage x="0"/>
      </fieldsUsage>
    </cacheHierarchy>
    <cacheHierarchy uniqueName="[Table_1].[Date of Call]" caption="Date of Call" attribute="1" time="1" defaultMemberUniqueName="[Table_1].[Date of Call].[All]" allUniqueName="[Table_1].[Date of Call].[All]" dimensionUniqueName="[Table_1]" displayFolder="" count="0" memberValueDatatype="7" unbalanced="0"/>
    <cacheHierarchy uniqueName="[Table_1].[Purchase Amount]" caption="Purchase Amount" attribute="1" defaultMemberUniqueName="[Table_1].[Purchase Amount].[All]" allUniqueName="[Table_1].[Purchase Amount].[All]" dimensionUniqueName="[Table_1]" displayFolder="" count="0" memberValueDatatype="20" unbalanced="0"/>
    <cacheHierarchy uniqueName="[Table_1].[Satisfaction Rating]" caption="Satisfaction Rating" attribute="1" defaultMemberUniqueName="[Table_1].[Satisfaction Rating].[All]" allUniqueName="[Table_1].[Satisfaction Rating].[All]" dimensionUniqueName="[Table_1]" displayFolder="" count="0" memberValueDatatype="5" unbalanced="0"/>
    <cacheHierarchy uniqueName="[Table_1].[Financial Year]" caption="Financial Year" attribute="1" defaultMemberUniqueName="[Table_1].[Financial Year].[All]" allUniqueName="[Table_1].[Financial Year].[All]" dimensionUniqueName="[Table_1]" displayFolder="" count="0" memberValueDatatype="20" unbalanced="0"/>
    <cacheHierarchy uniqueName="[Table_1].[Day of week]" caption="Day of week" attribute="1" defaultMemberUniqueName="[Table_1].[Day of week].[All]" allUniqueName="[Table_1].[Day of week].[All]" dimensionUniqueName="[Table_1]" displayFolder="" count="2" memberValueDatatype="130" unbalanced="0">
      <fieldsUsage count="2">
        <fieldUsage x="-1"/>
        <fieldUsage x="2"/>
      </fieldsUsage>
    </cacheHierarchy>
    <cacheHierarchy uniqueName="[Table_1].[Duration Bucket]" caption="Duration Bucket" attribute="1" defaultMemberUniqueName="[Table_1].[Duration Bucket].[All]" allUniqueName="[Table_1].[Duration Bucket].[All]" dimensionUniqueName="[Table_1]" displayFolder="" count="0" memberValueDatatype="130" unbalanced="0"/>
    <cacheHierarchy uniqueName="[Table_1].[Rating rounded]" caption="Rating rounded" attribute="1" defaultMemberUniqueName="[Table_1].[Rating rounded].[All]" allUniqueName="[Table_1].[Rating rounded].[All]" dimensionUniqueName="[Table_1]" displayFolder="" count="0" memberValueDatatype="20" unbalanced="0"/>
    <cacheHierarchy uniqueName="[Table_1].[Duration Category]" caption="Duration Category" attribute="1" defaultMemberUniqueName="[Table_1].[Duration Category].[All]" allUniqueName="[Table_1].[Duration Category].[All]" dimensionUniqueName="[Table_1]" displayFolder="" count="0" memberValueDatatype="130" unbalanced="0"/>
    <cacheHierarchy uniqueName="[Table_1].[Purchase Category]" caption="Purchase Category" attribute="1" defaultMemberUniqueName="[Table_1].[Purchase Category].[All]" allUniqueName="[Table_1].[Purchase Category].[All]" dimensionUniqueName="[Table_1]" displayFolder="" count="0" memberValueDatatype="130" unbalanced="0"/>
    <cacheHierarchy uniqueName="[Table_1].[Date of Call (Month)]" caption="Date of Call (Month)" attribute="1" defaultMemberUniqueName="[Table_1].[Date of Call (Month)].[All]" allUniqueName="[Table_1].[Date of Call (Month)].[All]" dimensionUniqueName="[Table_1]" displayFolder="" count="2" memberValueDatatype="130" unbalanced="0"/>
    <cacheHierarchy uniqueName="[Table_1].[Date of Call (Month Index)]" caption="Date of Call (Month Index)" attribute="1" defaultMemberUniqueName="[Table_1].[Date of Call (Month Index)].[All]" allUniqueName="[Table_1].[Date of Call (Month Index)].[All]" dimensionUniqueName="[Table_1]" displayFolder="" count="0" memberValueDatatype="20" unbalanced="0" hidden="1"/>
    <cacheHierarchy uniqueName="[Measures].[__XL_Count Table_1]" caption="__XL_Count Table_1" measure="1" displayFolder="" measureGroup="Table_1" count="0" hidden="1"/>
    <cacheHierarchy uniqueName="[Measures].[__No measures defined]" caption="__No measures defined" measure="1" displayFolder="" count="0" hidden="1"/>
    <cacheHierarchy uniqueName="[Measures].[Sum of Purchase Amount]" caption="Sum of Purchase Amount" measure="1" displayFolder="" measureGroup="Table_1" count="0" hidden="1">
      <extLst>
        <ext xmlns:x15="http://schemas.microsoft.com/office/spreadsheetml/2010/11/main" uri="{B97F6D7D-B522-45F9-BDA1-12C45D357490}">
          <x15:cacheHierarchy aggregatedColumn="5"/>
        </ext>
      </extLst>
    </cacheHierarchy>
    <cacheHierarchy uniqueName="[Measures].[Sum of Satisfaction Rating]" caption="Sum of Satisfaction Rating" measure="1" displayFolder="" measureGroup="Table_1" count="0" hidden="1">
      <extLst>
        <ext xmlns:x15="http://schemas.microsoft.com/office/spreadsheetml/2010/11/main" uri="{B97F6D7D-B522-45F9-BDA1-12C45D357490}">
          <x15:cacheHierarchy aggregatedColumn="6"/>
        </ext>
      </extLst>
    </cacheHierarchy>
    <cacheHierarchy uniqueName="[Measures].[Average of Satisfaction Rating]" caption="Average of Satisfaction Rating" measure="1" displayFolder="" measureGroup="Table_1" count="0" hidden="1">
      <extLst>
        <ext xmlns:x15="http://schemas.microsoft.com/office/spreadsheetml/2010/11/main" uri="{B97F6D7D-B522-45F9-BDA1-12C45D357490}">
          <x15:cacheHierarchy aggregatedColumn="6"/>
        </ext>
      </extLst>
    </cacheHierarchy>
    <cacheHierarchy uniqueName="[Measures].[Count of Satisfaction Rating]" caption="Count of Satisfaction Rating" measure="1" displayFolder="" measureGroup="Table_1" count="0" hidden="1">
      <extLst>
        <ext xmlns:x15="http://schemas.microsoft.com/office/spreadsheetml/2010/11/main" uri="{B97F6D7D-B522-45F9-BDA1-12C45D357490}">
          <x15:cacheHierarchy aggregatedColumn="6"/>
        </ext>
      </extLst>
    </cacheHierarchy>
    <cacheHierarchy uniqueName="[Measures].[Count of Duration Category]" caption="Count of Duration Category" measure="1" displayFolder="" measureGroup="Table_1" count="0" hidden="1">
      <extLst>
        <ext xmlns:x15="http://schemas.microsoft.com/office/spreadsheetml/2010/11/main" uri="{B97F6D7D-B522-45F9-BDA1-12C45D357490}">
          <x15:cacheHierarchy aggregatedColumn="11"/>
        </ext>
      </extLst>
    </cacheHierarchy>
    <cacheHierarchy uniqueName="[Measures].[Count of Call number]" caption="Count of Call number" measure="1" displayFolder="" measureGroup="Table_1"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Representative]" caption="Count of Representative" measure="1" displayFolder="" measureGroup="Table_1" count="0" hidden="1">
      <extLst>
        <ext xmlns:x15="http://schemas.microsoft.com/office/spreadsheetml/2010/11/main" uri="{B97F6D7D-B522-45F9-BDA1-12C45D357490}">
          <x15:cacheHierarchy aggregatedColumn="3"/>
        </ext>
      </extLst>
    </cacheHierarchy>
    <cacheHierarchy uniqueName="[Measures].[Distinct Count of Representative]" caption="Distinct Count of Representative" measure="1" displayFolder="" measureGroup="Table_1" count="0" hidden="1">
      <extLst>
        <ext xmlns:x15="http://schemas.microsoft.com/office/spreadsheetml/2010/11/main" uri="{B97F6D7D-B522-45F9-BDA1-12C45D357490}">
          <x15:cacheHierarchy aggregatedColumn="3"/>
        </ext>
      </extLst>
    </cacheHierarchy>
    <cacheHierarchy uniqueName="[Measures].[Count of Customer ID]" caption="Count of Customer ID" measure="1" displayFolder="" measureGroup="Table_1" count="0" hidden="1">
      <extLst>
        <ext xmlns:x15="http://schemas.microsoft.com/office/spreadsheetml/2010/11/main" uri="{B97F6D7D-B522-45F9-BDA1-12C45D357490}">
          <x15:cacheHierarchy aggregatedColumn="1"/>
        </ext>
      </extLst>
    </cacheHierarchy>
    <cacheHierarchy uniqueName="[Measures].[Distinct Count of Customer ID]" caption="Distinct Count of Customer ID" measure="1" displayFolder="" measureGroup="Table_1" count="0" hidden="1">
      <extLst>
        <ext xmlns:x15="http://schemas.microsoft.com/office/spreadsheetml/2010/11/main" uri="{B97F6D7D-B522-45F9-BDA1-12C45D357490}">
          <x15:cacheHierarchy aggregatedColumn="1"/>
        </ext>
      </extLst>
    </cacheHierarchy>
    <cacheHierarchy uniqueName="[Measures].[Count of Duration Bucket]" caption="Count of Duration Bucket" measure="1" displayFolder="" measureGroup="Table_1"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Table_1" uniqueName="[Table_1]" caption="Table_1"/>
  </dimensions>
  <measureGroups count="1">
    <measureGroup name="Table_1" caption="Table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med Hesham" refreshedDate="46306.083473148145" backgroundQuery="1" createdVersion="8" refreshedVersion="8" minRefreshableVersion="3" recordCount="0" supportSubquery="1" supportAdvancedDrill="1" xr:uid="{6D7700E8-ED16-4F81-805C-BEFFB87154F1}">
  <cacheSource type="external" connectionId="1"/>
  <cacheFields count="3">
    <cacheField name="[Table_1].[Representative].[Representative]" caption="Representative" numFmtId="0" hierarchy="3" level="1">
      <sharedItems count="5">
        <s v="R01"/>
        <s v="R02"/>
        <s v="R03"/>
        <s v="R04"/>
        <s v="R05"/>
      </sharedItems>
    </cacheField>
    <cacheField name="[Measures].[Count of Call number]" caption="Count of Call number" numFmtId="0" hierarchy="22" level="32767"/>
    <cacheField name="[Table_1].[Day of week].[Day of week]" caption="Day of week" numFmtId="0" hierarchy="8" level="1">
      <sharedItems count="7">
        <s v="Friday"/>
        <s v="Monday"/>
        <s v="Saturday"/>
        <s v="Sunday"/>
        <s v="Thursday"/>
        <s v="Tuesday"/>
        <s v="Wednesday"/>
      </sharedItems>
    </cacheField>
  </cacheFields>
  <cacheHierarchies count="28">
    <cacheHierarchy uniqueName="[Table_1].[Call number]" caption="Call number" attribute="1" defaultMemberUniqueName="[Table_1].[Call number].[All]" allUniqueName="[Table_1].[Call number].[All]" dimensionUniqueName="[Table_1]" displayFolder="" count="0" memberValueDatatype="130" unbalanced="0"/>
    <cacheHierarchy uniqueName="[Table_1].[Customer ID]" caption="Customer ID" attribute="1" defaultMemberUniqueName="[Table_1].[Customer ID].[All]" allUniqueName="[Table_1].[Customer ID].[All]" dimensionUniqueName="[Table_1]" displayFolder="" count="0" memberValueDatatype="130" unbalanced="0"/>
    <cacheHierarchy uniqueName="[Table_1].[Duration]" caption="Duration" attribute="1" defaultMemberUniqueName="[Table_1].[Duration].[All]" allUniqueName="[Table_1].[Duration].[All]" dimensionUniqueName="[Table_1]" displayFolder="" count="0" memberValueDatatype="20" unbalanced="0"/>
    <cacheHierarchy uniqueName="[Table_1].[Representative]" caption="Representative" attribute="1" defaultMemberUniqueName="[Table_1].[Representative].[All]" allUniqueName="[Table_1].[Representative].[All]" dimensionUniqueName="[Table_1]" displayFolder="" count="2" memberValueDatatype="130" unbalanced="0">
      <fieldsUsage count="2">
        <fieldUsage x="-1"/>
        <fieldUsage x="0"/>
      </fieldsUsage>
    </cacheHierarchy>
    <cacheHierarchy uniqueName="[Table_1].[Date of Call]" caption="Date of Call" attribute="1" time="1" defaultMemberUniqueName="[Table_1].[Date of Call].[All]" allUniqueName="[Table_1].[Date of Call].[All]" dimensionUniqueName="[Table_1]" displayFolder="" count="0" memberValueDatatype="7" unbalanced="0"/>
    <cacheHierarchy uniqueName="[Table_1].[Purchase Amount]" caption="Purchase Amount" attribute="1" defaultMemberUniqueName="[Table_1].[Purchase Amount].[All]" allUniqueName="[Table_1].[Purchase Amount].[All]" dimensionUniqueName="[Table_1]" displayFolder="" count="0" memberValueDatatype="20" unbalanced="0"/>
    <cacheHierarchy uniqueName="[Table_1].[Satisfaction Rating]" caption="Satisfaction Rating" attribute="1" defaultMemberUniqueName="[Table_1].[Satisfaction Rating].[All]" allUniqueName="[Table_1].[Satisfaction Rating].[All]" dimensionUniqueName="[Table_1]" displayFolder="" count="0" memberValueDatatype="5" unbalanced="0"/>
    <cacheHierarchy uniqueName="[Table_1].[Financial Year]" caption="Financial Year" attribute="1" defaultMemberUniqueName="[Table_1].[Financial Year].[All]" allUniqueName="[Table_1].[Financial Year].[All]" dimensionUniqueName="[Table_1]" displayFolder="" count="0" memberValueDatatype="20" unbalanced="0"/>
    <cacheHierarchy uniqueName="[Table_1].[Day of week]" caption="Day of week" attribute="1" defaultMemberUniqueName="[Table_1].[Day of week].[All]" allUniqueName="[Table_1].[Day of week].[All]" dimensionUniqueName="[Table_1]" displayFolder="" count="2" memberValueDatatype="130" unbalanced="0">
      <fieldsUsage count="2">
        <fieldUsage x="-1"/>
        <fieldUsage x="2"/>
      </fieldsUsage>
    </cacheHierarchy>
    <cacheHierarchy uniqueName="[Table_1].[Duration Bucket]" caption="Duration Bucket" attribute="1" defaultMemberUniqueName="[Table_1].[Duration Bucket].[All]" allUniqueName="[Table_1].[Duration Bucket].[All]" dimensionUniqueName="[Table_1]" displayFolder="" count="0" memberValueDatatype="130" unbalanced="0"/>
    <cacheHierarchy uniqueName="[Table_1].[Rating rounded]" caption="Rating rounded" attribute="1" defaultMemberUniqueName="[Table_1].[Rating rounded].[All]" allUniqueName="[Table_1].[Rating rounded].[All]" dimensionUniqueName="[Table_1]" displayFolder="" count="0" memberValueDatatype="20" unbalanced="0"/>
    <cacheHierarchy uniqueName="[Table_1].[Duration Category]" caption="Duration Category" attribute="1" defaultMemberUniqueName="[Table_1].[Duration Category].[All]" allUniqueName="[Table_1].[Duration Category].[All]" dimensionUniqueName="[Table_1]" displayFolder="" count="0" memberValueDatatype="130" unbalanced="0"/>
    <cacheHierarchy uniqueName="[Table_1].[Purchase Category]" caption="Purchase Category" attribute="1" defaultMemberUniqueName="[Table_1].[Purchase Category].[All]" allUniqueName="[Table_1].[Purchase Category].[All]" dimensionUniqueName="[Table_1]" displayFolder="" count="0" memberValueDatatype="130" unbalanced="0"/>
    <cacheHierarchy uniqueName="[Table_1].[Date of Call (Month)]" caption="Date of Call (Month)" attribute="1" defaultMemberUniqueName="[Table_1].[Date of Call (Month)].[All]" allUniqueName="[Table_1].[Date of Call (Month)].[All]" dimensionUniqueName="[Table_1]" displayFolder="" count="2" memberValueDatatype="130" unbalanced="0"/>
    <cacheHierarchy uniqueName="[Table_1].[Date of Call (Month Index)]" caption="Date of Call (Month Index)" attribute="1" defaultMemberUniqueName="[Table_1].[Date of Call (Month Index)].[All]" allUniqueName="[Table_1].[Date of Call (Month Index)].[All]" dimensionUniqueName="[Table_1]" displayFolder="" count="0" memberValueDatatype="20" unbalanced="0" hidden="1"/>
    <cacheHierarchy uniqueName="[Measures].[__XL_Count Table_1]" caption="__XL_Count Table_1" measure="1" displayFolder="" measureGroup="Table_1" count="0" hidden="1"/>
    <cacheHierarchy uniqueName="[Measures].[__No measures defined]" caption="__No measures defined" measure="1" displayFolder="" count="0" hidden="1"/>
    <cacheHierarchy uniqueName="[Measures].[Sum of Purchase Amount]" caption="Sum of Purchase Amount" measure="1" displayFolder="" measureGroup="Table_1" count="0" hidden="1">
      <extLst>
        <ext xmlns:x15="http://schemas.microsoft.com/office/spreadsheetml/2010/11/main" uri="{B97F6D7D-B522-45F9-BDA1-12C45D357490}">
          <x15:cacheHierarchy aggregatedColumn="5"/>
        </ext>
      </extLst>
    </cacheHierarchy>
    <cacheHierarchy uniqueName="[Measures].[Sum of Satisfaction Rating]" caption="Sum of Satisfaction Rating" measure="1" displayFolder="" measureGroup="Table_1" count="0" hidden="1">
      <extLst>
        <ext xmlns:x15="http://schemas.microsoft.com/office/spreadsheetml/2010/11/main" uri="{B97F6D7D-B522-45F9-BDA1-12C45D357490}">
          <x15:cacheHierarchy aggregatedColumn="6"/>
        </ext>
      </extLst>
    </cacheHierarchy>
    <cacheHierarchy uniqueName="[Measures].[Average of Satisfaction Rating]" caption="Average of Satisfaction Rating" measure="1" displayFolder="" measureGroup="Table_1" count="0" hidden="1">
      <extLst>
        <ext xmlns:x15="http://schemas.microsoft.com/office/spreadsheetml/2010/11/main" uri="{B97F6D7D-B522-45F9-BDA1-12C45D357490}">
          <x15:cacheHierarchy aggregatedColumn="6"/>
        </ext>
      </extLst>
    </cacheHierarchy>
    <cacheHierarchy uniqueName="[Measures].[Count of Satisfaction Rating]" caption="Count of Satisfaction Rating" measure="1" displayFolder="" measureGroup="Table_1" count="0" hidden="1">
      <extLst>
        <ext xmlns:x15="http://schemas.microsoft.com/office/spreadsheetml/2010/11/main" uri="{B97F6D7D-B522-45F9-BDA1-12C45D357490}">
          <x15:cacheHierarchy aggregatedColumn="6"/>
        </ext>
      </extLst>
    </cacheHierarchy>
    <cacheHierarchy uniqueName="[Measures].[Count of Duration Category]" caption="Count of Duration Category" measure="1" displayFolder="" measureGroup="Table_1" count="0" hidden="1">
      <extLst>
        <ext xmlns:x15="http://schemas.microsoft.com/office/spreadsheetml/2010/11/main" uri="{B97F6D7D-B522-45F9-BDA1-12C45D357490}">
          <x15:cacheHierarchy aggregatedColumn="11"/>
        </ext>
      </extLst>
    </cacheHierarchy>
    <cacheHierarchy uniqueName="[Measures].[Count of Call number]" caption="Count of Call number" measure="1" displayFolder="" measureGroup="Table_1"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Representative]" caption="Count of Representative" measure="1" displayFolder="" measureGroup="Table_1" count="0" hidden="1">
      <extLst>
        <ext xmlns:x15="http://schemas.microsoft.com/office/spreadsheetml/2010/11/main" uri="{B97F6D7D-B522-45F9-BDA1-12C45D357490}">
          <x15:cacheHierarchy aggregatedColumn="3"/>
        </ext>
      </extLst>
    </cacheHierarchy>
    <cacheHierarchy uniqueName="[Measures].[Distinct Count of Representative]" caption="Distinct Count of Representative" measure="1" displayFolder="" measureGroup="Table_1" count="0" hidden="1">
      <extLst>
        <ext xmlns:x15="http://schemas.microsoft.com/office/spreadsheetml/2010/11/main" uri="{B97F6D7D-B522-45F9-BDA1-12C45D357490}">
          <x15:cacheHierarchy aggregatedColumn="3"/>
        </ext>
      </extLst>
    </cacheHierarchy>
    <cacheHierarchy uniqueName="[Measures].[Count of Customer ID]" caption="Count of Customer ID" measure="1" displayFolder="" measureGroup="Table_1" count="0" hidden="1">
      <extLst>
        <ext xmlns:x15="http://schemas.microsoft.com/office/spreadsheetml/2010/11/main" uri="{B97F6D7D-B522-45F9-BDA1-12C45D357490}">
          <x15:cacheHierarchy aggregatedColumn="1"/>
        </ext>
      </extLst>
    </cacheHierarchy>
    <cacheHierarchy uniqueName="[Measures].[Distinct Count of Customer ID]" caption="Distinct Count of Customer ID" measure="1" displayFolder="" measureGroup="Table_1" count="0" hidden="1">
      <extLst>
        <ext xmlns:x15="http://schemas.microsoft.com/office/spreadsheetml/2010/11/main" uri="{B97F6D7D-B522-45F9-BDA1-12C45D357490}">
          <x15:cacheHierarchy aggregatedColumn="1"/>
        </ext>
      </extLst>
    </cacheHierarchy>
    <cacheHierarchy uniqueName="[Measures].[Count of Duration Bucket]" caption="Count of Duration Bucket" measure="1" displayFolder="" measureGroup="Table_1"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Table_1" uniqueName="[Table_1]" caption="Table_1"/>
  </dimensions>
  <measureGroups count="1">
    <measureGroup name="Table_1" caption="Table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med Hesham" refreshedDate="46306.008336805557" backgroundQuery="1" createdVersion="3" refreshedVersion="8" minRefreshableVersion="3" recordCount="0" supportSubquery="1" supportAdvancedDrill="1" xr:uid="{1D62B8BE-B6A5-4969-9BDF-95DE5C37E1E3}">
  <cacheSource type="external" connectionId="1">
    <extLst>
      <ext xmlns:x14="http://schemas.microsoft.com/office/spreadsheetml/2009/9/main" uri="{F057638F-6D5F-4e77-A914-E7F072B9BCA8}">
        <x14:sourceConnection name="ThisWorkbookDataModel"/>
      </ext>
    </extLst>
  </cacheSource>
  <cacheFields count="0"/>
  <cacheHierarchies count="28">
    <cacheHierarchy uniqueName="[Table_1].[Call number]" caption="Call number" attribute="1" defaultMemberUniqueName="[Table_1].[Call number].[All]" allUniqueName="[Table_1].[Call number].[All]" dimensionUniqueName="[Table_1]" displayFolder="" count="0" memberValueDatatype="130" unbalanced="0"/>
    <cacheHierarchy uniqueName="[Table_1].[Customer ID]" caption="Customer ID" attribute="1" defaultMemberUniqueName="[Table_1].[Customer ID].[All]" allUniqueName="[Table_1].[Customer ID].[All]" dimensionUniqueName="[Table_1]" displayFolder="" count="0" memberValueDatatype="130" unbalanced="0"/>
    <cacheHierarchy uniqueName="[Table_1].[Duration]" caption="Duration" attribute="1" defaultMemberUniqueName="[Table_1].[Duration].[All]" allUniqueName="[Table_1].[Duration].[All]" dimensionUniqueName="[Table_1]" displayFolder="" count="0" memberValueDatatype="20" unbalanced="0"/>
    <cacheHierarchy uniqueName="[Table_1].[Representative]" caption="Representative" attribute="1" defaultMemberUniqueName="[Table_1].[Representative].[All]" allUniqueName="[Table_1].[Representative].[All]" dimensionUniqueName="[Table_1]" displayFolder="" count="0" memberValueDatatype="130" unbalanced="0"/>
    <cacheHierarchy uniqueName="[Table_1].[Date of Call]" caption="Date of Call" attribute="1" time="1" defaultMemberUniqueName="[Table_1].[Date of Call].[All]" allUniqueName="[Table_1].[Date of Call].[All]" dimensionUniqueName="[Table_1]" displayFolder="" count="0" memberValueDatatype="7" unbalanced="0"/>
    <cacheHierarchy uniqueName="[Table_1].[Purchase Amount]" caption="Purchase Amount" attribute="1" defaultMemberUniqueName="[Table_1].[Purchase Amount].[All]" allUniqueName="[Table_1].[Purchase Amount].[All]" dimensionUniqueName="[Table_1]" displayFolder="" count="0" memberValueDatatype="20" unbalanced="0"/>
    <cacheHierarchy uniqueName="[Table_1].[Satisfaction Rating]" caption="Satisfaction Rating" attribute="1" defaultMemberUniqueName="[Table_1].[Satisfaction Rating].[All]" allUniqueName="[Table_1].[Satisfaction Rating].[All]" dimensionUniqueName="[Table_1]" displayFolder="" count="0" memberValueDatatype="5" unbalanced="0"/>
    <cacheHierarchy uniqueName="[Table_1].[Financial Year]" caption="Financial Year" attribute="1" defaultMemberUniqueName="[Table_1].[Financial Year].[All]" allUniqueName="[Table_1].[Financial Year].[All]" dimensionUniqueName="[Table_1]" displayFolder="" count="0" memberValueDatatype="20" unbalanced="0"/>
    <cacheHierarchy uniqueName="[Table_1].[Day of week]" caption="Day of week" attribute="1" defaultMemberUniqueName="[Table_1].[Day of week].[All]" allUniqueName="[Table_1].[Day of week].[All]" dimensionUniqueName="[Table_1]" displayFolder="" count="0" memberValueDatatype="130" unbalanced="0"/>
    <cacheHierarchy uniqueName="[Table_1].[Duration Bucket]" caption="Duration Bucket" attribute="1" defaultMemberUniqueName="[Table_1].[Duration Bucket].[All]" allUniqueName="[Table_1].[Duration Bucket].[All]" dimensionUniqueName="[Table_1]" displayFolder="" count="0" memberValueDatatype="130" unbalanced="0"/>
    <cacheHierarchy uniqueName="[Table_1].[Rating rounded]" caption="Rating rounded" attribute="1" defaultMemberUniqueName="[Table_1].[Rating rounded].[All]" allUniqueName="[Table_1].[Rating rounded].[All]" dimensionUniqueName="[Table_1]" displayFolder="" count="0" memberValueDatatype="20" unbalanced="0"/>
    <cacheHierarchy uniqueName="[Table_1].[Duration Category]" caption="Duration Category" attribute="1" defaultMemberUniqueName="[Table_1].[Duration Category].[All]" allUniqueName="[Table_1].[Duration Category].[All]" dimensionUniqueName="[Table_1]" displayFolder="" count="0" memberValueDatatype="130" unbalanced="0"/>
    <cacheHierarchy uniqueName="[Table_1].[Purchase Category]" caption="Purchase Category" attribute="1" defaultMemberUniqueName="[Table_1].[Purchase Category].[All]" allUniqueName="[Table_1].[Purchase Category].[All]" dimensionUniqueName="[Table_1]" displayFolder="" count="0" memberValueDatatype="130" unbalanced="0"/>
    <cacheHierarchy uniqueName="[Table_1].[Date of Call (Month)]" caption="Date of Call (Month)" attribute="1" defaultMemberUniqueName="[Table_1].[Date of Call (Month)].[All]" allUniqueName="[Table_1].[Date of Call (Month)].[All]" dimensionUniqueName="[Table_1]" displayFolder="" count="2" memberValueDatatype="130" unbalanced="0"/>
    <cacheHierarchy uniqueName="[Table_1].[Date of Call (Month Index)]" caption="Date of Call (Month Index)" attribute="1" defaultMemberUniqueName="[Table_1].[Date of Call (Month Index)].[All]" allUniqueName="[Table_1].[Date of Call (Month Index)].[All]" dimensionUniqueName="[Table_1]" displayFolder="" count="0" memberValueDatatype="20" unbalanced="0" hidden="1"/>
    <cacheHierarchy uniqueName="[Measures].[__XL_Count Table_1]" caption="__XL_Count Table_1" measure="1" displayFolder="" measureGroup="Table_1" count="0" hidden="1"/>
    <cacheHierarchy uniqueName="[Measures].[__No measures defined]" caption="__No measures defined" measure="1" displayFolder="" count="0" hidden="1"/>
    <cacheHierarchy uniqueName="[Measures].[Sum of Purchase Amount]" caption="Sum of Purchase Amount" measure="1" displayFolder="" measureGroup="Table_1" count="0" hidden="1">
      <extLst>
        <ext xmlns:x15="http://schemas.microsoft.com/office/spreadsheetml/2010/11/main" uri="{B97F6D7D-B522-45F9-BDA1-12C45D357490}">
          <x15:cacheHierarchy aggregatedColumn="5"/>
        </ext>
      </extLst>
    </cacheHierarchy>
    <cacheHierarchy uniqueName="[Measures].[Sum of Satisfaction Rating]" caption="Sum of Satisfaction Rating" measure="1" displayFolder="" measureGroup="Table_1" count="0" hidden="1">
      <extLst>
        <ext xmlns:x15="http://schemas.microsoft.com/office/spreadsheetml/2010/11/main" uri="{B97F6D7D-B522-45F9-BDA1-12C45D357490}">
          <x15:cacheHierarchy aggregatedColumn="6"/>
        </ext>
      </extLst>
    </cacheHierarchy>
    <cacheHierarchy uniqueName="[Measures].[Average of Satisfaction Rating]" caption="Average of Satisfaction Rating" measure="1" displayFolder="" measureGroup="Table_1" count="0" hidden="1">
      <extLst>
        <ext xmlns:x15="http://schemas.microsoft.com/office/spreadsheetml/2010/11/main" uri="{B97F6D7D-B522-45F9-BDA1-12C45D357490}">
          <x15:cacheHierarchy aggregatedColumn="6"/>
        </ext>
      </extLst>
    </cacheHierarchy>
    <cacheHierarchy uniqueName="[Measures].[Count of Satisfaction Rating]" caption="Count of Satisfaction Rating" measure="1" displayFolder="" measureGroup="Table_1" count="0" hidden="1">
      <extLst>
        <ext xmlns:x15="http://schemas.microsoft.com/office/spreadsheetml/2010/11/main" uri="{B97F6D7D-B522-45F9-BDA1-12C45D357490}">
          <x15:cacheHierarchy aggregatedColumn="6"/>
        </ext>
      </extLst>
    </cacheHierarchy>
    <cacheHierarchy uniqueName="[Measures].[Count of Duration Category]" caption="Count of Duration Category" measure="1" displayFolder="" measureGroup="Table_1" count="0" hidden="1">
      <extLst>
        <ext xmlns:x15="http://schemas.microsoft.com/office/spreadsheetml/2010/11/main" uri="{B97F6D7D-B522-45F9-BDA1-12C45D357490}">
          <x15:cacheHierarchy aggregatedColumn="11"/>
        </ext>
      </extLst>
    </cacheHierarchy>
    <cacheHierarchy uniqueName="[Measures].[Count of Call number]" caption="Count of Call number" measure="1" displayFolder="" measureGroup="Table_1" count="0" hidden="1">
      <extLst>
        <ext xmlns:x15="http://schemas.microsoft.com/office/spreadsheetml/2010/11/main" uri="{B97F6D7D-B522-45F9-BDA1-12C45D357490}">
          <x15:cacheHierarchy aggregatedColumn="0"/>
        </ext>
      </extLst>
    </cacheHierarchy>
    <cacheHierarchy uniqueName="[Measures].[Count of Representative]" caption="Count of Representative" measure="1" displayFolder="" measureGroup="Table_1" count="0" hidden="1">
      <extLst>
        <ext xmlns:x15="http://schemas.microsoft.com/office/spreadsheetml/2010/11/main" uri="{B97F6D7D-B522-45F9-BDA1-12C45D357490}">
          <x15:cacheHierarchy aggregatedColumn="3"/>
        </ext>
      </extLst>
    </cacheHierarchy>
    <cacheHierarchy uniqueName="[Measures].[Distinct Count of Representative]" caption="Distinct Count of Representative" measure="1" displayFolder="" measureGroup="Table_1" count="0" hidden="1">
      <extLst>
        <ext xmlns:x15="http://schemas.microsoft.com/office/spreadsheetml/2010/11/main" uri="{B97F6D7D-B522-45F9-BDA1-12C45D357490}">
          <x15:cacheHierarchy aggregatedColumn="3"/>
        </ext>
      </extLst>
    </cacheHierarchy>
    <cacheHierarchy uniqueName="[Measures].[Count of Customer ID]" caption="Count of Customer ID" measure="1" displayFolder="" measureGroup="Table_1" count="0" hidden="1">
      <extLst>
        <ext xmlns:x15="http://schemas.microsoft.com/office/spreadsheetml/2010/11/main" uri="{B97F6D7D-B522-45F9-BDA1-12C45D357490}">
          <x15:cacheHierarchy aggregatedColumn="1"/>
        </ext>
      </extLst>
    </cacheHierarchy>
    <cacheHierarchy uniqueName="[Measures].[Distinct Count of Customer ID]" caption="Distinct Count of Customer ID" measure="1" displayFolder="" measureGroup="Table_1" count="0" hidden="1">
      <extLst>
        <ext xmlns:x15="http://schemas.microsoft.com/office/spreadsheetml/2010/11/main" uri="{B97F6D7D-B522-45F9-BDA1-12C45D357490}">
          <x15:cacheHierarchy aggregatedColumn="1"/>
        </ext>
      </extLst>
    </cacheHierarchy>
    <cacheHierarchy uniqueName="[Measures].[Count of Duration Bucket]" caption="Count of Duration Bucket" measure="1" displayFolder="" measureGroup="Table_1" count="0" hidden="1">
      <extLst>
        <ext xmlns:x15="http://schemas.microsoft.com/office/spreadsheetml/2010/11/main" uri="{B97F6D7D-B522-45F9-BDA1-12C45D357490}">
          <x15:cacheHierarchy aggregatedColumn="9"/>
        </ext>
      </extLst>
    </cacheHierarchy>
  </cacheHierarchies>
  <kpis count="0"/>
  <extLst>
    <ext xmlns:x14="http://schemas.microsoft.com/office/spreadsheetml/2009/9/main" uri="{725AE2AE-9491-48be-B2B4-4EB974FC3084}">
      <x14:pivotCacheDefinition slicerData="1" pivotCacheId="1877370835"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med Hesham" refreshedDate="46306.019302430555" backgroundQuery="1" createdVersion="3" refreshedVersion="8" minRefreshableVersion="3" recordCount="0" supportSubquery="1" supportAdvancedDrill="1" xr:uid="{CC697158-C68B-49D9-8A72-1C3E87B07CA1}">
  <cacheSource type="external" connectionId="1">
    <extLst>
      <ext xmlns:x14="http://schemas.microsoft.com/office/spreadsheetml/2009/9/main" uri="{F057638F-6D5F-4e77-A914-E7F072B9BCA8}">
        <x14:sourceConnection name="ThisWorkbookDataModel"/>
      </ext>
    </extLst>
  </cacheSource>
  <cacheFields count="0"/>
  <cacheHierarchies count="28">
    <cacheHierarchy uniqueName="[Table_1].[Call number]" caption="Call number" attribute="1" defaultMemberUniqueName="[Table_1].[Call number].[All]" allUniqueName="[Table_1].[Call number].[All]" dimensionUniqueName="[Table_1]" displayFolder="" count="0" memberValueDatatype="130" unbalanced="0"/>
    <cacheHierarchy uniqueName="[Table_1].[Customer ID]" caption="Customer ID" attribute="1" defaultMemberUniqueName="[Table_1].[Customer ID].[All]" allUniqueName="[Table_1].[Customer ID].[All]" dimensionUniqueName="[Table_1]" displayFolder="" count="0" memberValueDatatype="130" unbalanced="0"/>
    <cacheHierarchy uniqueName="[Table_1].[Duration]" caption="Duration" attribute="1" defaultMemberUniqueName="[Table_1].[Duration].[All]" allUniqueName="[Table_1].[Duration].[All]" dimensionUniqueName="[Table_1]" displayFolder="" count="0" memberValueDatatype="20" unbalanced="0"/>
    <cacheHierarchy uniqueName="[Table_1].[Representative]" caption="Representative" attribute="1" defaultMemberUniqueName="[Table_1].[Representative].[All]" allUniqueName="[Table_1].[Representative].[All]" dimensionUniqueName="[Table_1]" displayFolder="" count="0" memberValueDatatype="130" unbalanced="0"/>
    <cacheHierarchy uniqueName="[Table_1].[Date of Call]" caption="Date of Call" attribute="1" time="1" defaultMemberUniqueName="[Table_1].[Date of Call].[All]" allUniqueName="[Table_1].[Date of Call].[All]" dimensionUniqueName="[Table_1]" displayFolder="" count="0" memberValueDatatype="7" unbalanced="0"/>
    <cacheHierarchy uniqueName="[Table_1].[Purchase Amount]" caption="Purchase Amount" attribute="1" defaultMemberUniqueName="[Table_1].[Purchase Amount].[All]" allUniqueName="[Table_1].[Purchase Amount].[All]" dimensionUniqueName="[Table_1]" displayFolder="" count="0" memberValueDatatype="20" unbalanced="0"/>
    <cacheHierarchy uniqueName="[Table_1].[Satisfaction Rating]" caption="Satisfaction Rating" attribute="1" defaultMemberUniqueName="[Table_1].[Satisfaction Rating].[All]" allUniqueName="[Table_1].[Satisfaction Rating].[All]" dimensionUniqueName="[Table_1]" displayFolder="" count="0" memberValueDatatype="5" unbalanced="0"/>
    <cacheHierarchy uniqueName="[Table_1].[Financial Year]" caption="Financial Year" attribute="1" defaultMemberUniqueName="[Table_1].[Financial Year].[All]" allUniqueName="[Table_1].[Financial Year].[All]" dimensionUniqueName="[Table_1]" displayFolder="" count="0" memberValueDatatype="20" unbalanced="0"/>
    <cacheHierarchy uniqueName="[Table_1].[Day of week]" caption="Day of week" attribute="1" defaultMemberUniqueName="[Table_1].[Day of week].[All]" allUniqueName="[Table_1].[Day of week].[All]" dimensionUniqueName="[Table_1]" displayFolder="" count="2" memberValueDatatype="130" unbalanced="0"/>
    <cacheHierarchy uniqueName="[Table_1].[Duration Bucket]" caption="Duration Bucket" attribute="1" defaultMemberUniqueName="[Table_1].[Duration Bucket].[All]" allUniqueName="[Table_1].[Duration Bucket].[All]" dimensionUniqueName="[Table_1]" displayFolder="" count="0" memberValueDatatype="130" unbalanced="0"/>
    <cacheHierarchy uniqueName="[Table_1].[Rating rounded]" caption="Rating rounded" attribute="1" defaultMemberUniqueName="[Table_1].[Rating rounded].[All]" allUniqueName="[Table_1].[Rating rounded].[All]" dimensionUniqueName="[Table_1]" displayFolder="" count="0" memberValueDatatype="20" unbalanced="0"/>
    <cacheHierarchy uniqueName="[Table_1].[Duration Category]" caption="Duration Category" attribute="1" defaultMemberUniqueName="[Table_1].[Duration Category].[All]" allUniqueName="[Table_1].[Duration Category].[All]" dimensionUniqueName="[Table_1]" displayFolder="" count="0" memberValueDatatype="130" unbalanced="0"/>
    <cacheHierarchy uniqueName="[Table_1].[Purchase Category]" caption="Purchase Category" attribute="1" defaultMemberUniqueName="[Table_1].[Purchase Category].[All]" allUniqueName="[Table_1].[Purchase Category].[All]" dimensionUniqueName="[Table_1]" displayFolder="" count="0" memberValueDatatype="130" unbalanced="0"/>
    <cacheHierarchy uniqueName="[Table_1].[Date of Call (Month)]" caption="Date of Call (Month)" attribute="1" defaultMemberUniqueName="[Table_1].[Date of Call (Month)].[All]" allUniqueName="[Table_1].[Date of Call (Month)].[All]" dimensionUniqueName="[Table_1]" displayFolder="" count="0" memberValueDatatype="130" unbalanced="0"/>
    <cacheHierarchy uniqueName="[Table_1].[Date of Call (Month Index)]" caption="Date of Call (Month Index)" attribute="1" defaultMemberUniqueName="[Table_1].[Date of Call (Month Index)].[All]" allUniqueName="[Table_1].[Date of Call (Month Index)].[All]" dimensionUniqueName="[Table_1]" displayFolder="" count="0" memberValueDatatype="20" unbalanced="0" hidden="1"/>
    <cacheHierarchy uniqueName="[Measures].[__XL_Count Table_1]" caption="__XL_Count Table_1" measure="1" displayFolder="" measureGroup="Table_1" count="0" hidden="1"/>
    <cacheHierarchy uniqueName="[Measures].[__No measures defined]" caption="__No measures defined" measure="1" displayFolder="" count="0" hidden="1"/>
    <cacheHierarchy uniqueName="[Measures].[Sum of Purchase Amount]" caption="Sum of Purchase Amount" measure="1" displayFolder="" measureGroup="Table_1" count="0" hidden="1">
      <extLst>
        <ext xmlns:x15="http://schemas.microsoft.com/office/spreadsheetml/2010/11/main" uri="{B97F6D7D-B522-45F9-BDA1-12C45D357490}">
          <x15:cacheHierarchy aggregatedColumn="5"/>
        </ext>
      </extLst>
    </cacheHierarchy>
    <cacheHierarchy uniqueName="[Measures].[Sum of Satisfaction Rating]" caption="Sum of Satisfaction Rating" measure="1" displayFolder="" measureGroup="Table_1" count="0" hidden="1">
      <extLst>
        <ext xmlns:x15="http://schemas.microsoft.com/office/spreadsheetml/2010/11/main" uri="{B97F6D7D-B522-45F9-BDA1-12C45D357490}">
          <x15:cacheHierarchy aggregatedColumn="6"/>
        </ext>
      </extLst>
    </cacheHierarchy>
    <cacheHierarchy uniqueName="[Measures].[Average of Satisfaction Rating]" caption="Average of Satisfaction Rating" measure="1" displayFolder="" measureGroup="Table_1" count="0" hidden="1">
      <extLst>
        <ext xmlns:x15="http://schemas.microsoft.com/office/spreadsheetml/2010/11/main" uri="{B97F6D7D-B522-45F9-BDA1-12C45D357490}">
          <x15:cacheHierarchy aggregatedColumn="6"/>
        </ext>
      </extLst>
    </cacheHierarchy>
    <cacheHierarchy uniqueName="[Measures].[Count of Satisfaction Rating]" caption="Count of Satisfaction Rating" measure="1" displayFolder="" measureGroup="Table_1" count="0" hidden="1">
      <extLst>
        <ext xmlns:x15="http://schemas.microsoft.com/office/spreadsheetml/2010/11/main" uri="{B97F6D7D-B522-45F9-BDA1-12C45D357490}">
          <x15:cacheHierarchy aggregatedColumn="6"/>
        </ext>
      </extLst>
    </cacheHierarchy>
    <cacheHierarchy uniqueName="[Measures].[Count of Duration Category]" caption="Count of Duration Category" measure="1" displayFolder="" measureGroup="Table_1" count="0" hidden="1">
      <extLst>
        <ext xmlns:x15="http://schemas.microsoft.com/office/spreadsheetml/2010/11/main" uri="{B97F6D7D-B522-45F9-BDA1-12C45D357490}">
          <x15:cacheHierarchy aggregatedColumn="11"/>
        </ext>
      </extLst>
    </cacheHierarchy>
    <cacheHierarchy uniqueName="[Measures].[Count of Call number]" caption="Count of Call number" measure="1" displayFolder="" measureGroup="Table_1" count="0" hidden="1">
      <extLst>
        <ext xmlns:x15="http://schemas.microsoft.com/office/spreadsheetml/2010/11/main" uri="{B97F6D7D-B522-45F9-BDA1-12C45D357490}">
          <x15:cacheHierarchy aggregatedColumn="0"/>
        </ext>
      </extLst>
    </cacheHierarchy>
    <cacheHierarchy uniqueName="[Measures].[Count of Representative]" caption="Count of Representative" measure="1" displayFolder="" measureGroup="Table_1" count="0" hidden="1">
      <extLst>
        <ext xmlns:x15="http://schemas.microsoft.com/office/spreadsheetml/2010/11/main" uri="{B97F6D7D-B522-45F9-BDA1-12C45D357490}">
          <x15:cacheHierarchy aggregatedColumn="3"/>
        </ext>
      </extLst>
    </cacheHierarchy>
    <cacheHierarchy uniqueName="[Measures].[Distinct Count of Representative]" caption="Distinct Count of Representative" measure="1" displayFolder="" measureGroup="Table_1" count="0" hidden="1">
      <extLst>
        <ext xmlns:x15="http://schemas.microsoft.com/office/spreadsheetml/2010/11/main" uri="{B97F6D7D-B522-45F9-BDA1-12C45D357490}">
          <x15:cacheHierarchy aggregatedColumn="3"/>
        </ext>
      </extLst>
    </cacheHierarchy>
    <cacheHierarchy uniqueName="[Measures].[Count of Customer ID]" caption="Count of Customer ID" measure="1" displayFolder="" measureGroup="Table_1" count="0" hidden="1">
      <extLst>
        <ext xmlns:x15="http://schemas.microsoft.com/office/spreadsheetml/2010/11/main" uri="{B97F6D7D-B522-45F9-BDA1-12C45D357490}">
          <x15:cacheHierarchy aggregatedColumn="1"/>
        </ext>
      </extLst>
    </cacheHierarchy>
    <cacheHierarchy uniqueName="[Measures].[Distinct Count of Customer ID]" caption="Distinct Count of Customer ID" measure="1" displayFolder="" measureGroup="Table_1" count="0" hidden="1">
      <extLst>
        <ext xmlns:x15="http://schemas.microsoft.com/office/spreadsheetml/2010/11/main" uri="{B97F6D7D-B522-45F9-BDA1-12C45D357490}">
          <x15:cacheHierarchy aggregatedColumn="1"/>
        </ext>
      </extLst>
    </cacheHierarchy>
    <cacheHierarchy uniqueName="[Measures].[Count of Duration Bucket]" caption="Count of Duration Bucket" measure="1" displayFolder="" measureGroup="Table_1" count="0" hidden="1">
      <extLst>
        <ext xmlns:x15="http://schemas.microsoft.com/office/spreadsheetml/2010/11/main" uri="{B97F6D7D-B522-45F9-BDA1-12C45D357490}">
          <x15:cacheHierarchy aggregatedColumn="9"/>
        </ext>
      </extLst>
    </cacheHierarchy>
  </cacheHierarchies>
  <kpis count="0"/>
  <extLst>
    <ext xmlns:x14="http://schemas.microsoft.com/office/spreadsheetml/2009/9/main" uri="{725AE2AE-9491-48be-B2B4-4EB974FC3084}">
      <x14:pivotCacheDefinition slicerData="1" pivotCacheId="1764938494"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Call_7271"/>
    <s v="C0003"/>
    <n v="116"/>
    <s v="R05"/>
    <d v="2023-01-01T00:00:00"/>
    <n v="128"/>
    <n v="4.9000000000000004"/>
    <n v="2023"/>
    <s v="Sunday"/>
    <x v="0"/>
    <n v="5"/>
    <s v="Long"/>
    <s v="High"/>
  </r>
  <r>
    <s v="Call_7272"/>
    <s v="C0004"/>
    <n v="119"/>
    <s v="R05"/>
    <d v="2023-01-01T00:00:00"/>
    <n v="135"/>
    <n v="2.9"/>
    <n v="2023"/>
    <s v="Sunday"/>
    <x v="0"/>
    <n v="3"/>
    <s v="Long"/>
    <s v="High"/>
  </r>
  <r>
    <s v="Call_7273"/>
    <s v="C0005"/>
    <n v="68"/>
    <s v="R02"/>
    <d v="2023-01-01T00:00:00"/>
    <n v="66"/>
    <n v="4.7"/>
    <n v="2023"/>
    <s v="Sunday"/>
    <x v="0"/>
    <n v="5"/>
    <s v="Long"/>
    <s v="Medium"/>
  </r>
  <r>
    <s v="Call_7274"/>
    <s v="C0014"/>
    <n v="119"/>
    <s v="R02"/>
    <d v="2023-01-01T00:00:00"/>
    <n v="22"/>
    <n v="2.9"/>
    <n v="2023"/>
    <s v="Sunday"/>
    <x v="0"/>
    <n v="3"/>
    <s v="Long"/>
    <s v="Low"/>
  </r>
  <r>
    <s v="Call_7275"/>
    <s v="C0011"/>
    <n v="128"/>
    <s v="R01"/>
    <d v="2023-01-02T00:00:00"/>
    <n v="31"/>
    <n v="2.8"/>
    <n v="2023"/>
    <s v="Monday"/>
    <x v="1"/>
    <n v="3"/>
    <s v="Long"/>
    <s v="Low"/>
  </r>
  <r>
    <s v="Call_7276"/>
    <s v="C0011"/>
    <n v="49"/>
    <s v="R02"/>
    <d v="2023-01-03T00:00:00"/>
    <n v="135"/>
    <n v="4.8"/>
    <n v="2023"/>
    <s v="Tuesday"/>
    <x v="2"/>
    <n v="5"/>
    <s v="Medium"/>
    <s v="High"/>
  </r>
  <r>
    <s v="Call_7277"/>
    <s v="C0007"/>
    <n v="84"/>
    <s v="R05"/>
    <d v="2023-01-03T00:00:00"/>
    <n v="60"/>
    <n v="4.7"/>
    <n v="2023"/>
    <s v="Tuesday"/>
    <x v="0"/>
    <n v="5"/>
    <s v="Long"/>
    <s v="Medium"/>
  </r>
  <r>
    <s v="Call_7278"/>
    <s v="C0003"/>
    <n v="103"/>
    <s v="R04"/>
    <d v="2023-01-03T00:00:00"/>
    <n v="148"/>
    <n v="4.4000000000000004"/>
    <n v="2023"/>
    <s v="Tuesday"/>
    <x v="0"/>
    <n v="4"/>
    <s v="Long"/>
    <s v="High"/>
  </r>
  <r>
    <s v="Call_7279"/>
    <s v="C0005"/>
    <n v="31"/>
    <s v="R02"/>
    <d v="2023-01-03T00:00:00"/>
    <n v="135"/>
    <n v="3.6"/>
    <n v="2023"/>
    <s v="Tuesday"/>
    <x v="2"/>
    <n v="4"/>
    <s v="Medium"/>
    <s v="High"/>
  </r>
  <r>
    <s v="Call_7280"/>
    <s v="C0010"/>
    <n v="44"/>
    <s v="R03"/>
    <d v="2023-01-03T00:00:00"/>
    <n v="105"/>
    <n v="2.9"/>
    <n v="2023"/>
    <s v="Tuesday"/>
    <x v="2"/>
    <n v="3"/>
    <s v="Medium"/>
    <s v="High"/>
  </r>
  <r>
    <s v="Call_7281"/>
    <s v="C0011"/>
    <n v="102"/>
    <s v="R02"/>
    <d v="2023-01-03T00:00:00"/>
    <n v="69"/>
    <n v="4.9000000000000004"/>
    <n v="2023"/>
    <s v="Tuesday"/>
    <x v="0"/>
    <n v="5"/>
    <s v="Long"/>
    <s v="Medium"/>
  </r>
  <r>
    <s v="Call_7282"/>
    <s v="C0013"/>
    <n v="135"/>
    <s v="R05"/>
    <d v="2023-01-03T00:00:00"/>
    <n v="46"/>
    <n v="3.4"/>
    <n v="2023"/>
    <s v="Tuesday"/>
    <x v="1"/>
    <n v="3"/>
    <s v="Long"/>
    <s v="Low"/>
  </r>
  <r>
    <s v="Call_7283"/>
    <s v="C0002"/>
    <n v="98"/>
    <s v="R02"/>
    <d v="2023-01-04T00:00:00"/>
    <n v="108"/>
    <n v="3.5"/>
    <n v="2023"/>
    <s v="Wednesday"/>
    <x v="0"/>
    <n v="4"/>
    <s v="Long"/>
    <s v="High"/>
  </r>
  <r>
    <s v="Call_7284"/>
    <s v="C0010"/>
    <n v="139"/>
    <s v="R02"/>
    <d v="2023-01-04T00:00:00"/>
    <n v="96"/>
    <n v="4"/>
    <n v="2023"/>
    <s v="Wednesday"/>
    <x v="1"/>
    <n v="4"/>
    <s v="Long"/>
    <s v="Medium"/>
  </r>
  <r>
    <s v="Call_7285"/>
    <s v="C0013"/>
    <n v="48"/>
    <s v="R01"/>
    <d v="2023-01-04T00:00:00"/>
    <n v="68"/>
    <n v="4.9000000000000004"/>
    <n v="2023"/>
    <s v="Wednesday"/>
    <x v="2"/>
    <n v="5"/>
    <s v="Medium"/>
    <s v="Medium"/>
  </r>
  <r>
    <s v="Call_7286"/>
    <s v="C0010"/>
    <n v="176"/>
    <s v="R05"/>
    <d v="2023-01-05T00:00:00"/>
    <n v="24"/>
    <n v="4.8"/>
    <n v="2023"/>
    <s v="Thursday"/>
    <x v="1"/>
    <n v="5"/>
    <s v="Long"/>
    <s v="Low"/>
  </r>
  <r>
    <s v="Call_7287"/>
    <s v="C0010"/>
    <n v="99"/>
    <s v="R01"/>
    <d v="2023-01-05T00:00:00"/>
    <n v="195"/>
    <n v="3.9"/>
    <n v="2023"/>
    <s v="Thursday"/>
    <x v="0"/>
    <n v="4"/>
    <s v="Long"/>
    <s v="Very High"/>
  </r>
  <r>
    <s v="Call_7288"/>
    <s v="C0009"/>
    <n v="28"/>
    <s v="R03"/>
    <d v="2023-01-05T00:00:00"/>
    <n v="28"/>
    <n v="3.8"/>
    <n v="2023"/>
    <s v="Thursday"/>
    <x v="3"/>
    <n v="4"/>
    <s v="Short"/>
    <s v="Low"/>
  </r>
  <r>
    <s v="Call_7289"/>
    <s v="C0007"/>
    <n v="54"/>
    <s v="R02"/>
    <d v="2023-01-05T00:00:00"/>
    <n v="170"/>
    <n v="4.3"/>
    <n v="2023"/>
    <s v="Thursday"/>
    <x v="2"/>
    <n v="4"/>
    <s v="Medium"/>
    <s v="Very High"/>
  </r>
  <r>
    <s v="Call_7290"/>
    <s v="C0006"/>
    <n v="48"/>
    <s v="R05"/>
    <d v="2023-01-06T00:00:00"/>
    <n v="30"/>
    <n v="4.4000000000000004"/>
    <n v="2023"/>
    <s v="Friday"/>
    <x v="2"/>
    <n v="4"/>
    <s v="Medium"/>
    <s v="Low"/>
  </r>
  <r>
    <s v="Call_7291"/>
    <s v="C0004"/>
    <n v="128"/>
    <s v="R05"/>
    <d v="2023-01-06T00:00:00"/>
    <n v="72"/>
    <n v="5"/>
    <n v="2023"/>
    <s v="Friday"/>
    <x v="1"/>
    <n v="5"/>
    <s v="Long"/>
    <s v="Medium"/>
  </r>
  <r>
    <s v="Call_7292"/>
    <s v="C0004"/>
    <n v="38"/>
    <s v="R04"/>
    <d v="2023-01-07T00:00:00"/>
    <n v="92"/>
    <n v="4.9000000000000004"/>
    <n v="2023"/>
    <s v="Saturday"/>
    <x v="2"/>
    <n v="5"/>
    <s v="Medium"/>
    <s v="Medium"/>
  </r>
  <r>
    <s v="Call_7293"/>
    <s v="C0003"/>
    <n v="67"/>
    <s v="R04"/>
    <d v="2023-01-08T00:00:00"/>
    <n v="165"/>
    <n v="4.5"/>
    <n v="2023"/>
    <s v="Sunday"/>
    <x v="0"/>
    <n v="5"/>
    <s v="Long"/>
    <s v="Very High"/>
  </r>
  <r>
    <s v="Call_7294"/>
    <s v="C0015"/>
    <n v="58"/>
    <s v="R02"/>
    <d v="2023-01-08T00:00:00"/>
    <n v="140"/>
    <n v="2.1"/>
    <n v="2023"/>
    <s v="Sunday"/>
    <x v="2"/>
    <n v="2"/>
    <s v="Medium"/>
    <s v="High"/>
  </r>
  <r>
    <s v="Call_7295"/>
    <s v="C0010"/>
    <n v="54"/>
    <s v="R01"/>
    <d v="2023-01-08T00:00:00"/>
    <n v="111"/>
    <n v="3.3"/>
    <n v="2023"/>
    <s v="Sunday"/>
    <x v="2"/>
    <n v="3"/>
    <s v="Medium"/>
    <s v="High"/>
  </r>
  <r>
    <s v="Call_7296"/>
    <s v="C0012"/>
    <n v="28"/>
    <s v="R05"/>
    <d v="2023-01-09T00:00:00"/>
    <n v="63"/>
    <n v="4.0999999999999996"/>
    <n v="2023"/>
    <s v="Monday"/>
    <x v="3"/>
    <n v="4"/>
    <s v="Short"/>
    <s v="Medium"/>
  </r>
  <r>
    <s v="Call_7297"/>
    <s v="C0002"/>
    <n v="73"/>
    <s v="R05"/>
    <d v="2023-01-09T00:00:00"/>
    <n v="80"/>
    <n v="4.2"/>
    <n v="2023"/>
    <s v="Monday"/>
    <x v="0"/>
    <n v="4"/>
    <s v="Long"/>
    <s v="Medium"/>
  </r>
  <r>
    <s v="Call_7298"/>
    <s v="C0011"/>
    <n v="81"/>
    <s v="R05"/>
    <d v="2023-01-10T00:00:00"/>
    <n v="50"/>
    <n v="4.5999999999999996"/>
    <n v="2023"/>
    <s v="Tuesday"/>
    <x v="0"/>
    <n v="5"/>
    <s v="Long"/>
    <s v="Low"/>
  </r>
  <r>
    <s v="Call_7299"/>
    <s v="C0009"/>
    <n v="31"/>
    <s v="R04"/>
    <d v="2023-01-10T00:00:00"/>
    <n v="123"/>
    <n v="2.9"/>
    <n v="2023"/>
    <s v="Tuesday"/>
    <x v="2"/>
    <n v="3"/>
    <s v="Medium"/>
    <s v="High"/>
  </r>
  <r>
    <s v="Call_7300"/>
    <s v="C0015"/>
    <n v="155"/>
    <s v="R01"/>
    <d v="2023-01-10T00:00:00"/>
    <n v="110"/>
    <n v="4.8"/>
    <n v="2023"/>
    <s v="Tuesday"/>
    <x v="1"/>
    <n v="5"/>
    <s v="Long"/>
    <s v="High"/>
  </r>
  <r>
    <s v="Call_7301"/>
    <s v="C0009"/>
    <n v="80"/>
    <s v="R05"/>
    <d v="2023-01-10T00:00:00"/>
    <n v="140"/>
    <n v="4.2"/>
    <n v="2023"/>
    <s v="Tuesday"/>
    <x v="0"/>
    <n v="4"/>
    <s v="Long"/>
    <s v="High"/>
  </r>
  <r>
    <s v="Call_7302"/>
    <s v="C0011"/>
    <n v="82"/>
    <s v="R05"/>
    <d v="2023-01-12T00:00:00"/>
    <n v="42"/>
    <n v="3.7"/>
    <n v="2023"/>
    <s v="Thursday"/>
    <x v="0"/>
    <n v="4"/>
    <s v="Long"/>
    <s v="Low"/>
  </r>
  <r>
    <s v="Call_7303"/>
    <s v="C0011"/>
    <n v="29"/>
    <s v="R01"/>
    <d v="2023-01-12T00:00:00"/>
    <n v="170"/>
    <n v="5"/>
    <n v="2023"/>
    <s v="Thursday"/>
    <x v="3"/>
    <n v="5"/>
    <s v="Short"/>
    <s v="Very High"/>
  </r>
  <r>
    <s v="Call_7304"/>
    <s v="C0006"/>
    <n v="160"/>
    <s v="R02"/>
    <d v="2023-01-14T00:00:00"/>
    <n v="105"/>
    <n v="5"/>
    <n v="2023"/>
    <s v="Saturday"/>
    <x v="1"/>
    <n v="5"/>
    <s v="Long"/>
    <s v="High"/>
  </r>
  <r>
    <s v="Call_7305"/>
    <s v="C0001"/>
    <n v="105"/>
    <s v="R05"/>
    <d v="2023-01-15T00:00:00"/>
    <n v="125"/>
    <n v="4.8"/>
    <n v="2023"/>
    <s v="Sunday"/>
    <x v="0"/>
    <n v="5"/>
    <s v="Long"/>
    <s v="High"/>
  </r>
  <r>
    <s v="Call_7306"/>
    <s v="C0009"/>
    <n v="75"/>
    <s v="R03"/>
    <d v="2023-01-15T00:00:00"/>
    <n v="26"/>
    <n v="2.4"/>
    <n v="2023"/>
    <s v="Sunday"/>
    <x v="0"/>
    <n v="2"/>
    <s v="Long"/>
    <s v="Low"/>
  </r>
  <r>
    <s v="Call_7307"/>
    <s v="C0015"/>
    <n v="94"/>
    <s v="R03"/>
    <d v="2023-01-16T00:00:00"/>
    <n v="120"/>
    <n v="3.1"/>
    <n v="2023"/>
    <s v="Monday"/>
    <x v="0"/>
    <n v="3"/>
    <s v="Long"/>
    <s v="High"/>
  </r>
  <r>
    <s v="Call_7308"/>
    <s v="C0004"/>
    <n v="90"/>
    <s v="R02"/>
    <d v="2023-01-16T00:00:00"/>
    <n v="132"/>
    <n v="3.2"/>
    <n v="2023"/>
    <s v="Monday"/>
    <x v="0"/>
    <n v="3"/>
    <s v="Long"/>
    <s v="High"/>
  </r>
  <r>
    <s v="Call_7309"/>
    <s v="C0015"/>
    <n v="81"/>
    <s v="R04"/>
    <d v="2023-01-17T00:00:00"/>
    <n v="86"/>
    <n v="2.4"/>
    <n v="2023"/>
    <s v="Tuesday"/>
    <x v="0"/>
    <n v="2"/>
    <s v="Long"/>
    <s v="Medium"/>
  </r>
  <r>
    <s v="Call_7310"/>
    <s v="C0009"/>
    <n v="106"/>
    <s v="R05"/>
    <d v="2023-01-17T00:00:00"/>
    <n v="108"/>
    <n v="5"/>
    <n v="2023"/>
    <s v="Tuesday"/>
    <x v="0"/>
    <n v="5"/>
    <s v="Long"/>
    <s v="High"/>
  </r>
  <r>
    <s v="Call_7311"/>
    <s v="C0004"/>
    <n v="74"/>
    <s v="R04"/>
    <d v="2023-01-17T00:00:00"/>
    <n v="96"/>
    <n v="4.7"/>
    <n v="2023"/>
    <s v="Tuesday"/>
    <x v="0"/>
    <n v="5"/>
    <s v="Long"/>
    <s v="Medium"/>
  </r>
  <r>
    <s v="Call_7312"/>
    <s v="C0010"/>
    <n v="105"/>
    <s v="R02"/>
    <d v="2023-01-18T00:00:00"/>
    <n v="80"/>
    <n v="4.7"/>
    <n v="2023"/>
    <s v="Wednesday"/>
    <x v="0"/>
    <n v="5"/>
    <s v="Long"/>
    <s v="Medium"/>
  </r>
  <r>
    <s v="Call_7313"/>
    <s v="C0009"/>
    <n v="89"/>
    <s v="R05"/>
    <d v="2023-01-18T00:00:00"/>
    <n v="155"/>
    <n v="4.0999999999999996"/>
    <n v="2023"/>
    <s v="Wednesday"/>
    <x v="0"/>
    <n v="4"/>
    <s v="Long"/>
    <s v="Very High"/>
  </r>
  <r>
    <s v="Call_7314"/>
    <s v="C0013"/>
    <n v="132"/>
    <s v="R03"/>
    <d v="2023-01-18T00:00:00"/>
    <n v="168"/>
    <n v="4.0999999999999996"/>
    <n v="2023"/>
    <s v="Wednesday"/>
    <x v="1"/>
    <n v="4"/>
    <s v="Long"/>
    <s v="Very High"/>
  </r>
  <r>
    <s v="Call_7315"/>
    <s v="C0001"/>
    <n v="105"/>
    <s v="R01"/>
    <d v="2023-01-18T00:00:00"/>
    <n v="56"/>
    <n v="3.6"/>
    <n v="2023"/>
    <s v="Wednesday"/>
    <x v="0"/>
    <n v="4"/>
    <s v="Long"/>
    <s v="Medium"/>
  </r>
  <r>
    <s v="Call_7316"/>
    <s v="C0011"/>
    <n v="13"/>
    <s v="R03"/>
    <d v="2023-01-19T00:00:00"/>
    <n v="32"/>
    <n v="4.4000000000000004"/>
    <n v="2023"/>
    <s v="Thursday"/>
    <x v="3"/>
    <n v="4"/>
    <s v="Very Short"/>
    <s v="Low"/>
  </r>
  <r>
    <s v="Call_7317"/>
    <s v="C0014"/>
    <n v="131"/>
    <s v="R01"/>
    <d v="2023-01-19T00:00:00"/>
    <n v="78"/>
    <n v="4.4000000000000004"/>
    <n v="2023"/>
    <s v="Thursday"/>
    <x v="1"/>
    <n v="4"/>
    <s v="Long"/>
    <s v="Medium"/>
  </r>
  <r>
    <s v="Call_7318"/>
    <s v="C0004"/>
    <n v="104"/>
    <s v="R05"/>
    <d v="2023-01-19T00:00:00"/>
    <n v="86"/>
    <n v="4"/>
    <n v="2023"/>
    <s v="Thursday"/>
    <x v="0"/>
    <n v="4"/>
    <s v="Long"/>
    <s v="Medium"/>
  </r>
  <r>
    <s v="Call_7319"/>
    <s v="C0003"/>
    <n v="90"/>
    <s v="R02"/>
    <d v="2023-01-20T00:00:00"/>
    <n v="64"/>
    <n v="3.8"/>
    <n v="2023"/>
    <s v="Friday"/>
    <x v="0"/>
    <n v="4"/>
    <s v="Long"/>
    <s v="Medium"/>
  </r>
  <r>
    <s v="Call_7320"/>
    <s v="C0012"/>
    <n v="37"/>
    <s v="R02"/>
    <d v="2023-01-20T00:00:00"/>
    <n v="96"/>
    <n v="3.6"/>
    <n v="2023"/>
    <s v="Friday"/>
    <x v="2"/>
    <n v="4"/>
    <s v="Medium"/>
    <s v="Medium"/>
  </r>
  <r>
    <s v="Call_7321"/>
    <s v="C0002"/>
    <n v="149"/>
    <s v="R01"/>
    <d v="2023-01-20T00:00:00"/>
    <n v="72"/>
    <n v="4.3"/>
    <n v="2023"/>
    <s v="Friday"/>
    <x v="1"/>
    <n v="4"/>
    <s v="Long"/>
    <s v="Medium"/>
  </r>
  <r>
    <s v="Call_7322"/>
    <s v="C0013"/>
    <n v="100"/>
    <s v="R04"/>
    <d v="2023-01-21T00:00:00"/>
    <n v="135"/>
    <n v="3.8"/>
    <n v="2023"/>
    <s v="Saturday"/>
    <x v="0"/>
    <n v="4"/>
    <s v="Long"/>
    <s v="High"/>
  </r>
  <r>
    <s v="Call_7323"/>
    <s v="C0013"/>
    <n v="79"/>
    <s v="R03"/>
    <d v="2023-01-21T00:00:00"/>
    <n v="140"/>
    <n v="4.5"/>
    <n v="2023"/>
    <s v="Saturday"/>
    <x v="0"/>
    <n v="5"/>
    <s v="Long"/>
    <s v="High"/>
  </r>
  <r>
    <s v="Call_7324"/>
    <s v="C0008"/>
    <n v="157"/>
    <s v="R01"/>
    <d v="2023-01-21T00:00:00"/>
    <n v="69"/>
    <n v="4.5"/>
    <n v="2023"/>
    <s v="Saturday"/>
    <x v="1"/>
    <n v="5"/>
    <s v="Long"/>
    <s v="Medium"/>
  </r>
  <r>
    <s v="Call_7325"/>
    <s v="C0013"/>
    <n v="59"/>
    <s v="R05"/>
    <d v="2023-01-22T00:00:00"/>
    <n v="136"/>
    <n v="4.5999999999999996"/>
    <n v="2023"/>
    <s v="Sunday"/>
    <x v="2"/>
    <n v="5"/>
    <s v="Medium"/>
    <s v="High"/>
  </r>
  <r>
    <s v="Call_7326"/>
    <s v="C0012"/>
    <n v="83"/>
    <s v="R01"/>
    <d v="2023-01-22T00:00:00"/>
    <n v="28"/>
    <n v="4.5"/>
    <n v="2023"/>
    <s v="Sunday"/>
    <x v="0"/>
    <n v="5"/>
    <s v="Long"/>
    <s v="Low"/>
  </r>
  <r>
    <s v="Call_7327"/>
    <s v="C0008"/>
    <n v="58"/>
    <s v="R02"/>
    <d v="2023-01-23T00:00:00"/>
    <n v="135"/>
    <n v="3.3"/>
    <n v="2023"/>
    <s v="Monday"/>
    <x v="2"/>
    <n v="3"/>
    <s v="Medium"/>
    <s v="High"/>
  </r>
  <r>
    <s v="Call_7328"/>
    <s v="C0015"/>
    <n v="118"/>
    <s v="R02"/>
    <d v="2023-01-23T00:00:00"/>
    <n v="126"/>
    <n v="2.2999999999999998"/>
    <n v="2023"/>
    <s v="Monday"/>
    <x v="0"/>
    <n v="2"/>
    <s v="Long"/>
    <s v="High"/>
  </r>
  <r>
    <s v="Call_7329"/>
    <s v="C0011"/>
    <n v="63"/>
    <s v="R05"/>
    <d v="2023-01-23T00:00:00"/>
    <n v="160"/>
    <n v="4.3"/>
    <n v="2023"/>
    <s v="Monday"/>
    <x v="0"/>
    <n v="4"/>
    <s v="Long"/>
    <s v="Very High"/>
  </r>
  <r>
    <s v="Call_7330"/>
    <s v="C0008"/>
    <n v="95"/>
    <s v="R02"/>
    <d v="2023-01-24T00:00:00"/>
    <n v="48"/>
    <n v="4.5999999999999996"/>
    <n v="2023"/>
    <s v="Tuesday"/>
    <x v="0"/>
    <n v="5"/>
    <s v="Long"/>
    <s v="Low"/>
  </r>
  <r>
    <s v="Call_7331"/>
    <s v="C0013"/>
    <n v="74"/>
    <s v="R01"/>
    <d v="2023-01-24T00:00:00"/>
    <n v="66"/>
    <n v="4"/>
    <n v="2023"/>
    <s v="Tuesday"/>
    <x v="0"/>
    <n v="4"/>
    <s v="Long"/>
    <s v="Medium"/>
  </r>
  <r>
    <s v="Call_7332"/>
    <s v="C0010"/>
    <n v="130"/>
    <s v="R04"/>
    <d v="2023-01-24T00:00:00"/>
    <n v="126"/>
    <n v="2.5"/>
    <n v="2023"/>
    <s v="Tuesday"/>
    <x v="1"/>
    <n v="3"/>
    <s v="Long"/>
    <s v="High"/>
  </r>
  <r>
    <s v="Call_7333"/>
    <s v="C0015"/>
    <n v="110"/>
    <s v="R03"/>
    <d v="2023-01-24T00:00:00"/>
    <n v="96"/>
    <n v="5"/>
    <n v="2023"/>
    <s v="Tuesday"/>
    <x v="0"/>
    <n v="5"/>
    <s v="Long"/>
    <s v="Medium"/>
  </r>
  <r>
    <s v="Call_7334"/>
    <s v="C0013"/>
    <n v="71"/>
    <s v="R05"/>
    <d v="2023-01-25T00:00:00"/>
    <n v="90"/>
    <n v="3.8"/>
    <n v="2023"/>
    <s v="Wednesday"/>
    <x v="0"/>
    <n v="4"/>
    <s v="Long"/>
    <s v="Medium"/>
  </r>
  <r>
    <s v="Call_7335"/>
    <s v="C0001"/>
    <n v="147"/>
    <s v="R04"/>
    <d v="2023-01-25T00:00:00"/>
    <n v="105"/>
    <n v="4.4000000000000004"/>
    <n v="2023"/>
    <s v="Wednesday"/>
    <x v="1"/>
    <n v="4"/>
    <s v="Long"/>
    <s v="High"/>
  </r>
  <r>
    <s v="Call_7336"/>
    <s v="C0004"/>
    <n v="69"/>
    <s v="R02"/>
    <d v="2023-01-26T00:00:00"/>
    <n v="40"/>
    <n v="3.8"/>
    <n v="2023"/>
    <s v="Thursday"/>
    <x v="0"/>
    <n v="4"/>
    <s v="Long"/>
    <s v="Low"/>
  </r>
  <r>
    <s v="Call_7337"/>
    <s v="C0015"/>
    <n v="50"/>
    <s v="R05"/>
    <d v="2023-01-26T00:00:00"/>
    <n v="60"/>
    <n v="2"/>
    <n v="2023"/>
    <s v="Thursday"/>
    <x v="2"/>
    <n v="2"/>
    <s v="Medium"/>
    <s v="Medium"/>
  </r>
  <r>
    <s v="Call_7338"/>
    <s v="C0010"/>
    <n v="124"/>
    <s v="R04"/>
    <d v="2023-01-27T00:00:00"/>
    <n v="215"/>
    <n v="4.0999999999999996"/>
    <n v="2023"/>
    <s v="Friday"/>
    <x v="1"/>
    <n v="4"/>
    <s v="Long"/>
    <s v="Very High"/>
  </r>
  <r>
    <s v="Call_7339"/>
    <s v="C0005"/>
    <n v="81"/>
    <s v="R01"/>
    <d v="2023-01-27T00:00:00"/>
    <n v="156"/>
    <n v="2.6"/>
    <n v="2023"/>
    <s v="Friday"/>
    <x v="0"/>
    <n v="3"/>
    <s v="Long"/>
    <s v="Very High"/>
  </r>
  <r>
    <s v="Call_7340"/>
    <s v="C0006"/>
    <n v="141"/>
    <s v="R03"/>
    <d v="2023-01-27T00:00:00"/>
    <n v="54"/>
    <n v="0"/>
    <n v="2023"/>
    <s v="Friday"/>
    <x v="1"/>
    <n v="0"/>
    <s v="Long"/>
    <s v="Medium"/>
  </r>
  <r>
    <s v="Call_7341"/>
    <s v="C0006"/>
    <n v="168"/>
    <s v="R03"/>
    <d v="2023-01-28T00:00:00"/>
    <n v="160"/>
    <n v="3.9"/>
    <n v="2023"/>
    <s v="Saturday"/>
    <x v="1"/>
    <n v="4"/>
    <s v="Long"/>
    <s v="Very High"/>
  </r>
  <r>
    <s v="Call_7342"/>
    <s v="C0001"/>
    <n v="101"/>
    <s v="R01"/>
    <d v="2023-01-28T00:00:00"/>
    <n v="80"/>
    <n v="4.8"/>
    <n v="2023"/>
    <s v="Saturday"/>
    <x v="0"/>
    <n v="5"/>
    <s v="Long"/>
    <s v="Medium"/>
  </r>
  <r>
    <s v="Call_7343"/>
    <s v="C0013"/>
    <n v="67"/>
    <s v="R01"/>
    <d v="2023-01-28T00:00:00"/>
    <n v="168"/>
    <n v="2.6"/>
    <n v="2023"/>
    <s v="Saturday"/>
    <x v="0"/>
    <n v="3"/>
    <s v="Long"/>
    <s v="Very High"/>
  </r>
  <r>
    <s v="Call_7344"/>
    <s v="C0008"/>
    <n v="114"/>
    <s v="R03"/>
    <d v="2023-01-30T00:00:00"/>
    <n v="42"/>
    <n v="2.6"/>
    <n v="2023"/>
    <s v="Monday"/>
    <x v="0"/>
    <n v="3"/>
    <s v="Long"/>
    <s v="Low"/>
  </r>
  <r>
    <s v="Call_7345"/>
    <s v="C0005"/>
    <n v="42"/>
    <s v="R01"/>
    <d v="2023-01-30T00:00:00"/>
    <n v="205"/>
    <n v="3.6"/>
    <n v="2023"/>
    <s v="Monday"/>
    <x v="2"/>
    <n v="4"/>
    <s v="Medium"/>
    <s v="Very High"/>
  </r>
  <r>
    <s v="Call_7346"/>
    <s v="C0011"/>
    <n v="69"/>
    <s v="R03"/>
    <d v="2023-01-30T00:00:00"/>
    <n v="108"/>
    <n v="3.3"/>
    <n v="2023"/>
    <s v="Monday"/>
    <x v="0"/>
    <n v="3"/>
    <s v="Long"/>
    <s v="High"/>
  </r>
  <r>
    <s v="Call_7347"/>
    <s v="C0010"/>
    <n v="145"/>
    <s v="R02"/>
    <d v="2023-01-30T00:00:00"/>
    <n v="78"/>
    <n v="1.9"/>
    <n v="2023"/>
    <s v="Monday"/>
    <x v="1"/>
    <n v="2"/>
    <s v="Long"/>
    <s v="Medium"/>
  </r>
  <r>
    <s v="Call_7348"/>
    <s v="C0004"/>
    <n v="43"/>
    <s v="R03"/>
    <d v="2023-01-30T00:00:00"/>
    <n v="23"/>
    <n v="4.9000000000000004"/>
    <n v="2023"/>
    <s v="Monday"/>
    <x v="2"/>
    <n v="5"/>
    <s v="Medium"/>
    <s v="Low"/>
  </r>
  <r>
    <s v="Call_7349"/>
    <s v="C0011"/>
    <n v="62"/>
    <s v="R05"/>
    <d v="2023-01-31T00:00:00"/>
    <n v="99"/>
    <n v="3.6"/>
    <n v="2023"/>
    <s v="Tuesday"/>
    <x v="0"/>
    <n v="4"/>
    <s v="Long"/>
    <s v="Medium"/>
  </r>
  <r>
    <s v="Call_7350"/>
    <s v="C0009"/>
    <n v="79"/>
    <s v="R03"/>
    <d v="2023-02-01T00:00:00"/>
    <n v="148"/>
    <n v="4.5"/>
    <n v="2023"/>
    <s v="Wednesday"/>
    <x v="0"/>
    <n v="5"/>
    <s v="Long"/>
    <s v="High"/>
  </r>
  <r>
    <s v="Call_7351"/>
    <s v="C0010"/>
    <n v="45"/>
    <s v="R04"/>
    <d v="2023-02-01T00:00:00"/>
    <n v="34"/>
    <n v="3.7"/>
    <n v="2023"/>
    <s v="Wednesday"/>
    <x v="2"/>
    <n v="4"/>
    <s v="Medium"/>
    <s v="Low"/>
  </r>
  <r>
    <s v="Call_7352"/>
    <s v="C0011"/>
    <n v="137"/>
    <s v="R03"/>
    <d v="2023-02-01T00:00:00"/>
    <n v="86"/>
    <n v="4.8"/>
    <n v="2023"/>
    <s v="Wednesday"/>
    <x v="1"/>
    <n v="5"/>
    <s v="Long"/>
    <s v="Medium"/>
  </r>
  <r>
    <s v="Call_7353"/>
    <s v="C0008"/>
    <n v="109"/>
    <s v="R05"/>
    <d v="2023-02-01T00:00:00"/>
    <n v="105"/>
    <n v="3.3"/>
    <n v="2023"/>
    <s v="Wednesday"/>
    <x v="0"/>
    <n v="3"/>
    <s v="Long"/>
    <s v="High"/>
  </r>
  <r>
    <s v="Call_7354"/>
    <s v="C0004"/>
    <n v="78"/>
    <s v="R05"/>
    <d v="2023-02-01T00:00:00"/>
    <n v="62"/>
    <n v="3.1"/>
    <n v="2023"/>
    <s v="Wednesday"/>
    <x v="0"/>
    <n v="3"/>
    <s v="Long"/>
    <s v="Medium"/>
  </r>
  <r>
    <s v="Call_7355"/>
    <s v="C0011"/>
    <n v="137"/>
    <s v="R04"/>
    <d v="2023-02-01T00:00:00"/>
    <n v="90"/>
    <n v="4.0999999999999996"/>
    <n v="2023"/>
    <s v="Wednesday"/>
    <x v="1"/>
    <n v="4"/>
    <s v="Long"/>
    <s v="Medium"/>
  </r>
  <r>
    <s v="Call_7356"/>
    <s v="C0014"/>
    <n v="99"/>
    <s v="R05"/>
    <d v="2023-02-02T00:00:00"/>
    <n v="112"/>
    <n v="4.9000000000000004"/>
    <n v="2023"/>
    <s v="Thursday"/>
    <x v="0"/>
    <n v="5"/>
    <s v="Long"/>
    <s v="High"/>
  </r>
  <r>
    <s v="Call_7357"/>
    <s v="C0015"/>
    <n v="100"/>
    <s v="R05"/>
    <d v="2023-02-02T00:00:00"/>
    <n v="135"/>
    <n v="4"/>
    <n v="2023"/>
    <s v="Thursday"/>
    <x v="0"/>
    <n v="4"/>
    <s v="Long"/>
    <s v="High"/>
  </r>
  <r>
    <s v="Call_7358"/>
    <s v="C0004"/>
    <n v="47"/>
    <s v="R02"/>
    <d v="2023-02-02T00:00:00"/>
    <n v="34"/>
    <n v="2.1"/>
    <n v="2023"/>
    <s v="Thursday"/>
    <x v="2"/>
    <n v="2"/>
    <s v="Medium"/>
    <s v="Low"/>
  </r>
  <r>
    <s v="Call_7359"/>
    <s v="C0008"/>
    <n v="87"/>
    <s v="R01"/>
    <d v="2023-02-02T00:00:00"/>
    <n v="155"/>
    <n v="4.5"/>
    <n v="2023"/>
    <s v="Thursday"/>
    <x v="0"/>
    <n v="5"/>
    <s v="Long"/>
    <s v="Very High"/>
  </r>
  <r>
    <s v="Call_7360"/>
    <s v="C0014"/>
    <n v="143"/>
    <s v="R01"/>
    <d v="2023-02-04T00:00:00"/>
    <n v="124"/>
    <n v="4.9000000000000004"/>
    <n v="2023"/>
    <s v="Saturday"/>
    <x v="1"/>
    <n v="5"/>
    <s v="Long"/>
    <s v="High"/>
  </r>
  <r>
    <s v="Call_7361"/>
    <s v="C0015"/>
    <n v="84"/>
    <s v="R05"/>
    <d v="2023-02-04T00:00:00"/>
    <n v="195"/>
    <n v="4.0999999999999996"/>
    <n v="2023"/>
    <s v="Saturday"/>
    <x v="0"/>
    <n v="4"/>
    <s v="Long"/>
    <s v="Very High"/>
  </r>
  <r>
    <s v="Call_7362"/>
    <s v="C0001"/>
    <n v="55"/>
    <s v="R01"/>
    <d v="2023-02-05T00:00:00"/>
    <n v="78"/>
    <n v="4.5"/>
    <n v="2023"/>
    <s v="Sunday"/>
    <x v="2"/>
    <n v="5"/>
    <s v="Medium"/>
    <s v="Medium"/>
  </r>
  <r>
    <s v="Call_7363"/>
    <s v="C0007"/>
    <n v="135"/>
    <s v="R04"/>
    <d v="2023-02-07T00:00:00"/>
    <n v="35"/>
    <n v="4.8"/>
    <n v="2023"/>
    <s v="Tuesday"/>
    <x v="1"/>
    <n v="5"/>
    <s v="Long"/>
    <s v="Low"/>
  </r>
  <r>
    <s v="Call_7364"/>
    <s v="C0012"/>
    <n v="152"/>
    <s v="R02"/>
    <d v="2023-02-07T00:00:00"/>
    <n v="123"/>
    <n v="4.5999999999999996"/>
    <n v="2023"/>
    <s v="Tuesday"/>
    <x v="1"/>
    <n v="5"/>
    <s v="Long"/>
    <s v="High"/>
  </r>
  <r>
    <s v="Call_7365"/>
    <s v="C0005"/>
    <n v="132"/>
    <s v="R02"/>
    <d v="2023-02-07T00:00:00"/>
    <n v="43"/>
    <n v="4.5999999999999996"/>
    <n v="2023"/>
    <s v="Tuesday"/>
    <x v="1"/>
    <n v="5"/>
    <s v="Long"/>
    <s v="Low"/>
  </r>
  <r>
    <s v="Call_7366"/>
    <s v="C0006"/>
    <n v="60"/>
    <s v="R05"/>
    <d v="2023-02-08T00:00:00"/>
    <n v="69"/>
    <n v="4.3"/>
    <n v="2023"/>
    <s v="Wednesday"/>
    <x v="2"/>
    <n v="4"/>
    <s v="Medium"/>
    <s v="Medium"/>
  </r>
  <r>
    <s v="Call_7367"/>
    <s v="C0012"/>
    <n v="95"/>
    <s v="R02"/>
    <d v="2023-02-08T00:00:00"/>
    <n v="130"/>
    <n v="5"/>
    <n v="2023"/>
    <s v="Wednesday"/>
    <x v="0"/>
    <n v="5"/>
    <s v="Long"/>
    <s v="High"/>
  </r>
  <r>
    <s v="Call_7368"/>
    <s v="C0003"/>
    <n v="96"/>
    <s v="R03"/>
    <d v="2023-02-08T00:00:00"/>
    <n v="120"/>
    <n v="4"/>
    <n v="2023"/>
    <s v="Wednesday"/>
    <x v="0"/>
    <n v="4"/>
    <s v="Long"/>
    <s v="High"/>
  </r>
  <r>
    <s v="Call_7369"/>
    <s v="C0001"/>
    <n v="45"/>
    <s v="R05"/>
    <d v="2023-02-09T00:00:00"/>
    <n v="84"/>
    <n v="4.5999999999999996"/>
    <n v="2023"/>
    <s v="Thursday"/>
    <x v="2"/>
    <n v="5"/>
    <s v="Medium"/>
    <s v="Medium"/>
  </r>
  <r>
    <s v="Call_7370"/>
    <s v="C0003"/>
    <n v="132"/>
    <s v="R03"/>
    <d v="2023-02-10T00:00:00"/>
    <n v="112"/>
    <n v="4.5"/>
    <n v="2023"/>
    <s v="Friday"/>
    <x v="1"/>
    <n v="5"/>
    <s v="Long"/>
    <s v="High"/>
  </r>
  <r>
    <s v="Call_7371"/>
    <s v="C0013"/>
    <n v="95"/>
    <s v="R05"/>
    <d v="2023-02-10T00:00:00"/>
    <n v="66"/>
    <n v="4.5999999999999996"/>
    <n v="2023"/>
    <s v="Friday"/>
    <x v="0"/>
    <n v="5"/>
    <s v="Long"/>
    <s v="Medium"/>
  </r>
  <r>
    <s v="Call_7372"/>
    <s v="C0012"/>
    <n v="131"/>
    <s v="R01"/>
    <d v="2023-02-10T00:00:00"/>
    <n v="172"/>
    <n v="2.6"/>
    <n v="2023"/>
    <s v="Friday"/>
    <x v="1"/>
    <n v="3"/>
    <s v="Long"/>
    <s v="Very High"/>
  </r>
  <r>
    <s v="Call_7373"/>
    <s v="C0009"/>
    <n v="67"/>
    <s v="R04"/>
    <d v="2023-02-11T00:00:00"/>
    <n v="24"/>
    <n v="4.3"/>
    <n v="2023"/>
    <s v="Saturday"/>
    <x v="0"/>
    <n v="4"/>
    <s v="Long"/>
    <s v="Low"/>
  </r>
  <r>
    <s v="Call_7374"/>
    <s v="C0014"/>
    <n v="111"/>
    <s v="R01"/>
    <d v="2023-02-12T00:00:00"/>
    <n v="43"/>
    <n v="3.9"/>
    <n v="2023"/>
    <s v="Sunday"/>
    <x v="0"/>
    <n v="4"/>
    <s v="Long"/>
    <s v="Low"/>
  </r>
  <r>
    <s v="Call_7375"/>
    <s v="C0005"/>
    <n v="78"/>
    <s v="R02"/>
    <d v="2023-02-12T00:00:00"/>
    <n v="23"/>
    <n v="5"/>
    <n v="2023"/>
    <s v="Sunday"/>
    <x v="0"/>
    <n v="5"/>
    <s v="Long"/>
    <s v="Low"/>
  </r>
  <r>
    <s v="Call_7376"/>
    <s v="C0002"/>
    <n v="28"/>
    <s v="R03"/>
    <d v="2023-02-12T00:00:00"/>
    <n v="74"/>
    <n v="3.5"/>
    <n v="2023"/>
    <s v="Sunday"/>
    <x v="3"/>
    <n v="4"/>
    <s v="Short"/>
    <s v="Medium"/>
  </r>
  <r>
    <s v="Call_7377"/>
    <s v="C0004"/>
    <n v="127"/>
    <s v="R04"/>
    <d v="2023-02-13T00:00:00"/>
    <n v="165"/>
    <n v="4.7"/>
    <n v="2023"/>
    <s v="Monday"/>
    <x v="1"/>
    <n v="5"/>
    <s v="Long"/>
    <s v="Very High"/>
  </r>
  <r>
    <s v="Call_7378"/>
    <s v="C0015"/>
    <n v="137"/>
    <s v="R01"/>
    <d v="2023-02-13T00:00:00"/>
    <n v="34"/>
    <n v="2.9"/>
    <n v="2023"/>
    <s v="Monday"/>
    <x v="1"/>
    <n v="3"/>
    <s v="Long"/>
    <s v="Low"/>
  </r>
  <r>
    <s v="Call_7379"/>
    <s v="C0004"/>
    <n v="76"/>
    <s v="R03"/>
    <d v="2023-02-13T00:00:00"/>
    <n v="64"/>
    <n v="3.4"/>
    <n v="2023"/>
    <s v="Monday"/>
    <x v="0"/>
    <n v="3"/>
    <s v="Long"/>
    <s v="Medium"/>
  </r>
  <r>
    <s v="Call_7380"/>
    <s v="C0005"/>
    <n v="80"/>
    <s v="R04"/>
    <d v="2023-02-14T00:00:00"/>
    <n v="155"/>
    <n v="3.2"/>
    <n v="2023"/>
    <s v="Tuesday"/>
    <x v="0"/>
    <n v="3"/>
    <s v="Long"/>
    <s v="Very High"/>
  </r>
  <r>
    <s v="Call_7381"/>
    <s v="C0004"/>
    <n v="95"/>
    <s v="R02"/>
    <d v="2023-02-15T00:00:00"/>
    <n v="120"/>
    <n v="4.8"/>
    <n v="2023"/>
    <s v="Wednesday"/>
    <x v="0"/>
    <n v="5"/>
    <s v="Long"/>
    <s v="High"/>
  </r>
  <r>
    <s v="Call_7382"/>
    <s v="C0006"/>
    <n v="30"/>
    <s v="R03"/>
    <d v="2023-02-15T00:00:00"/>
    <n v="105"/>
    <n v="3.6"/>
    <n v="2023"/>
    <s v="Wednesday"/>
    <x v="3"/>
    <n v="4"/>
    <s v="Short"/>
    <s v="High"/>
  </r>
  <r>
    <s v="Call_7383"/>
    <s v="C0011"/>
    <n v="19"/>
    <s v="R01"/>
    <d v="2023-02-15T00:00:00"/>
    <n v="28"/>
    <n v="4.9000000000000004"/>
    <n v="2023"/>
    <s v="Wednesday"/>
    <x v="3"/>
    <n v="5"/>
    <s v="Short"/>
    <s v="Low"/>
  </r>
  <r>
    <s v="Call_7384"/>
    <s v="C0010"/>
    <n v="38"/>
    <s v="R04"/>
    <d v="2023-02-15T00:00:00"/>
    <n v="100"/>
    <n v="4.8"/>
    <n v="2023"/>
    <s v="Wednesday"/>
    <x v="2"/>
    <n v="5"/>
    <s v="Medium"/>
    <s v="Medium"/>
  </r>
  <r>
    <s v="Call_7385"/>
    <s v="C0013"/>
    <n v="55"/>
    <s v="R01"/>
    <d v="2023-02-15T00:00:00"/>
    <n v="23"/>
    <n v="3.6"/>
    <n v="2023"/>
    <s v="Wednesday"/>
    <x v="2"/>
    <n v="4"/>
    <s v="Medium"/>
    <s v="Low"/>
  </r>
  <r>
    <s v="Call_7386"/>
    <s v="C0009"/>
    <n v="27"/>
    <s v="R03"/>
    <d v="2023-02-16T00:00:00"/>
    <n v="70"/>
    <n v="3.9"/>
    <n v="2023"/>
    <s v="Thursday"/>
    <x v="3"/>
    <n v="4"/>
    <s v="Short"/>
    <s v="Medium"/>
  </r>
  <r>
    <s v="Call_7387"/>
    <s v="C0009"/>
    <n v="32"/>
    <s v="R03"/>
    <d v="2023-02-16T00:00:00"/>
    <n v="37"/>
    <n v="1.9"/>
    <n v="2023"/>
    <s v="Thursday"/>
    <x v="2"/>
    <n v="2"/>
    <s v="Medium"/>
    <s v="Low"/>
  </r>
  <r>
    <s v="Call_7388"/>
    <s v="C0002"/>
    <n v="116"/>
    <s v="R05"/>
    <d v="2023-02-16T00:00:00"/>
    <n v="140"/>
    <n v="3.6"/>
    <n v="2023"/>
    <s v="Thursday"/>
    <x v="0"/>
    <n v="4"/>
    <s v="Long"/>
    <s v="High"/>
  </r>
  <r>
    <s v="Call_7389"/>
    <s v="C0003"/>
    <n v="99"/>
    <s v="R02"/>
    <d v="2023-02-16T00:00:00"/>
    <n v="78"/>
    <n v="4.0999999999999996"/>
    <n v="2023"/>
    <s v="Thursday"/>
    <x v="0"/>
    <n v="4"/>
    <s v="Long"/>
    <s v="Medium"/>
  </r>
  <r>
    <s v="Call_7390"/>
    <s v="C0004"/>
    <n v="75"/>
    <s v="R03"/>
    <d v="2023-02-17T00:00:00"/>
    <n v="21"/>
    <n v="4.2"/>
    <n v="2023"/>
    <s v="Friday"/>
    <x v="0"/>
    <n v="4"/>
    <s v="Long"/>
    <s v="Low"/>
  </r>
  <r>
    <s v="Call_7391"/>
    <s v="C0005"/>
    <n v="57"/>
    <s v="R05"/>
    <d v="2023-02-17T00:00:00"/>
    <n v="88"/>
    <n v="4.3"/>
    <n v="2023"/>
    <s v="Friday"/>
    <x v="2"/>
    <n v="4"/>
    <s v="Medium"/>
    <s v="Medium"/>
  </r>
  <r>
    <s v="Call_7392"/>
    <s v="C0007"/>
    <n v="155"/>
    <s v="R05"/>
    <d v="2023-02-18T00:00:00"/>
    <n v="180"/>
    <n v="2.2000000000000002"/>
    <n v="2023"/>
    <s v="Saturday"/>
    <x v="1"/>
    <n v="2"/>
    <s v="Long"/>
    <s v="Very High"/>
  </r>
  <r>
    <s v="Call_7393"/>
    <s v="C0003"/>
    <n v="68"/>
    <s v="R02"/>
    <d v="2023-02-18T00:00:00"/>
    <n v="22"/>
    <n v="3.3"/>
    <n v="2023"/>
    <s v="Saturday"/>
    <x v="0"/>
    <n v="3"/>
    <s v="Long"/>
    <s v="Low"/>
  </r>
  <r>
    <s v="Call_7394"/>
    <s v="C0010"/>
    <n v="95"/>
    <s v="R02"/>
    <d v="2023-02-18T00:00:00"/>
    <n v="52"/>
    <n v="4.8"/>
    <n v="2023"/>
    <s v="Saturday"/>
    <x v="0"/>
    <n v="5"/>
    <s v="Long"/>
    <s v="Medium"/>
  </r>
  <r>
    <s v="Call_7395"/>
    <s v="C0015"/>
    <n v="65"/>
    <s v="R05"/>
    <d v="2023-02-19T00:00:00"/>
    <n v="80"/>
    <n v="4"/>
    <n v="2023"/>
    <s v="Sunday"/>
    <x v="0"/>
    <n v="4"/>
    <s v="Long"/>
    <s v="Medium"/>
  </r>
  <r>
    <s v="Call_7396"/>
    <s v="C0011"/>
    <n v="114"/>
    <s v="R01"/>
    <d v="2023-02-19T00:00:00"/>
    <n v="54"/>
    <n v="1.1000000000000001"/>
    <n v="2023"/>
    <s v="Sunday"/>
    <x v="0"/>
    <n v="1"/>
    <s v="Long"/>
    <s v="Medium"/>
  </r>
  <r>
    <s v="Call_7397"/>
    <s v="C0004"/>
    <n v="155"/>
    <s v="R01"/>
    <d v="2023-02-20T00:00:00"/>
    <n v="80"/>
    <n v="3.9"/>
    <n v="2023"/>
    <s v="Monday"/>
    <x v="1"/>
    <n v="4"/>
    <s v="Long"/>
    <s v="Medium"/>
  </r>
  <r>
    <s v="Call_7398"/>
    <s v="C0015"/>
    <n v="114"/>
    <s v="R05"/>
    <d v="2023-02-21T00:00:00"/>
    <n v="120"/>
    <n v="1.8"/>
    <n v="2023"/>
    <s v="Tuesday"/>
    <x v="0"/>
    <n v="2"/>
    <s v="Long"/>
    <s v="High"/>
  </r>
  <r>
    <s v="Call_7399"/>
    <s v="C0007"/>
    <n v="130"/>
    <s v="R04"/>
    <d v="2023-02-21T00:00:00"/>
    <n v="150"/>
    <n v="1"/>
    <n v="2023"/>
    <s v="Tuesday"/>
    <x v="1"/>
    <n v="1"/>
    <s v="Long"/>
    <s v="High"/>
  </r>
  <r>
    <s v="Call_7400"/>
    <s v="C0004"/>
    <n v="89"/>
    <s v="R05"/>
    <d v="2023-02-21T00:00:00"/>
    <n v="90"/>
    <n v="4.3"/>
    <n v="2023"/>
    <s v="Tuesday"/>
    <x v="0"/>
    <n v="4"/>
    <s v="Long"/>
    <s v="Medium"/>
  </r>
  <r>
    <s v="Call_7401"/>
    <s v="C0001"/>
    <n v="61"/>
    <s v="R03"/>
    <d v="2023-02-22T00:00:00"/>
    <n v="140"/>
    <n v="3.4"/>
    <n v="2023"/>
    <s v="Wednesday"/>
    <x v="0"/>
    <n v="3"/>
    <s v="Long"/>
    <s v="High"/>
  </r>
  <r>
    <s v="Call_7402"/>
    <s v="C0010"/>
    <n v="154"/>
    <s v="R01"/>
    <d v="2023-02-22T00:00:00"/>
    <n v="22"/>
    <n v="3.4"/>
    <n v="2023"/>
    <s v="Wednesday"/>
    <x v="1"/>
    <n v="3"/>
    <s v="Long"/>
    <s v="Low"/>
  </r>
  <r>
    <s v="Call_7403"/>
    <s v="C0015"/>
    <n v="115"/>
    <s v="R04"/>
    <d v="2023-02-23T00:00:00"/>
    <n v="150"/>
    <n v="4.0999999999999996"/>
    <n v="2023"/>
    <s v="Thursday"/>
    <x v="0"/>
    <n v="4"/>
    <s v="Long"/>
    <s v="High"/>
  </r>
  <r>
    <s v="Call_7404"/>
    <s v="C0008"/>
    <n v="138"/>
    <s v="R02"/>
    <d v="2023-02-24T00:00:00"/>
    <n v="35"/>
    <n v="4.8"/>
    <n v="2023"/>
    <s v="Friday"/>
    <x v="1"/>
    <n v="5"/>
    <s v="Long"/>
    <s v="Low"/>
  </r>
  <r>
    <s v="Call_7405"/>
    <s v="C0014"/>
    <n v="153"/>
    <s v="R05"/>
    <d v="2023-02-24T00:00:00"/>
    <n v="200"/>
    <n v="2"/>
    <n v="2023"/>
    <s v="Friday"/>
    <x v="1"/>
    <n v="2"/>
    <s v="Long"/>
    <s v="Very High"/>
  </r>
  <r>
    <s v="Call_7406"/>
    <s v="C0015"/>
    <n v="61"/>
    <s v="R03"/>
    <d v="2023-02-25T00:00:00"/>
    <n v="150"/>
    <n v="4.5999999999999996"/>
    <n v="2023"/>
    <s v="Saturday"/>
    <x v="0"/>
    <n v="5"/>
    <s v="Long"/>
    <s v="High"/>
  </r>
  <r>
    <s v="Call_7407"/>
    <s v="C0009"/>
    <n v="62"/>
    <s v="R05"/>
    <d v="2023-02-25T00:00:00"/>
    <n v="21"/>
    <n v="2.6"/>
    <n v="2023"/>
    <s v="Saturday"/>
    <x v="0"/>
    <n v="3"/>
    <s v="Long"/>
    <s v="Low"/>
  </r>
  <r>
    <s v="Call_7408"/>
    <s v="C0001"/>
    <n v="151"/>
    <s v="R04"/>
    <d v="2023-02-26T00:00:00"/>
    <n v="46"/>
    <n v="4.9000000000000004"/>
    <n v="2023"/>
    <s v="Sunday"/>
    <x v="1"/>
    <n v="5"/>
    <s v="Long"/>
    <s v="Low"/>
  </r>
  <r>
    <s v="Call_7409"/>
    <s v="C0012"/>
    <n v="102"/>
    <s v="R01"/>
    <d v="2023-02-26T00:00:00"/>
    <n v="165"/>
    <n v="2.7"/>
    <n v="2023"/>
    <s v="Sunday"/>
    <x v="0"/>
    <n v="3"/>
    <s v="Long"/>
    <s v="Very High"/>
  </r>
  <r>
    <s v="Call_7410"/>
    <s v="C0006"/>
    <n v="64"/>
    <s v="R05"/>
    <d v="2023-02-26T00:00:00"/>
    <n v="84"/>
    <n v="4.0999999999999996"/>
    <n v="2023"/>
    <s v="Sunday"/>
    <x v="0"/>
    <n v="4"/>
    <s v="Long"/>
    <s v="Medium"/>
  </r>
  <r>
    <s v="Call_7411"/>
    <s v="C0004"/>
    <n v="6"/>
    <s v="R01"/>
    <d v="2023-02-27T00:00:00"/>
    <n v="102"/>
    <n v="4.4000000000000004"/>
    <n v="2023"/>
    <s v="Monday"/>
    <x v="4"/>
    <n v="4"/>
    <s v="Very Short"/>
    <s v="High"/>
  </r>
  <r>
    <s v="Call_7412"/>
    <s v="C0006"/>
    <n v="129"/>
    <s v="R05"/>
    <d v="2023-02-27T00:00:00"/>
    <n v="180"/>
    <n v="4.8"/>
    <n v="2023"/>
    <s v="Monday"/>
    <x v="1"/>
    <n v="5"/>
    <s v="Long"/>
    <s v="Very High"/>
  </r>
  <r>
    <s v="Call_7413"/>
    <s v="C0009"/>
    <n v="42"/>
    <s v="R04"/>
    <d v="2023-02-28T00:00:00"/>
    <n v="111"/>
    <n v="3"/>
    <n v="2023"/>
    <s v="Tuesday"/>
    <x v="2"/>
    <n v="3"/>
    <s v="Medium"/>
    <s v="High"/>
  </r>
  <r>
    <s v="Call_7414"/>
    <s v="C0009"/>
    <n v="71"/>
    <s v="R03"/>
    <d v="2023-02-28T00:00:00"/>
    <n v="104"/>
    <n v="3.1"/>
    <n v="2023"/>
    <s v="Tuesday"/>
    <x v="0"/>
    <n v="3"/>
    <s v="Long"/>
    <s v="High"/>
  </r>
  <r>
    <s v="Call_7415"/>
    <s v="C0005"/>
    <n v="53"/>
    <s v="R01"/>
    <d v="2023-02-28T00:00:00"/>
    <n v="80"/>
    <n v="2.6"/>
    <n v="2023"/>
    <s v="Tuesday"/>
    <x v="2"/>
    <n v="3"/>
    <s v="Medium"/>
    <s v="Medium"/>
  </r>
  <r>
    <s v="Call_7416"/>
    <s v="C0011"/>
    <n v="155"/>
    <s v="R03"/>
    <d v="2023-03-01T00:00:00"/>
    <n v="132"/>
    <n v="4.5999999999999996"/>
    <n v="2023"/>
    <s v="Wednesday"/>
    <x v="1"/>
    <n v="5"/>
    <s v="Long"/>
    <s v="High"/>
  </r>
  <r>
    <s v="Call_7417"/>
    <s v="C0011"/>
    <n v="90"/>
    <s v="R04"/>
    <d v="2023-03-01T00:00:00"/>
    <n v="170"/>
    <n v="3.7"/>
    <n v="2023"/>
    <s v="Wednesday"/>
    <x v="0"/>
    <n v="4"/>
    <s v="Long"/>
    <s v="Very High"/>
  </r>
  <r>
    <s v="Call_7418"/>
    <s v="C0006"/>
    <n v="166"/>
    <s v="R02"/>
    <d v="2023-03-01T00:00:00"/>
    <n v="36"/>
    <n v="3.8"/>
    <n v="2023"/>
    <s v="Wednesday"/>
    <x v="1"/>
    <n v="4"/>
    <s v="Long"/>
    <s v="Low"/>
  </r>
  <r>
    <s v="Call_7419"/>
    <s v="C0002"/>
    <n v="89"/>
    <s v="R03"/>
    <d v="2023-03-01T00:00:00"/>
    <n v="126"/>
    <n v="3.6"/>
    <n v="2023"/>
    <s v="Wednesday"/>
    <x v="0"/>
    <n v="4"/>
    <s v="Long"/>
    <s v="High"/>
  </r>
  <r>
    <s v="Call_7420"/>
    <s v="C0015"/>
    <n v="152"/>
    <s v="R01"/>
    <d v="2023-03-01T00:00:00"/>
    <n v="215"/>
    <n v="4.4000000000000004"/>
    <n v="2023"/>
    <s v="Wednesday"/>
    <x v="1"/>
    <n v="4"/>
    <s v="Long"/>
    <s v="Very High"/>
  </r>
  <r>
    <s v="Call_7421"/>
    <s v="C0002"/>
    <n v="137"/>
    <s v="R04"/>
    <d v="2023-03-01T00:00:00"/>
    <n v="114"/>
    <n v="3.2"/>
    <n v="2023"/>
    <s v="Wednesday"/>
    <x v="1"/>
    <n v="3"/>
    <s v="Long"/>
    <s v="High"/>
  </r>
  <r>
    <s v="Call_7422"/>
    <s v="C0002"/>
    <n v="43"/>
    <s v="R04"/>
    <d v="2023-03-01T00:00:00"/>
    <n v="99"/>
    <n v="4.7"/>
    <n v="2023"/>
    <s v="Wednesday"/>
    <x v="2"/>
    <n v="5"/>
    <s v="Medium"/>
    <s v="Medium"/>
  </r>
  <r>
    <s v="Call_7423"/>
    <s v="C0010"/>
    <n v="114"/>
    <s v="R04"/>
    <d v="2023-03-02T00:00:00"/>
    <n v="23"/>
    <n v="4.8"/>
    <n v="2023"/>
    <s v="Thursday"/>
    <x v="0"/>
    <n v="5"/>
    <s v="Long"/>
    <s v="Low"/>
  </r>
  <r>
    <s v="Call_7424"/>
    <s v="C0014"/>
    <n v="103"/>
    <s v="R03"/>
    <d v="2023-03-02T00:00:00"/>
    <n v="75"/>
    <n v="2.7"/>
    <n v="2023"/>
    <s v="Thursday"/>
    <x v="0"/>
    <n v="3"/>
    <s v="Long"/>
    <s v="Medium"/>
  </r>
  <r>
    <s v="Call_7425"/>
    <s v="C0002"/>
    <n v="98"/>
    <s v="R01"/>
    <d v="2023-03-02T00:00:00"/>
    <n v="100"/>
    <n v="3.8"/>
    <n v="2023"/>
    <s v="Thursday"/>
    <x v="0"/>
    <n v="4"/>
    <s v="Long"/>
    <s v="Medium"/>
  </r>
  <r>
    <s v="Call_7426"/>
    <s v="C0006"/>
    <n v="106"/>
    <s v="R02"/>
    <d v="2023-03-02T00:00:00"/>
    <n v="108"/>
    <n v="4.3"/>
    <n v="2023"/>
    <s v="Thursday"/>
    <x v="0"/>
    <n v="4"/>
    <s v="Long"/>
    <s v="High"/>
  </r>
  <r>
    <s v="Call_7427"/>
    <s v="C0004"/>
    <n v="96"/>
    <s v="R02"/>
    <d v="2023-03-02T00:00:00"/>
    <n v="108"/>
    <n v="5"/>
    <n v="2023"/>
    <s v="Thursday"/>
    <x v="0"/>
    <n v="5"/>
    <s v="Long"/>
    <s v="High"/>
  </r>
  <r>
    <s v="Call_7428"/>
    <s v="C0014"/>
    <n v="70"/>
    <s v="R02"/>
    <d v="2023-03-02T00:00:00"/>
    <n v="28"/>
    <n v="4.8"/>
    <n v="2023"/>
    <s v="Thursday"/>
    <x v="0"/>
    <n v="5"/>
    <s v="Long"/>
    <s v="Low"/>
  </r>
  <r>
    <s v="Call_7429"/>
    <s v="C0009"/>
    <n v="86"/>
    <s v="R05"/>
    <d v="2023-03-03T00:00:00"/>
    <n v="70"/>
    <n v="4.9000000000000004"/>
    <n v="2023"/>
    <s v="Friday"/>
    <x v="0"/>
    <n v="5"/>
    <s v="Long"/>
    <s v="Medium"/>
  </r>
  <r>
    <s v="Call_7430"/>
    <s v="C0005"/>
    <n v="64"/>
    <s v="R05"/>
    <d v="2023-03-03T00:00:00"/>
    <n v="172"/>
    <n v="4.0999999999999996"/>
    <n v="2023"/>
    <s v="Friday"/>
    <x v="0"/>
    <n v="4"/>
    <s v="Long"/>
    <s v="Very High"/>
  </r>
  <r>
    <s v="Call_7431"/>
    <s v="C0004"/>
    <n v="113"/>
    <s v="R01"/>
    <d v="2023-03-03T00:00:00"/>
    <n v="123"/>
    <n v="4.4000000000000004"/>
    <n v="2023"/>
    <s v="Friday"/>
    <x v="0"/>
    <n v="4"/>
    <s v="Long"/>
    <s v="High"/>
  </r>
  <r>
    <s v="Call_7432"/>
    <s v="C0004"/>
    <n v="21"/>
    <s v="R02"/>
    <d v="2023-03-03T00:00:00"/>
    <n v="93"/>
    <n v="3.4"/>
    <n v="2023"/>
    <s v="Friday"/>
    <x v="3"/>
    <n v="3"/>
    <s v="Short"/>
    <s v="Medium"/>
  </r>
  <r>
    <s v="Call_7433"/>
    <s v="C0012"/>
    <n v="107"/>
    <s v="R05"/>
    <d v="2023-03-03T00:00:00"/>
    <n v="66"/>
    <n v="4"/>
    <n v="2023"/>
    <s v="Friday"/>
    <x v="0"/>
    <n v="4"/>
    <s v="Long"/>
    <s v="Medium"/>
  </r>
  <r>
    <s v="Call_7434"/>
    <s v="C0012"/>
    <n v="131"/>
    <s v="R02"/>
    <d v="2023-03-03T00:00:00"/>
    <n v="39"/>
    <n v="2.4"/>
    <n v="2023"/>
    <s v="Friday"/>
    <x v="1"/>
    <n v="2"/>
    <s v="Long"/>
    <s v="Low"/>
  </r>
  <r>
    <s v="Call_7435"/>
    <s v="C0003"/>
    <n v="11"/>
    <s v="R03"/>
    <d v="2023-03-03T00:00:00"/>
    <n v="25"/>
    <n v="2.1"/>
    <n v="2023"/>
    <s v="Friday"/>
    <x v="3"/>
    <n v="2"/>
    <s v="Very Short"/>
    <s v="Low"/>
  </r>
  <r>
    <s v="Call_7436"/>
    <s v="C0001"/>
    <n v="86"/>
    <s v="R01"/>
    <d v="2023-03-03T00:00:00"/>
    <n v="68"/>
    <n v="3"/>
    <n v="2023"/>
    <s v="Friday"/>
    <x v="0"/>
    <n v="3"/>
    <s v="Long"/>
    <s v="Medium"/>
  </r>
  <r>
    <s v="Call_7437"/>
    <s v="C0005"/>
    <n v="28"/>
    <s v="R03"/>
    <d v="2023-03-03T00:00:00"/>
    <n v="84"/>
    <n v="3.2"/>
    <n v="2023"/>
    <s v="Friday"/>
    <x v="3"/>
    <n v="3"/>
    <s v="Short"/>
    <s v="Medium"/>
  </r>
  <r>
    <s v="Call_7438"/>
    <s v="C0011"/>
    <n v="139"/>
    <s v="R02"/>
    <d v="2023-03-04T00:00:00"/>
    <n v="88"/>
    <n v="3.4"/>
    <n v="2023"/>
    <s v="Saturday"/>
    <x v="1"/>
    <n v="3"/>
    <s v="Long"/>
    <s v="Medium"/>
  </r>
  <r>
    <s v="Call_7439"/>
    <s v="C0006"/>
    <n v="82"/>
    <s v="R01"/>
    <d v="2023-03-04T00:00:00"/>
    <n v="93"/>
    <n v="2.7"/>
    <n v="2023"/>
    <s v="Saturday"/>
    <x v="0"/>
    <n v="3"/>
    <s v="Long"/>
    <s v="Medium"/>
  </r>
  <r>
    <s v="Call_7440"/>
    <s v="C0004"/>
    <n v="101"/>
    <s v="R03"/>
    <d v="2023-03-04T00:00:00"/>
    <n v="128"/>
    <n v="5"/>
    <n v="2023"/>
    <s v="Saturday"/>
    <x v="0"/>
    <n v="5"/>
    <s v="Long"/>
    <s v="High"/>
  </r>
  <r>
    <s v="Call_7441"/>
    <s v="C0005"/>
    <n v="75"/>
    <s v="R04"/>
    <d v="2023-03-04T00:00:00"/>
    <n v="40"/>
    <n v="3.4"/>
    <n v="2023"/>
    <s v="Saturday"/>
    <x v="0"/>
    <n v="3"/>
    <s v="Long"/>
    <s v="Low"/>
  </r>
  <r>
    <s v="Call_7442"/>
    <s v="C0010"/>
    <n v="40"/>
    <s v="R03"/>
    <d v="2023-03-05T00:00:00"/>
    <n v="92"/>
    <n v="4.7"/>
    <n v="2023"/>
    <s v="Sunday"/>
    <x v="2"/>
    <n v="5"/>
    <s v="Medium"/>
    <s v="Medium"/>
  </r>
  <r>
    <s v="Call_7443"/>
    <s v="C0002"/>
    <n v="86"/>
    <s v="R02"/>
    <d v="2023-03-05T00:00:00"/>
    <n v="27"/>
    <n v="4.5"/>
    <n v="2023"/>
    <s v="Sunday"/>
    <x v="0"/>
    <n v="5"/>
    <s v="Long"/>
    <s v="Low"/>
  </r>
  <r>
    <s v="Call_7444"/>
    <s v="C0007"/>
    <n v="131"/>
    <s v="R05"/>
    <d v="2023-03-05T00:00:00"/>
    <n v="140"/>
    <n v="4.0999999999999996"/>
    <n v="2023"/>
    <s v="Sunday"/>
    <x v="1"/>
    <n v="4"/>
    <s v="Long"/>
    <s v="High"/>
  </r>
  <r>
    <s v="Call_7445"/>
    <s v="C0012"/>
    <n v="67"/>
    <s v="R01"/>
    <d v="2023-03-05T00:00:00"/>
    <n v="40"/>
    <n v="5"/>
    <n v="2023"/>
    <s v="Sunday"/>
    <x v="0"/>
    <n v="5"/>
    <s v="Long"/>
    <s v="Low"/>
  </r>
  <r>
    <s v="Call_7446"/>
    <s v="C0008"/>
    <n v="71"/>
    <s v="R03"/>
    <d v="2023-03-05T00:00:00"/>
    <n v="102"/>
    <n v="4.7"/>
    <n v="2023"/>
    <s v="Sunday"/>
    <x v="0"/>
    <n v="5"/>
    <s v="Long"/>
    <s v="High"/>
  </r>
  <r>
    <s v="Call_7447"/>
    <s v="C0007"/>
    <n v="113"/>
    <s v="R05"/>
    <d v="2023-03-05T00:00:00"/>
    <n v="42"/>
    <n v="4.2"/>
    <n v="2023"/>
    <s v="Sunday"/>
    <x v="0"/>
    <n v="4"/>
    <s v="Long"/>
    <s v="Low"/>
  </r>
  <r>
    <s v="Call_7448"/>
    <s v="C0006"/>
    <n v="53"/>
    <s v="R02"/>
    <d v="2023-03-06T00:00:00"/>
    <n v="210"/>
    <n v="3.9"/>
    <n v="2023"/>
    <s v="Monday"/>
    <x v="2"/>
    <n v="4"/>
    <s v="Medium"/>
    <s v="Very High"/>
  </r>
  <r>
    <s v="Call_7449"/>
    <s v="C0007"/>
    <n v="153"/>
    <s v="R01"/>
    <d v="2023-03-06T00:00:00"/>
    <n v="34"/>
    <n v="3"/>
    <n v="2023"/>
    <s v="Monday"/>
    <x v="1"/>
    <n v="3"/>
    <s v="Long"/>
    <s v="Low"/>
  </r>
  <r>
    <s v="Call_7450"/>
    <s v="C0012"/>
    <n v="73"/>
    <s v="R04"/>
    <d v="2023-03-06T00:00:00"/>
    <n v="215"/>
    <n v="3.6"/>
    <n v="2023"/>
    <s v="Monday"/>
    <x v="0"/>
    <n v="4"/>
    <s v="Long"/>
    <s v="Very High"/>
  </r>
  <r>
    <s v="Call_7451"/>
    <s v="C0009"/>
    <n v="62"/>
    <s v="R04"/>
    <d v="2023-03-06T00:00:00"/>
    <n v="32"/>
    <n v="0.7"/>
    <n v="2023"/>
    <s v="Monday"/>
    <x v="0"/>
    <n v="1"/>
    <s v="Long"/>
    <s v="Low"/>
  </r>
  <r>
    <s v="Call_7452"/>
    <s v="C0011"/>
    <n v="115"/>
    <s v="R02"/>
    <d v="2023-03-07T00:00:00"/>
    <n v="48"/>
    <n v="4.7"/>
    <n v="2023"/>
    <s v="Tuesday"/>
    <x v="0"/>
    <n v="5"/>
    <s v="Long"/>
    <s v="Low"/>
  </r>
  <r>
    <s v="Call_7453"/>
    <s v="C0007"/>
    <n v="69"/>
    <s v="R02"/>
    <d v="2023-03-07T00:00:00"/>
    <n v="132"/>
    <n v="4.5"/>
    <n v="2023"/>
    <s v="Tuesday"/>
    <x v="0"/>
    <n v="5"/>
    <s v="Long"/>
    <s v="High"/>
  </r>
  <r>
    <s v="Call_7454"/>
    <s v="C0002"/>
    <n v="103"/>
    <s v="R05"/>
    <d v="2023-03-07T00:00:00"/>
    <n v="172"/>
    <n v="4.3"/>
    <n v="2023"/>
    <s v="Tuesday"/>
    <x v="0"/>
    <n v="4"/>
    <s v="Long"/>
    <s v="Very High"/>
  </r>
  <r>
    <s v="Call_7455"/>
    <s v="C0002"/>
    <n v="75"/>
    <s v="R05"/>
    <d v="2023-03-07T00:00:00"/>
    <n v="111"/>
    <n v="3.4"/>
    <n v="2023"/>
    <s v="Tuesday"/>
    <x v="0"/>
    <n v="3"/>
    <s v="Long"/>
    <s v="High"/>
  </r>
  <r>
    <s v="Call_7456"/>
    <s v="C0013"/>
    <n v="92"/>
    <s v="R05"/>
    <d v="2023-03-07T00:00:00"/>
    <n v="58"/>
    <n v="3.6"/>
    <n v="2023"/>
    <s v="Tuesday"/>
    <x v="0"/>
    <n v="4"/>
    <s v="Long"/>
    <s v="Medium"/>
  </r>
  <r>
    <s v="Call_7457"/>
    <s v="C0013"/>
    <n v="41"/>
    <s v="R04"/>
    <d v="2023-03-07T00:00:00"/>
    <n v="68"/>
    <n v="4"/>
    <n v="2023"/>
    <s v="Tuesday"/>
    <x v="2"/>
    <n v="4"/>
    <s v="Medium"/>
    <s v="Medium"/>
  </r>
  <r>
    <s v="Call_7458"/>
    <s v="C0002"/>
    <n v="134"/>
    <s v="R01"/>
    <d v="2023-03-07T00:00:00"/>
    <n v="160"/>
    <n v="4.5"/>
    <n v="2023"/>
    <s v="Tuesday"/>
    <x v="1"/>
    <n v="5"/>
    <s v="Long"/>
    <s v="Very High"/>
  </r>
  <r>
    <s v="Call_7459"/>
    <s v="C0001"/>
    <n v="80"/>
    <s v="R03"/>
    <d v="2023-03-07T00:00:00"/>
    <n v="45"/>
    <n v="3"/>
    <n v="2023"/>
    <s v="Tuesday"/>
    <x v="0"/>
    <n v="3"/>
    <s v="Long"/>
    <s v="Low"/>
  </r>
  <r>
    <s v="Call_7460"/>
    <s v="C0008"/>
    <n v="103"/>
    <s v="R02"/>
    <d v="2023-03-08T00:00:00"/>
    <n v="117"/>
    <n v="3"/>
    <n v="2023"/>
    <s v="Wednesday"/>
    <x v="0"/>
    <n v="3"/>
    <s v="Long"/>
    <s v="High"/>
  </r>
  <r>
    <s v="Call_7461"/>
    <s v="C0006"/>
    <n v="20"/>
    <s v="R05"/>
    <d v="2023-03-09T00:00:00"/>
    <n v="22"/>
    <n v="1.6"/>
    <n v="2023"/>
    <s v="Thursday"/>
    <x v="3"/>
    <n v="2"/>
    <s v="Short"/>
    <s v="Low"/>
  </r>
  <r>
    <s v="Call_7462"/>
    <s v="C0008"/>
    <n v="75"/>
    <s v="R03"/>
    <d v="2023-03-09T00:00:00"/>
    <n v="195"/>
    <n v="3"/>
    <n v="2023"/>
    <s v="Thursday"/>
    <x v="0"/>
    <n v="3"/>
    <s v="Long"/>
    <s v="Very High"/>
  </r>
  <r>
    <s v="Call_7463"/>
    <s v="C0013"/>
    <n v="80"/>
    <s v="R01"/>
    <d v="2023-03-09T00:00:00"/>
    <n v="168"/>
    <n v="3.7"/>
    <n v="2023"/>
    <s v="Thursday"/>
    <x v="0"/>
    <n v="4"/>
    <s v="Long"/>
    <s v="Very High"/>
  </r>
  <r>
    <s v="Call_7464"/>
    <s v="C0007"/>
    <n v="85"/>
    <s v="R04"/>
    <d v="2023-03-10T00:00:00"/>
    <n v="46"/>
    <n v="4.9000000000000004"/>
    <n v="2023"/>
    <s v="Friday"/>
    <x v="0"/>
    <n v="5"/>
    <s v="Long"/>
    <s v="Low"/>
  </r>
  <r>
    <s v="Call_7465"/>
    <s v="C0004"/>
    <n v="155"/>
    <s v="R05"/>
    <d v="2023-03-10T00:00:00"/>
    <n v="164"/>
    <n v="3.4"/>
    <n v="2023"/>
    <s v="Friday"/>
    <x v="1"/>
    <n v="3"/>
    <s v="Long"/>
    <s v="Very High"/>
  </r>
  <r>
    <s v="Call_7466"/>
    <s v="C0007"/>
    <n v="63"/>
    <s v="R04"/>
    <d v="2023-03-10T00:00:00"/>
    <n v="48"/>
    <n v="5"/>
    <n v="2023"/>
    <s v="Friday"/>
    <x v="0"/>
    <n v="5"/>
    <s v="Long"/>
    <s v="Low"/>
  </r>
  <r>
    <s v="Call_7467"/>
    <s v="C0005"/>
    <n v="105"/>
    <s v="R02"/>
    <d v="2023-03-10T00:00:00"/>
    <n v="96"/>
    <n v="5"/>
    <n v="2023"/>
    <s v="Friday"/>
    <x v="0"/>
    <n v="5"/>
    <s v="Long"/>
    <s v="Medium"/>
  </r>
  <r>
    <s v="Call_7468"/>
    <s v="C0007"/>
    <n v="71"/>
    <s v="R04"/>
    <d v="2023-03-10T00:00:00"/>
    <n v="105"/>
    <n v="4"/>
    <n v="2023"/>
    <s v="Friday"/>
    <x v="0"/>
    <n v="4"/>
    <s v="Long"/>
    <s v="High"/>
  </r>
  <r>
    <s v="Call_7469"/>
    <s v="C0004"/>
    <n v="100"/>
    <s v="R04"/>
    <d v="2023-03-11T00:00:00"/>
    <n v="44"/>
    <n v="3.6"/>
    <n v="2023"/>
    <s v="Saturday"/>
    <x v="0"/>
    <n v="4"/>
    <s v="Long"/>
    <s v="Low"/>
  </r>
  <r>
    <s v="Call_7470"/>
    <s v="C0003"/>
    <n v="93"/>
    <s v="R01"/>
    <d v="2023-03-11T00:00:00"/>
    <n v="132"/>
    <n v="3.7"/>
    <n v="2023"/>
    <s v="Saturday"/>
    <x v="0"/>
    <n v="4"/>
    <s v="Long"/>
    <s v="High"/>
  </r>
  <r>
    <s v="Call_7471"/>
    <s v="C0005"/>
    <n v="84"/>
    <s v="R05"/>
    <d v="2023-03-11T00:00:00"/>
    <n v="54"/>
    <n v="4.2"/>
    <n v="2023"/>
    <s v="Saturday"/>
    <x v="0"/>
    <n v="4"/>
    <s v="Long"/>
    <s v="Medium"/>
  </r>
  <r>
    <s v="Call_7472"/>
    <s v="C0001"/>
    <n v="56"/>
    <s v="R03"/>
    <d v="2023-03-11T00:00:00"/>
    <n v="129"/>
    <n v="2.1"/>
    <n v="2023"/>
    <s v="Saturday"/>
    <x v="2"/>
    <n v="2"/>
    <s v="Medium"/>
    <s v="High"/>
  </r>
  <r>
    <s v="Call_7473"/>
    <s v="C0001"/>
    <n v="63"/>
    <s v="R04"/>
    <d v="2023-03-11T00:00:00"/>
    <n v="42"/>
    <n v="4"/>
    <n v="2023"/>
    <s v="Saturday"/>
    <x v="0"/>
    <n v="4"/>
    <s v="Long"/>
    <s v="Low"/>
  </r>
  <r>
    <s v="Call_7474"/>
    <s v="C0009"/>
    <n v="83"/>
    <s v="R04"/>
    <d v="2023-03-11T00:00:00"/>
    <n v="42"/>
    <n v="4.2"/>
    <n v="2023"/>
    <s v="Saturday"/>
    <x v="0"/>
    <n v="4"/>
    <s v="Long"/>
    <s v="Low"/>
  </r>
  <r>
    <s v="Call_7475"/>
    <s v="C0013"/>
    <n v="134"/>
    <s v="R05"/>
    <d v="2023-03-11T00:00:00"/>
    <n v="180"/>
    <n v="3.1"/>
    <n v="2023"/>
    <s v="Saturday"/>
    <x v="1"/>
    <n v="3"/>
    <s v="Long"/>
    <s v="Very High"/>
  </r>
  <r>
    <s v="Call_7476"/>
    <s v="C0011"/>
    <n v="73"/>
    <s v="R04"/>
    <d v="2023-03-12T00:00:00"/>
    <n v="34"/>
    <n v="4.8"/>
    <n v="2023"/>
    <s v="Sunday"/>
    <x v="0"/>
    <n v="5"/>
    <s v="Long"/>
    <s v="Low"/>
  </r>
  <r>
    <s v="Call_7477"/>
    <s v="C0008"/>
    <n v="6"/>
    <s v="R03"/>
    <d v="2023-03-12T00:00:00"/>
    <n v="29"/>
    <n v="4.7"/>
    <n v="2023"/>
    <s v="Sunday"/>
    <x v="4"/>
    <n v="5"/>
    <s v="Very Short"/>
    <s v="Low"/>
  </r>
  <r>
    <s v="Call_7478"/>
    <s v="C0012"/>
    <n v="46"/>
    <s v="R02"/>
    <d v="2023-03-12T00:00:00"/>
    <n v="165"/>
    <n v="3.3"/>
    <n v="2023"/>
    <s v="Sunday"/>
    <x v="2"/>
    <n v="3"/>
    <s v="Medium"/>
    <s v="Very High"/>
  </r>
  <r>
    <s v="Call_7479"/>
    <s v="C0008"/>
    <n v="121"/>
    <s v="R04"/>
    <d v="2023-03-13T00:00:00"/>
    <n v="32"/>
    <n v="3.7"/>
    <n v="2023"/>
    <s v="Monday"/>
    <x v="1"/>
    <n v="4"/>
    <s v="Long"/>
    <s v="Low"/>
  </r>
  <r>
    <s v="Call_7480"/>
    <s v="C0001"/>
    <n v="61"/>
    <s v="R01"/>
    <d v="2023-03-13T00:00:00"/>
    <n v="160"/>
    <n v="4.9000000000000004"/>
    <n v="2023"/>
    <s v="Monday"/>
    <x v="0"/>
    <n v="5"/>
    <s v="Long"/>
    <s v="Very High"/>
  </r>
  <r>
    <s v="Call_7481"/>
    <s v="C0013"/>
    <n v="144"/>
    <s v="R05"/>
    <d v="2023-03-13T00:00:00"/>
    <n v="140"/>
    <n v="3.5"/>
    <n v="2023"/>
    <s v="Monday"/>
    <x v="1"/>
    <n v="4"/>
    <s v="Long"/>
    <s v="High"/>
  </r>
  <r>
    <s v="Call_7482"/>
    <s v="C0012"/>
    <n v="145"/>
    <s v="R05"/>
    <d v="2023-03-13T00:00:00"/>
    <n v="136"/>
    <n v="4.4000000000000004"/>
    <n v="2023"/>
    <s v="Monday"/>
    <x v="1"/>
    <n v="4"/>
    <s v="Long"/>
    <s v="High"/>
  </r>
  <r>
    <s v="Call_7483"/>
    <s v="C0005"/>
    <n v="85"/>
    <s v="R03"/>
    <d v="2023-03-13T00:00:00"/>
    <n v="66"/>
    <n v="2.8"/>
    <n v="2023"/>
    <s v="Monday"/>
    <x v="0"/>
    <n v="3"/>
    <s v="Long"/>
    <s v="Medium"/>
  </r>
  <r>
    <s v="Call_7484"/>
    <s v="C0012"/>
    <n v="13"/>
    <s v="R01"/>
    <d v="2023-03-14T00:00:00"/>
    <n v="63"/>
    <n v="4.0999999999999996"/>
    <n v="2023"/>
    <s v="Tuesday"/>
    <x v="3"/>
    <n v="4"/>
    <s v="Very Short"/>
    <s v="Medium"/>
  </r>
  <r>
    <s v="Call_7485"/>
    <s v="C0003"/>
    <n v="142"/>
    <s v="R04"/>
    <d v="2023-03-14T00:00:00"/>
    <n v="44"/>
    <n v="3.5"/>
    <n v="2023"/>
    <s v="Tuesday"/>
    <x v="1"/>
    <n v="4"/>
    <s v="Long"/>
    <s v="Low"/>
  </r>
  <r>
    <s v="Call_7486"/>
    <s v="C0013"/>
    <n v="28"/>
    <s v="R02"/>
    <d v="2023-03-14T00:00:00"/>
    <n v="78"/>
    <n v="3.8"/>
    <n v="2023"/>
    <s v="Tuesday"/>
    <x v="3"/>
    <n v="4"/>
    <s v="Short"/>
    <s v="Medium"/>
  </r>
  <r>
    <s v="Call_7487"/>
    <s v="C0013"/>
    <n v="119"/>
    <s v="R04"/>
    <d v="2023-03-14T00:00:00"/>
    <n v="20"/>
    <n v="3.9"/>
    <n v="2023"/>
    <s v="Tuesday"/>
    <x v="0"/>
    <n v="4"/>
    <s v="Long"/>
    <s v="Low"/>
  </r>
  <r>
    <s v="Call_7488"/>
    <s v="C0008"/>
    <n v="65"/>
    <s v="R03"/>
    <d v="2023-03-14T00:00:00"/>
    <n v="84"/>
    <n v="2.5"/>
    <n v="2023"/>
    <s v="Tuesday"/>
    <x v="0"/>
    <n v="3"/>
    <s v="Long"/>
    <s v="Medium"/>
  </r>
  <r>
    <s v="Call_7489"/>
    <s v="C0002"/>
    <n v="68"/>
    <s v="R03"/>
    <d v="2023-03-14T00:00:00"/>
    <n v="32"/>
    <n v="4.9000000000000004"/>
    <n v="2023"/>
    <s v="Tuesday"/>
    <x v="0"/>
    <n v="5"/>
    <s v="Long"/>
    <s v="Low"/>
  </r>
  <r>
    <s v="Call_7490"/>
    <s v="C0009"/>
    <n v="72"/>
    <s v="R02"/>
    <d v="2023-03-14T00:00:00"/>
    <n v="132"/>
    <n v="3.4"/>
    <n v="2023"/>
    <s v="Tuesday"/>
    <x v="0"/>
    <n v="3"/>
    <s v="Long"/>
    <s v="High"/>
  </r>
  <r>
    <s v="Call_7491"/>
    <s v="C0009"/>
    <n v="63"/>
    <s v="R05"/>
    <d v="2023-03-14T00:00:00"/>
    <n v="105"/>
    <n v="3.3"/>
    <n v="2023"/>
    <s v="Tuesday"/>
    <x v="0"/>
    <n v="3"/>
    <s v="Long"/>
    <s v="High"/>
  </r>
  <r>
    <s v="Call_7492"/>
    <s v="C0004"/>
    <n v="139"/>
    <s v="R04"/>
    <d v="2023-03-15T00:00:00"/>
    <n v="48"/>
    <n v="4.7"/>
    <n v="2023"/>
    <s v="Wednesday"/>
    <x v="1"/>
    <n v="5"/>
    <s v="Long"/>
    <s v="Low"/>
  </r>
  <r>
    <s v="Call_7493"/>
    <s v="C0013"/>
    <n v="59"/>
    <s v="R04"/>
    <d v="2023-03-15T00:00:00"/>
    <n v="64"/>
    <n v="4"/>
    <n v="2023"/>
    <s v="Wednesday"/>
    <x v="2"/>
    <n v="4"/>
    <s v="Medium"/>
    <s v="Medium"/>
  </r>
  <r>
    <s v="Call_7494"/>
    <s v="C0006"/>
    <n v="138"/>
    <s v="R05"/>
    <d v="2023-03-15T00:00:00"/>
    <n v="44"/>
    <n v="3.8"/>
    <n v="2023"/>
    <s v="Wednesday"/>
    <x v="1"/>
    <n v="4"/>
    <s v="Long"/>
    <s v="Low"/>
  </r>
  <r>
    <s v="Call_7495"/>
    <s v="C0004"/>
    <n v="47"/>
    <s v="R02"/>
    <d v="2023-03-15T00:00:00"/>
    <n v="120"/>
    <n v="3.1"/>
    <n v="2023"/>
    <s v="Wednesday"/>
    <x v="2"/>
    <n v="3"/>
    <s v="Medium"/>
    <s v="High"/>
  </r>
  <r>
    <s v="Call_7496"/>
    <s v="C0006"/>
    <n v="74"/>
    <s v="R02"/>
    <d v="2023-03-15T00:00:00"/>
    <n v="144"/>
    <n v="4.8"/>
    <n v="2023"/>
    <s v="Wednesday"/>
    <x v="0"/>
    <n v="5"/>
    <s v="Long"/>
    <s v="High"/>
  </r>
  <r>
    <s v="Call_7497"/>
    <s v="C0009"/>
    <n v="65"/>
    <s v="R02"/>
    <d v="2023-03-15T00:00:00"/>
    <n v="87"/>
    <n v="2.7"/>
    <n v="2023"/>
    <s v="Wednesday"/>
    <x v="0"/>
    <n v="3"/>
    <s v="Long"/>
    <s v="Medium"/>
  </r>
  <r>
    <s v="Call_7498"/>
    <s v="C0011"/>
    <n v="123"/>
    <s v="R03"/>
    <d v="2023-03-15T00:00:00"/>
    <n v="36"/>
    <n v="3.6"/>
    <n v="2023"/>
    <s v="Wednesday"/>
    <x v="1"/>
    <n v="4"/>
    <s v="Long"/>
    <s v="Low"/>
  </r>
  <r>
    <s v="Call_7499"/>
    <s v="C0009"/>
    <n v="90"/>
    <s v="R04"/>
    <d v="2023-03-16T00:00:00"/>
    <n v="72"/>
    <n v="4.7"/>
    <n v="2023"/>
    <s v="Thursday"/>
    <x v="0"/>
    <n v="5"/>
    <s v="Long"/>
    <s v="Medium"/>
  </r>
  <r>
    <s v="Call_7500"/>
    <s v="C0001"/>
    <n v="127"/>
    <s v="R05"/>
    <d v="2023-03-16T00:00:00"/>
    <n v="150"/>
    <n v="4.4000000000000004"/>
    <n v="2023"/>
    <s v="Thursday"/>
    <x v="1"/>
    <n v="4"/>
    <s v="Long"/>
    <s v="High"/>
  </r>
  <r>
    <s v="Call_7501"/>
    <s v="C0014"/>
    <n v="60"/>
    <s v="R02"/>
    <d v="2023-03-16T00:00:00"/>
    <n v="68"/>
    <n v="4.3"/>
    <n v="2023"/>
    <s v="Thursday"/>
    <x v="2"/>
    <n v="4"/>
    <s v="Medium"/>
    <s v="Medium"/>
  </r>
  <r>
    <s v="Call_7502"/>
    <s v="C0004"/>
    <n v="94"/>
    <s v="R05"/>
    <d v="2023-03-16T00:00:00"/>
    <n v="99"/>
    <n v="4.9000000000000004"/>
    <n v="2023"/>
    <s v="Thursday"/>
    <x v="0"/>
    <n v="5"/>
    <s v="Long"/>
    <s v="Medium"/>
  </r>
  <r>
    <s v="Call_7503"/>
    <s v="C0011"/>
    <n v="54"/>
    <s v="R02"/>
    <d v="2023-03-16T00:00:00"/>
    <n v="26"/>
    <n v="4.8"/>
    <n v="2023"/>
    <s v="Thursday"/>
    <x v="2"/>
    <n v="5"/>
    <s v="Medium"/>
    <s v="Low"/>
  </r>
  <r>
    <s v="Call_7504"/>
    <s v="C0009"/>
    <n v="104"/>
    <s v="R02"/>
    <d v="2023-03-16T00:00:00"/>
    <n v="88"/>
    <n v="3.2"/>
    <n v="2023"/>
    <s v="Thursday"/>
    <x v="0"/>
    <n v="3"/>
    <s v="Long"/>
    <s v="Medium"/>
  </r>
  <r>
    <s v="Call_7505"/>
    <s v="C0007"/>
    <n v="100"/>
    <s v="R02"/>
    <d v="2023-03-16T00:00:00"/>
    <n v="124"/>
    <n v="3.4"/>
    <n v="2023"/>
    <s v="Thursday"/>
    <x v="0"/>
    <n v="3"/>
    <s v="Long"/>
    <s v="High"/>
  </r>
  <r>
    <s v="Call_7506"/>
    <s v="C0006"/>
    <n v="84"/>
    <s v="R02"/>
    <d v="2023-03-16T00:00:00"/>
    <n v="72"/>
    <n v="3.5"/>
    <n v="2023"/>
    <s v="Thursday"/>
    <x v="0"/>
    <n v="4"/>
    <s v="Long"/>
    <s v="Medium"/>
  </r>
  <r>
    <s v="Call_7507"/>
    <s v="C0003"/>
    <n v="92"/>
    <s v="R01"/>
    <d v="2023-03-17T00:00:00"/>
    <n v="125"/>
    <n v="4.9000000000000004"/>
    <n v="2023"/>
    <s v="Friday"/>
    <x v="0"/>
    <n v="5"/>
    <s v="Long"/>
    <s v="High"/>
  </r>
  <r>
    <s v="Call_7508"/>
    <s v="C0010"/>
    <n v="64"/>
    <s v="R05"/>
    <d v="2023-03-17T00:00:00"/>
    <n v="22"/>
    <n v="4.0999999999999996"/>
    <n v="2023"/>
    <s v="Friday"/>
    <x v="0"/>
    <n v="4"/>
    <s v="Long"/>
    <s v="Low"/>
  </r>
  <r>
    <s v="Call_7509"/>
    <s v="C0005"/>
    <n v="89"/>
    <s v="R04"/>
    <d v="2023-03-18T00:00:00"/>
    <n v="70"/>
    <n v="4.9000000000000004"/>
    <n v="2023"/>
    <s v="Saturday"/>
    <x v="0"/>
    <n v="5"/>
    <s v="Long"/>
    <s v="Medium"/>
  </r>
  <r>
    <s v="Call_7510"/>
    <s v="C0015"/>
    <n v="40"/>
    <s v="R02"/>
    <d v="2023-03-18T00:00:00"/>
    <n v="24"/>
    <n v="4.3"/>
    <n v="2023"/>
    <s v="Saturday"/>
    <x v="2"/>
    <n v="4"/>
    <s v="Medium"/>
    <s v="Low"/>
  </r>
  <r>
    <s v="Call_7511"/>
    <s v="C0013"/>
    <n v="75"/>
    <s v="R03"/>
    <d v="2023-03-18T00:00:00"/>
    <n v="32"/>
    <n v="4.0999999999999996"/>
    <n v="2023"/>
    <s v="Saturday"/>
    <x v="0"/>
    <n v="4"/>
    <s v="Long"/>
    <s v="Low"/>
  </r>
  <r>
    <s v="Call_7512"/>
    <s v="C0001"/>
    <n v="106"/>
    <s v="R01"/>
    <d v="2023-03-18T00:00:00"/>
    <n v="112"/>
    <n v="4.4000000000000004"/>
    <n v="2023"/>
    <s v="Saturday"/>
    <x v="0"/>
    <n v="4"/>
    <s v="Long"/>
    <s v="High"/>
  </r>
  <r>
    <s v="Call_7513"/>
    <s v="C0010"/>
    <n v="58"/>
    <s v="R02"/>
    <d v="2023-03-19T00:00:00"/>
    <n v="43"/>
    <n v="4.5"/>
    <n v="2023"/>
    <s v="Sunday"/>
    <x v="2"/>
    <n v="5"/>
    <s v="Medium"/>
    <s v="Low"/>
  </r>
  <r>
    <s v="Call_7514"/>
    <s v="C0006"/>
    <n v="84"/>
    <s v="R01"/>
    <d v="2023-03-19T00:00:00"/>
    <n v="22"/>
    <n v="3.5"/>
    <n v="2023"/>
    <s v="Sunday"/>
    <x v="0"/>
    <n v="4"/>
    <s v="Long"/>
    <s v="Low"/>
  </r>
  <r>
    <s v="Call_7515"/>
    <s v="C0009"/>
    <n v="140"/>
    <s v="R01"/>
    <d v="2023-03-19T00:00:00"/>
    <n v="93"/>
    <n v="4.4000000000000004"/>
    <n v="2023"/>
    <s v="Sunday"/>
    <x v="1"/>
    <n v="4"/>
    <s v="Long"/>
    <s v="Medium"/>
  </r>
  <r>
    <s v="Call_7516"/>
    <s v="C0010"/>
    <n v="67"/>
    <s v="R01"/>
    <d v="2023-03-19T00:00:00"/>
    <n v="45"/>
    <n v="3.5"/>
    <n v="2023"/>
    <s v="Sunday"/>
    <x v="0"/>
    <n v="4"/>
    <s v="Long"/>
    <s v="Low"/>
  </r>
  <r>
    <s v="Call_7517"/>
    <s v="C0004"/>
    <n v="126"/>
    <s v="R01"/>
    <d v="2023-03-20T00:00:00"/>
    <n v="96"/>
    <n v="3.8"/>
    <n v="2023"/>
    <s v="Monday"/>
    <x v="1"/>
    <n v="4"/>
    <s v="Long"/>
    <s v="Medium"/>
  </r>
  <r>
    <s v="Call_7518"/>
    <s v="C0004"/>
    <n v="89"/>
    <s v="R02"/>
    <d v="2023-03-20T00:00:00"/>
    <n v="96"/>
    <n v="3.3"/>
    <n v="2023"/>
    <s v="Monday"/>
    <x v="0"/>
    <n v="3"/>
    <s v="Long"/>
    <s v="Medium"/>
  </r>
  <r>
    <s v="Call_7519"/>
    <s v="C0005"/>
    <n v="56"/>
    <s v="R05"/>
    <d v="2023-03-20T00:00:00"/>
    <n v="31"/>
    <n v="4.4000000000000004"/>
    <n v="2023"/>
    <s v="Monday"/>
    <x v="2"/>
    <n v="4"/>
    <s v="Medium"/>
    <s v="Low"/>
  </r>
  <r>
    <s v="Call_7520"/>
    <s v="C0011"/>
    <n v="48"/>
    <s v="R02"/>
    <d v="2023-03-20T00:00:00"/>
    <n v="200"/>
    <n v="3.9"/>
    <n v="2023"/>
    <s v="Monday"/>
    <x v="2"/>
    <n v="4"/>
    <s v="Medium"/>
    <s v="Very High"/>
  </r>
  <r>
    <s v="Call_7521"/>
    <s v="C0004"/>
    <n v="55"/>
    <s v="R05"/>
    <d v="2023-03-20T00:00:00"/>
    <n v="99"/>
    <n v="2.7"/>
    <n v="2023"/>
    <s v="Monday"/>
    <x v="2"/>
    <n v="3"/>
    <s v="Medium"/>
    <s v="Medium"/>
  </r>
  <r>
    <s v="Call_7522"/>
    <s v="C0014"/>
    <n v="88"/>
    <s v="R03"/>
    <d v="2023-03-20T00:00:00"/>
    <n v="144"/>
    <n v="2.9"/>
    <n v="2023"/>
    <s v="Monday"/>
    <x v="0"/>
    <n v="3"/>
    <s v="Long"/>
    <s v="High"/>
  </r>
  <r>
    <s v="Call_7523"/>
    <s v="C0005"/>
    <n v="102"/>
    <s v="R01"/>
    <d v="2023-03-21T00:00:00"/>
    <n v="81"/>
    <n v="4"/>
    <n v="2023"/>
    <s v="Tuesday"/>
    <x v="0"/>
    <n v="4"/>
    <s v="Long"/>
    <s v="Medium"/>
  </r>
  <r>
    <s v="Call_7524"/>
    <s v="C0014"/>
    <n v="155"/>
    <s v="R03"/>
    <d v="2023-03-21T00:00:00"/>
    <n v="70"/>
    <n v="4.4000000000000004"/>
    <n v="2023"/>
    <s v="Tuesday"/>
    <x v="1"/>
    <n v="4"/>
    <s v="Long"/>
    <s v="Medium"/>
  </r>
  <r>
    <s v="Call_7525"/>
    <s v="C0004"/>
    <n v="63"/>
    <s v="R03"/>
    <d v="2023-03-21T00:00:00"/>
    <n v="148"/>
    <n v="5"/>
    <n v="2023"/>
    <s v="Tuesday"/>
    <x v="0"/>
    <n v="5"/>
    <s v="Long"/>
    <s v="High"/>
  </r>
  <r>
    <s v="Call_7526"/>
    <s v="C0007"/>
    <n v="59"/>
    <s v="R01"/>
    <d v="2023-03-21T00:00:00"/>
    <n v="215"/>
    <n v="4.0999999999999996"/>
    <n v="2023"/>
    <s v="Tuesday"/>
    <x v="2"/>
    <n v="4"/>
    <s v="Medium"/>
    <s v="Very High"/>
  </r>
  <r>
    <s v="Call_7527"/>
    <s v="C0007"/>
    <n v="144"/>
    <s v="R02"/>
    <d v="2023-03-21T00:00:00"/>
    <n v="124"/>
    <n v="4.4000000000000004"/>
    <n v="2023"/>
    <s v="Tuesday"/>
    <x v="1"/>
    <n v="4"/>
    <s v="Long"/>
    <s v="High"/>
  </r>
  <r>
    <s v="Call_7528"/>
    <s v="C0006"/>
    <n v="113"/>
    <s v="R04"/>
    <d v="2023-03-21T00:00:00"/>
    <n v="168"/>
    <n v="4.0999999999999996"/>
    <n v="2023"/>
    <s v="Tuesday"/>
    <x v="0"/>
    <n v="4"/>
    <s v="Long"/>
    <s v="Very High"/>
  </r>
  <r>
    <s v="Call_7529"/>
    <s v="C0012"/>
    <n v="154"/>
    <s v="R05"/>
    <d v="2023-03-21T00:00:00"/>
    <n v="90"/>
    <n v="4.5"/>
    <n v="2023"/>
    <s v="Tuesday"/>
    <x v="1"/>
    <n v="5"/>
    <s v="Long"/>
    <s v="Medium"/>
  </r>
  <r>
    <s v="Call_7530"/>
    <s v="C0012"/>
    <n v="58"/>
    <s v="R01"/>
    <d v="2023-03-22T00:00:00"/>
    <n v="176"/>
    <n v="4.2"/>
    <n v="2023"/>
    <s v="Wednesday"/>
    <x v="2"/>
    <n v="4"/>
    <s v="Medium"/>
    <s v="Very High"/>
  </r>
  <r>
    <s v="Call_7531"/>
    <s v="C0011"/>
    <n v="63"/>
    <s v="R03"/>
    <d v="2023-03-22T00:00:00"/>
    <n v="87"/>
    <n v="4.5999999999999996"/>
    <n v="2023"/>
    <s v="Wednesday"/>
    <x v="0"/>
    <n v="5"/>
    <s v="Long"/>
    <s v="Medium"/>
  </r>
  <r>
    <s v="Call_7532"/>
    <s v="C0009"/>
    <n v="59"/>
    <s v="R02"/>
    <d v="2023-03-22T00:00:00"/>
    <n v="128"/>
    <n v="4.5"/>
    <n v="2023"/>
    <s v="Wednesday"/>
    <x v="2"/>
    <n v="5"/>
    <s v="Medium"/>
    <s v="High"/>
  </r>
  <r>
    <s v="Call_7533"/>
    <s v="C0008"/>
    <n v="129"/>
    <s v="R03"/>
    <d v="2023-03-22T00:00:00"/>
    <n v="120"/>
    <n v="4.0999999999999996"/>
    <n v="2023"/>
    <s v="Wednesday"/>
    <x v="1"/>
    <n v="4"/>
    <s v="Long"/>
    <s v="High"/>
  </r>
  <r>
    <s v="Call_7534"/>
    <s v="C0002"/>
    <n v="101"/>
    <s v="R04"/>
    <d v="2023-03-22T00:00:00"/>
    <n v="130"/>
    <n v="4.8"/>
    <n v="2023"/>
    <s v="Wednesday"/>
    <x v="0"/>
    <n v="5"/>
    <s v="Long"/>
    <s v="High"/>
  </r>
  <r>
    <s v="Call_7535"/>
    <s v="C0015"/>
    <n v="154"/>
    <s v="R02"/>
    <d v="2023-03-22T00:00:00"/>
    <n v="172"/>
    <n v="3.1"/>
    <n v="2023"/>
    <s v="Wednesday"/>
    <x v="1"/>
    <n v="3"/>
    <s v="Long"/>
    <s v="Very High"/>
  </r>
  <r>
    <s v="Call_7536"/>
    <s v="C0010"/>
    <n v="131"/>
    <s v="R02"/>
    <d v="2023-03-22T00:00:00"/>
    <n v="58"/>
    <n v="4.9000000000000004"/>
    <n v="2023"/>
    <s v="Wednesday"/>
    <x v="1"/>
    <n v="5"/>
    <s v="Long"/>
    <s v="Medium"/>
  </r>
  <r>
    <s v="Call_7537"/>
    <s v="C0007"/>
    <n v="111"/>
    <s v="R04"/>
    <d v="2023-03-23T00:00:00"/>
    <n v="86"/>
    <n v="4.0999999999999996"/>
    <n v="2023"/>
    <s v="Thursday"/>
    <x v="0"/>
    <n v="4"/>
    <s v="Long"/>
    <s v="Medium"/>
  </r>
  <r>
    <s v="Call_7538"/>
    <s v="C0012"/>
    <n v="142"/>
    <s v="R04"/>
    <d v="2023-03-24T00:00:00"/>
    <n v="31"/>
    <n v="4.4000000000000004"/>
    <n v="2023"/>
    <s v="Friday"/>
    <x v="1"/>
    <n v="4"/>
    <s v="Long"/>
    <s v="Low"/>
  </r>
  <r>
    <s v="Call_7539"/>
    <s v="C0005"/>
    <n v="93"/>
    <s v="R03"/>
    <d v="2023-03-24T00:00:00"/>
    <n v="72"/>
    <n v="4.4000000000000004"/>
    <n v="2023"/>
    <s v="Friday"/>
    <x v="0"/>
    <n v="4"/>
    <s v="Long"/>
    <s v="Medium"/>
  </r>
  <r>
    <s v="Call_7540"/>
    <s v="C0012"/>
    <n v="125"/>
    <s v="R05"/>
    <d v="2023-03-25T00:00:00"/>
    <n v="27"/>
    <n v="3"/>
    <n v="2023"/>
    <s v="Saturday"/>
    <x v="1"/>
    <n v="3"/>
    <s v="Long"/>
    <s v="Low"/>
  </r>
  <r>
    <s v="Call_7541"/>
    <s v="C0008"/>
    <n v="76"/>
    <s v="R02"/>
    <d v="2023-03-25T00:00:00"/>
    <n v="110"/>
    <n v="4.4000000000000004"/>
    <n v="2023"/>
    <s v="Saturday"/>
    <x v="0"/>
    <n v="4"/>
    <s v="Long"/>
    <s v="High"/>
  </r>
  <r>
    <s v="Call_7542"/>
    <s v="C0006"/>
    <n v="69"/>
    <s v="R03"/>
    <d v="2023-03-25T00:00:00"/>
    <n v="126"/>
    <n v="3.7"/>
    <n v="2023"/>
    <s v="Saturday"/>
    <x v="0"/>
    <n v="4"/>
    <s v="Long"/>
    <s v="High"/>
  </r>
  <r>
    <s v="Call_7543"/>
    <s v="C0009"/>
    <n v="149"/>
    <s v="R05"/>
    <d v="2023-03-25T00:00:00"/>
    <n v="60"/>
    <n v="3.9"/>
    <n v="2023"/>
    <s v="Saturday"/>
    <x v="1"/>
    <n v="4"/>
    <s v="Long"/>
    <s v="Medium"/>
  </r>
  <r>
    <s v="Call_7544"/>
    <s v="C0012"/>
    <n v="57"/>
    <s v="R03"/>
    <d v="2023-03-25T00:00:00"/>
    <n v="35"/>
    <n v="3.5"/>
    <n v="2023"/>
    <s v="Saturday"/>
    <x v="2"/>
    <n v="4"/>
    <s v="Medium"/>
    <s v="Low"/>
  </r>
  <r>
    <s v="Call_7545"/>
    <s v="C0004"/>
    <n v="113"/>
    <s v="R02"/>
    <d v="2023-03-25T00:00:00"/>
    <n v="81"/>
    <n v="3.5"/>
    <n v="2023"/>
    <s v="Saturday"/>
    <x v="0"/>
    <n v="4"/>
    <s v="Long"/>
    <s v="Medium"/>
  </r>
  <r>
    <s v="Call_7546"/>
    <s v="C0003"/>
    <n v="160"/>
    <s v="R05"/>
    <d v="2023-03-25T00:00:00"/>
    <n v="116"/>
    <n v="3.4"/>
    <n v="2023"/>
    <s v="Saturday"/>
    <x v="1"/>
    <n v="3"/>
    <s v="Long"/>
    <s v="High"/>
  </r>
  <r>
    <s v="Call_7547"/>
    <s v="C0011"/>
    <n v="158"/>
    <s v="R01"/>
    <d v="2023-03-25T00:00:00"/>
    <n v="60"/>
    <n v="4.5"/>
    <n v="2023"/>
    <s v="Saturday"/>
    <x v="1"/>
    <n v="5"/>
    <s v="Long"/>
    <s v="Medium"/>
  </r>
  <r>
    <s v="Call_7548"/>
    <s v="C0006"/>
    <n v="77"/>
    <s v="R05"/>
    <d v="2023-03-26T00:00:00"/>
    <n v="130"/>
    <n v="4.2"/>
    <n v="2023"/>
    <s v="Sunday"/>
    <x v="0"/>
    <n v="4"/>
    <s v="Long"/>
    <s v="High"/>
  </r>
  <r>
    <s v="Call_7549"/>
    <s v="C0013"/>
    <n v="118"/>
    <s v="R04"/>
    <d v="2023-03-26T00:00:00"/>
    <n v="99"/>
    <n v="5"/>
    <n v="2023"/>
    <s v="Sunday"/>
    <x v="0"/>
    <n v="5"/>
    <s v="Long"/>
    <s v="Medium"/>
  </r>
  <r>
    <s v="Call_7550"/>
    <s v="C0015"/>
    <n v="75"/>
    <s v="R02"/>
    <d v="2023-03-26T00:00:00"/>
    <n v="135"/>
    <n v="4.7"/>
    <n v="2023"/>
    <s v="Sunday"/>
    <x v="0"/>
    <n v="5"/>
    <s v="Long"/>
    <s v="High"/>
  </r>
  <r>
    <s v="Call_7551"/>
    <s v="C0004"/>
    <n v="103"/>
    <s v="R05"/>
    <d v="2023-03-26T00:00:00"/>
    <n v="42"/>
    <n v="2.8"/>
    <n v="2023"/>
    <s v="Sunday"/>
    <x v="0"/>
    <n v="3"/>
    <s v="Long"/>
    <s v="Low"/>
  </r>
  <r>
    <s v="Call_7552"/>
    <s v="C0006"/>
    <n v="116"/>
    <s v="R04"/>
    <d v="2023-03-27T00:00:00"/>
    <n v="63"/>
    <n v="3.4"/>
    <n v="2023"/>
    <s v="Monday"/>
    <x v="0"/>
    <n v="3"/>
    <s v="Long"/>
    <s v="Medium"/>
  </r>
  <r>
    <s v="Call_7553"/>
    <s v="C0007"/>
    <n v="61"/>
    <s v="R01"/>
    <d v="2023-03-27T00:00:00"/>
    <n v="140"/>
    <n v="1.8"/>
    <n v="2023"/>
    <s v="Monday"/>
    <x v="0"/>
    <n v="2"/>
    <s v="Long"/>
    <s v="High"/>
  </r>
  <r>
    <s v="Call_7554"/>
    <s v="C0012"/>
    <n v="126"/>
    <s v="R02"/>
    <d v="2023-03-27T00:00:00"/>
    <n v="128"/>
    <n v="4.2"/>
    <n v="2023"/>
    <s v="Monday"/>
    <x v="1"/>
    <n v="4"/>
    <s v="Long"/>
    <s v="High"/>
  </r>
  <r>
    <s v="Call_7555"/>
    <s v="C0002"/>
    <n v="141"/>
    <s v="R03"/>
    <d v="2023-03-27T00:00:00"/>
    <n v="80"/>
    <n v="4.4000000000000004"/>
    <n v="2023"/>
    <s v="Monday"/>
    <x v="1"/>
    <n v="4"/>
    <s v="Long"/>
    <s v="Medium"/>
  </r>
  <r>
    <s v="Call_7556"/>
    <s v="C0011"/>
    <n v="95"/>
    <s v="R04"/>
    <d v="2023-03-27T00:00:00"/>
    <n v="28"/>
    <n v="2.7"/>
    <n v="2023"/>
    <s v="Monday"/>
    <x v="0"/>
    <n v="3"/>
    <s v="Long"/>
    <s v="Low"/>
  </r>
  <r>
    <s v="Call_7557"/>
    <s v="C0015"/>
    <n v="39"/>
    <s v="R01"/>
    <d v="2023-03-28T00:00:00"/>
    <n v="81"/>
    <n v="5"/>
    <n v="2023"/>
    <s v="Tuesday"/>
    <x v="2"/>
    <n v="5"/>
    <s v="Medium"/>
    <s v="Medium"/>
  </r>
  <r>
    <s v="Call_7558"/>
    <s v="C0004"/>
    <n v="127"/>
    <s v="R02"/>
    <d v="2023-03-28T00:00:00"/>
    <n v="99"/>
    <n v="3.9"/>
    <n v="2023"/>
    <s v="Tuesday"/>
    <x v="1"/>
    <n v="4"/>
    <s v="Long"/>
    <s v="Medium"/>
  </r>
  <r>
    <s v="Call_7559"/>
    <s v="C0007"/>
    <n v="78"/>
    <s v="R02"/>
    <d v="2023-03-28T00:00:00"/>
    <n v="43"/>
    <n v="3.8"/>
    <n v="2023"/>
    <s v="Tuesday"/>
    <x v="0"/>
    <n v="4"/>
    <s v="Long"/>
    <s v="Low"/>
  </r>
  <r>
    <s v="Call_7560"/>
    <s v="C0013"/>
    <n v="40"/>
    <s v="R02"/>
    <d v="2023-03-28T00:00:00"/>
    <n v="34"/>
    <n v="4.5999999999999996"/>
    <n v="2023"/>
    <s v="Tuesday"/>
    <x v="2"/>
    <n v="5"/>
    <s v="Medium"/>
    <s v="Low"/>
  </r>
  <r>
    <s v="Call_7561"/>
    <s v="C0007"/>
    <n v="56"/>
    <s v="R01"/>
    <d v="2023-03-28T00:00:00"/>
    <n v="225"/>
    <n v="4.5999999999999996"/>
    <n v="2023"/>
    <s v="Tuesday"/>
    <x v="2"/>
    <n v="5"/>
    <s v="Medium"/>
    <s v="Very High"/>
  </r>
  <r>
    <s v="Call_7562"/>
    <s v="C0015"/>
    <n v="59"/>
    <s v="R03"/>
    <d v="2023-03-28T00:00:00"/>
    <n v="210"/>
    <n v="4.5"/>
    <n v="2023"/>
    <s v="Tuesday"/>
    <x v="2"/>
    <n v="5"/>
    <s v="Medium"/>
    <s v="Very High"/>
  </r>
  <r>
    <s v="Call_7563"/>
    <s v="C0012"/>
    <n v="30"/>
    <s v="R02"/>
    <d v="2023-03-28T00:00:00"/>
    <n v="168"/>
    <n v="4.2"/>
    <n v="2023"/>
    <s v="Tuesday"/>
    <x v="3"/>
    <n v="4"/>
    <s v="Short"/>
    <s v="Very High"/>
  </r>
  <r>
    <s v="Call_7564"/>
    <s v="C0013"/>
    <n v="63"/>
    <s v="R05"/>
    <d v="2023-03-29T00:00:00"/>
    <n v="82"/>
    <n v="4.5"/>
    <n v="2023"/>
    <s v="Wednesday"/>
    <x v="0"/>
    <n v="5"/>
    <s v="Long"/>
    <s v="Medium"/>
  </r>
  <r>
    <s v="Call_7565"/>
    <s v="C0005"/>
    <n v="56"/>
    <s v="R04"/>
    <d v="2023-03-29T00:00:00"/>
    <n v="88"/>
    <n v="4.0999999999999996"/>
    <n v="2023"/>
    <s v="Wednesday"/>
    <x v="2"/>
    <n v="4"/>
    <s v="Medium"/>
    <s v="Medium"/>
  </r>
  <r>
    <s v="Call_7566"/>
    <s v="C0008"/>
    <n v="95"/>
    <s v="R05"/>
    <d v="2023-03-29T00:00:00"/>
    <n v="111"/>
    <n v="3.3"/>
    <n v="2023"/>
    <s v="Wednesday"/>
    <x v="0"/>
    <n v="3"/>
    <s v="Long"/>
    <s v="High"/>
  </r>
  <r>
    <s v="Call_7567"/>
    <s v="C0001"/>
    <n v="128"/>
    <s v="R03"/>
    <d v="2023-03-29T00:00:00"/>
    <n v="60"/>
    <n v="3.8"/>
    <n v="2023"/>
    <s v="Wednesday"/>
    <x v="1"/>
    <n v="4"/>
    <s v="Long"/>
    <s v="Medium"/>
  </r>
  <r>
    <s v="Call_7568"/>
    <s v="C0011"/>
    <n v="49"/>
    <s v="R05"/>
    <d v="2023-03-29T00:00:00"/>
    <n v="80"/>
    <n v="3"/>
    <n v="2023"/>
    <s v="Wednesday"/>
    <x v="2"/>
    <n v="3"/>
    <s v="Medium"/>
    <s v="Medium"/>
  </r>
  <r>
    <s v="Call_7569"/>
    <s v="C0001"/>
    <n v="89"/>
    <s v="R01"/>
    <d v="2023-03-31T00:00:00"/>
    <n v="90"/>
    <n v="4.5999999999999996"/>
    <n v="2023"/>
    <s v="Friday"/>
    <x v="0"/>
    <n v="5"/>
    <s v="Long"/>
    <s v="Medium"/>
  </r>
  <r>
    <s v="Call_7570"/>
    <s v="C0009"/>
    <n v="87"/>
    <s v="R05"/>
    <d v="2023-03-31T00:00:00"/>
    <n v="225"/>
    <n v="2.9"/>
    <n v="2023"/>
    <s v="Friday"/>
    <x v="0"/>
    <n v="3"/>
    <s v="Long"/>
    <s v="Very High"/>
  </r>
  <r>
    <s v="Call_7571"/>
    <s v="C0003"/>
    <n v="60"/>
    <s v="R02"/>
    <d v="2023-04-01T00:00:00"/>
    <n v="215"/>
    <n v="3.2"/>
    <n v="2023"/>
    <s v="Saturday"/>
    <x v="2"/>
    <n v="3"/>
    <s v="Medium"/>
    <s v="Very High"/>
  </r>
  <r>
    <s v="Call_7572"/>
    <s v="C0014"/>
    <n v="42"/>
    <s v="R01"/>
    <d v="2023-04-01T00:00:00"/>
    <n v="45"/>
    <n v="1.5"/>
    <n v="2023"/>
    <s v="Saturday"/>
    <x v="2"/>
    <n v="2"/>
    <s v="Medium"/>
    <s v="Low"/>
  </r>
  <r>
    <s v="Call_7573"/>
    <s v="C0010"/>
    <n v="99"/>
    <s v="R02"/>
    <d v="2023-04-01T00:00:00"/>
    <n v="74"/>
    <n v="4"/>
    <n v="2023"/>
    <s v="Saturday"/>
    <x v="0"/>
    <n v="4"/>
    <s v="Long"/>
    <s v="Medium"/>
  </r>
  <r>
    <s v="Call_7574"/>
    <s v="C0005"/>
    <n v="20"/>
    <s v="R01"/>
    <d v="2023-04-01T00:00:00"/>
    <n v="60"/>
    <n v="3.6"/>
    <n v="2023"/>
    <s v="Saturday"/>
    <x v="3"/>
    <n v="4"/>
    <s v="Short"/>
    <s v="Medium"/>
  </r>
  <r>
    <s v="Call_7575"/>
    <s v="C0013"/>
    <n v="65"/>
    <s v="R02"/>
    <d v="2023-04-01T00:00:00"/>
    <n v="64"/>
    <n v="3.7"/>
    <n v="2023"/>
    <s v="Saturday"/>
    <x v="0"/>
    <n v="4"/>
    <s v="Long"/>
    <s v="Medium"/>
  </r>
  <r>
    <s v="Call_7576"/>
    <s v="C0012"/>
    <n v="71"/>
    <s v="R05"/>
    <d v="2023-04-02T00:00:00"/>
    <n v="110"/>
    <n v="4.8"/>
    <n v="2023"/>
    <s v="Sunday"/>
    <x v="0"/>
    <n v="5"/>
    <s v="Long"/>
    <s v="High"/>
  </r>
  <r>
    <s v="Call_7577"/>
    <s v="C0004"/>
    <n v="95"/>
    <s v="R03"/>
    <d v="2023-04-02T00:00:00"/>
    <n v="52"/>
    <n v="1.2"/>
    <n v="2023"/>
    <s v="Sunday"/>
    <x v="0"/>
    <n v="1"/>
    <s v="Long"/>
    <s v="Medium"/>
  </r>
  <r>
    <s v="Call_7578"/>
    <s v="C0005"/>
    <n v="81"/>
    <s v="R04"/>
    <d v="2023-04-03T00:00:00"/>
    <n v="160"/>
    <n v="4.7"/>
    <n v="2023"/>
    <s v="Monday"/>
    <x v="0"/>
    <n v="5"/>
    <s v="Long"/>
    <s v="Very High"/>
  </r>
  <r>
    <s v="Call_7579"/>
    <s v="C0006"/>
    <n v="137"/>
    <s v="R04"/>
    <d v="2023-04-03T00:00:00"/>
    <n v="215"/>
    <n v="4.7"/>
    <n v="2023"/>
    <s v="Monday"/>
    <x v="1"/>
    <n v="5"/>
    <s v="Long"/>
    <s v="Very High"/>
  </r>
  <r>
    <s v="Call_7580"/>
    <s v="C0006"/>
    <n v="40"/>
    <s v="R03"/>
    <d v="2023-04-03T00:00:00"/>
    <n v="220"/>
    <n v="4.5"/>
    <n v="2023"/>
    <s v="Monday"/>
    <x v="2"/>
    <n v="5"/>
    <s v="Medium"/>
    <s v="Very High"/>
  </r>
  <r>
    <s v="Call_7581"/>
    <s v="C0010"/>
    <n v="111"/>
    <s v="R02"/>
    <d v="2023-04-04T00:00:00"/>
    <n v="175"/>
    <n v="3.5"/>
    <n v="2023"/>
    <s v="Tuesday"/>
    <x v="0"/>
    <n v="4"/>
    <s v="Long"/>
    <s v="Very High"/>
  </r>
  <r>
    <s v="Call_7582"/>
    <s v="C0012"/>
    <n v="106"/>
    <s v="R02"/>
    <d v="2023-04-04T00:00:00"/>
    <n v="145"/>
    <n v="4.0999999999999996"/>
    <n v="2023"/>
    <s v="Tuesday"/>
    <x v="0"/>
    <n v="4"/>
    <s v="Long"/>
    <s v="High"/>
  </r>
  <r>
    <s v="Call_7583"/>
    <s v="C0014"/>
    <n v="133"/>
    <s v="R01"/>
    <d v="2023-04-04T00:00:00"/>
    <n v="72"/>
    <n v="4.4000000000000004"/>
    <n v="2023"/>
    <s v="Tuesday"/>
    <x v="1"/>
    <n v="4"/>
    <s v="Long"/>
    <s v="Medium"/>
  </r>
  <r>
    <s v="Call_7584"/>
    <s v="C0007"/>
    <n v="38"/>
    <s v="R02"/>
    <d v="2023-04-05T00:00:00"/>
    <n v="81"/>
    <n v="3.6"/>
    <n v="2023"/>
    <s v="Wednesday"/>
    <x v="2"/>
    <n v="4"/>
    <s v="Medium"/>
    <s v="Medium"/>
  </r>
  <r>
    <s v="Call_7585"/>
    <s v="C0015"/>
    <n v="130"/>
    <s v="R03"/>
    <d v="2023-04-05T00:00:00"/>
    <n v="54"/>
    <n v="4.0999999999999996"/>
    <n v="2023"/>
    <s v="Wednesday"/>
    <x v="1"/>
    <n v="4"/>
    <s v="Long"/>
    <s v="Medium"/>
  </r>
  <r>
    <s v="Call_7586"/>
    <s v="C0013"/>
    <n v="23"/>
    <s v="R01"/>
    <d v="2023-04-05T00:00:00"/>
    <n v="105"/>
    <n v="4.8"/>
    <n v="2023"/>
    <s v="Wednesday"/>
    <x v="3"/>
    <n v="5"/>
    <s v="Short"/>
    <s v="High"/>
  </r>
  <r>
    <s v="Call_7587"/>
    <s v="C0015"/>
    <n v="124"/>
    <s v="R02"/>
    <d v="2023-04-06T00:00:00"/>
    <n v="176"/>
    <n v="3.9"/>
    <n v="2023"/>
    <s v="Thursday"/>
    <x v="1"/>
    <n v="4"/>
    <s v="Long"/>
    <s v="Very High"/>
  </r>
  <r>
    <s v="Call_7588"/>
    <s v="C0005"/>
    <n v="107"/>
    <s v="R02"/>
    <d v="2023-04-06T00:00:00"/>
    <n v="115"/>
    <n v="3.8"/>
    <n v="2023"/>
    <s v="Thursday"/>
    <x v="0"/>
    <n v="4"/>
    <s v="Long"/>
    <s v="High"/>
  </r>
  <r>
    <s v="Call_7589"/>
    <s v="C0006"/>
    <n v="60"/>
    <s v="R05"/>
    <d v="2023-04-06T00:00:00"/>
    <n v="116"/>
    <n v="3.9"/>
    <n v="2023"/>
    <s v="Thursday"/>
    <x v="2"/>
    <n v="4"/>
    <s v="Medium"/>
    <s v="High"/>
  </r>
  <r>
    <s v="Call_7590"/>
    <s v="C0006"/>
    <n v="158"/>
    <s v="R03"/>
    <d v="2023-04-06T00:00:00"/>
    <n v="100"/>
    <n v="4.0999999999999996"/>
    <n v="2023"/>
    <s v="Thursday"/>
    <x v="1"/>
    <n v="4"/>
    <s v="Long"/>
    <s v="Medium"/>
  </r>
  <r>
    <s v="Call_7591"/>
    <s v="C0009"/>
    <n v="110"/>
    <s v="R03"/>
    <d v="2023-04-07T00:00:00"/>
    <n v="36"/>
    <n v="2.2000000000000002"/>
    <n v="2023"/>
    <s v="Friday"/>
    <x v="0"/>
    <n v="2"/>
    <s v="Long"/>
    <s v="Low"/>
  </r>
  <r>
    <s v="Call_7592"/>
    <s v="C0001"/>
    <n v="70"/>
    <s v="R03"/>
    <d v="2023-04-07T00:00:00"/>
    <n v="114"/>
    <n v="5"/>
    <n v="2023"/>
    <s v="Friday"/>
    <x v="0"/>
    <n v="5"/>
    <s v="Long"/>
    <s v="High"/>
  </r>
  <r>
    <s v="Call_7593"/>
    <s v="C0001"/>
    <n v="150"/>
    <s v="R05"/>
    <d v="2023-04-07T00:00:00"/>
    <n v="24"/>
    <n v="3.8"/>
    <n v="2023"/>
    <s v="Friday"/>
    <x v="1"/>
    <n v="4"/>
    <s v="Long"/>
    <s v="Low"/>
  </r>
  <r>
    <s v="Call_7594"/>
    <s v="C0007"/>
    <n v="36"/>
    <s v="R02"/>
    <d v="2023-04-07T00:00:00"/>
    <n v="135"/>
    <n v="4.5999999999999996"/>
    <n v="2023"/>
    <s v="Friday"/>
    <x v="2"/>
    <n v="5"/>
    <s v="Medium"/>
    <s v="High"/>
  </r>
  <r>
    <s v="Call_7595"/>
    <s v="C0015"/>
    <n v="74"/>
    <s v="R02"/>
    <d v="2023-04-07T00:00:00"/>
    <n v="30"/>
    <n v="4"/>
    <n v="2023"/>
    <s v="Friday"/>
    <x v="0"/>
    <n v="4"/>
    <s v="Long"/>
    <s v="Low"/>
  </r>
  <r>
    <s v="Call_7596"/>
    <s v="C0004"/>
    <n v="75"/>
    <s v="R02"/>
    <d v="2023-04-07T00:00:00"/>
    <n v="84"/>
    <n v="2.8"/>
    <n v="2023"/>
    <s v="Friday"/>
    <x v="0"/>
    <n v="3"/>
    <s v="Long"/>
    <s v="Medium"/>
  </r>
  <r>
    <s v="Call_7597"/>
    <s v="C0008"/>
    <n v="70"/>
    <s v="R04"/>
    <d v="2023-04-07T00:00:00"/>
    <n v="42"/>
    <n v="4.4000000000000004"/>
    <n v="2023"/>
    <s v="Friday"/>
    <x v="0"/>
    <n v="4"/>
    <s v="Long"/>
    <s v="Low"/>
  </r>
  <r>
    <s v="Call_7598"/>
    <s v="C0009"/>
    <n v="23"/>
    <s v="R03"/>
    <d v="2023-04-07T00:00:00"/>
    <n v="117"/>
    <n v="2.4"/>
    <n v="2023"/>
    <s v="Friday"/>
    <x v="3"/>
    <n v="2"/>
    <s v="Short"/>
    <s v="High"/>
  </r>
  <r>
    <s v="Call_7599"/>
    <s v="C0010"/>
    <n v="104"/>
    <s v="R01"/>
    <d v="2023-04-07T00:00:00"/>
    <n v="164"/>
    <n v="4"/>
    <n v="2023"/>
    <s v="Friday"/>
    <x v="0"/>
    <n v="4"/>
    <s v="Long"/>
    <s v="Very High"/>
  </r>
  <r>
    <s v="Call_7600"/>
    <s v="C0001"/>
    <n v="95"/>
    <s v="R04"/>
    <d v="2023-04-08T00:00:00"/>
    <n v="123"/>
    <n v="4.4000000000000004"/>
    <n v="2023"/>
    <s v="Saturday"/>
    <x v="0"/>
    <n v="4"/>
    <s v="Long"/>
    <s v="High"/>
  </r>
  <r>
    <s v="Call_7601"/>
    <s v="C0011"/>
    <n v="49"/>
    <s v="R05"/>
    <d v="2023-04-08T00:00:00"/>
    <n v="172"/>
    <n v="2.9"/>
    <n v="2023"/>
    <s v="Saturday"/>
    <x v="2"/>
    <n v="3"/>
    <s v="Medium"/>
    <s v="Very High"/>
  </r>
  <r>
    <s v="Call_7602"/>
    <s v="C0012"/>
    <n v="8"/>
    <s v="R03"/>
    <d v="2023-04-08T00:00:00"/>
    <n v="20"/>
    <n v="4.8"/>
    <n v="2023"/>
    <s v="Saturday"/>
    <x v="4"/>
    <n v="5"/>
    <s v="Very Short"/>
    <s v="Low"/>
  </r>
  <r>
    <s v="Call_7603"/>
    <s v="C0001"/>
    <n v="157"/>
    <s v="R05"/>
    <d v="2023-04-08T00:00:00"/>
    <n v="72"/>
    <n v="3.7"/>
    <n v="2023"/>
    <s v="Saturday"/>
    <x v="1"/>
    <n v="4"/>
    <s v="Long"/>
    <s v="Medium"/>
  </r>
  <r>
    <s v="Call_7604"/>
    <s v="C0005"/>
    <n v="74"/>
    <s v="R02"/>
    <d v="2023-04-08T00:00:00"/>
    <n v="32"/>
    <n v="4.8"/>
    <n v="2023"/>
    <s v="Saturday"/>
    <x v="0"/>
    <n v="5"/>
    <s v="Long"/>
    <s v="Low"/>
  </r>
  <r>
    <s v="Call_7605"/>
    <s v="C0009"/>
    <n v="72"/>
    <s v="R04"/>
    <d v="2023-04-08T00:00:00"/>
    <n v="140"/>
    <n v="3.2"/>
    <n v="2023"/>
    <s v="Saturday"/>
    <x v="0"/>
    <n v="3"/>
    <s v="Long"/>
    <s v="High"/>
  </r>
  <r>
    <s v="Call_7606"/>
    <s v="C0005"/>
    <n v="79"/>
    <s v="R02"/>
    <d v="2023-04-09T00:00:00"/>
    <n v="120"/>
    <n v="4.9000000000000004"/>
    <n v="2023"/>
    <s v="Sunday"/>
    <x v="0"/>
    <n v="5"/>
    <s v="Long"/>
    <s v="High"/>
  </r>
  <r>
    <s v="Call_7607"/>
    <s v="C0015"/>
    <n v="23"/>
    <s v="R02"/>
    <d v="2023-04-09T00:00:00"/>
    <n v="86"/>
    <n v="2.2000000000000002"/>
    <n v="2023"/>
    <s v="Sunday"/>
    <x v="3"/>
    <n v="2"/>
    <s v="Short"/>
    <s v="Medium"/>
  </r>
  <r>
    <s v="Call_7608"/>
    <s v="C0004"/>
    <n v="69"/>
    <s v="R02"/>
    <d v="2023-04-09T00:00:00"/>
    <n v="132"/>
    <n v="5"/>
    <n v="2023"/>
    <s v="Sunday"/>
    <x v="0"/>
    <n v="5"/>
    <s v="Long"/>
    <s v="High"/>
  </r>
  <r>
    <s v="Call_7609"/>
    <s v="C0006"/>
    <n v="64"/>
    <s v="R02"/>
    <d v="2023-04-09T00:00:00"/>
    <n v="80"/>
    <n v="3.3"/>
    <n v="2023"/>
    <s v="Sunday"/>
    <x v="0"/>
    <n v="3"/>
    <s v="Long"/>
    <s v="Medium"/>
  </r>
  <r>
    <s v="Call_7610"/>
    <s v="C0002"/>
    <n v="47"/>
    <s v="R05"/>
    <d v="2023-04-09T00:00:00"/>
    <n v="132"/>
    <n v="3.7"/>
    <n v="2023"/>
    <s v="Sunday"/>
    <x v="2"/>
    <n v="4"/>
    <s v="Medium"/>
    <s v="High"/>
  </r>
  <r>
    <s v="Call_7611"/>
    <s v="C0005"/>
    <n v="55"/>
    <s v="R04"/>
    <d v="2023-04-09T00:00:00"/>
    <n v="27"/>
    <n v="3.7"/>
    <n v="2023"/>
    <s v="Sunday"/>
    <x v="2"/>
    <n v="4"/>
    <s v="Medium"/>
    <s v="Low"/>
  </r>
  <r>
    <s v="Call_7612"/>
    <s v="C0010"/>
    <n v="104"/>
    <s v="R04"/>
    <d v="2023-04-10T00:00:00"/>
    <n v="68"/>
    <n v="3.6"/>
    <n v="2023"/>
    <s v="Monday"/>
    <x v="0"/>
    <n v="4"/>
    <s v="Long"/>
    <s v="Medium"/>
  </r>
  <r>
    <s v="Call_7613"/>
    <s v="C0002"/>
    <n v="116"/>
    <s v="R02"/>
    <d v="2023-04-10T00:00:00"/>
    <n v="22"/>
    <n v="4.7"/>
    <n v="2023"/>
    <s v="Monday"/>
    <x v="0"/>
    <n v="5"/>
    <s v="Long"/>
    <s v="Low"/>
  </r>
  <r>
    <s v="Call_7614"/>
    <s v="C0015"/>
    <n v="99"/>
    <s v="R04"/>
    <d v="2023-04-10T00:00:00"/>
    <n v="42"/>
    <n v="3.1"/>
    <n v="2023"/>
    <s v="Monday"/>
    <x v="0"/>
    <n v="3"/>
    <s v="Long"/>
    <s v="Low"/>
  </r>
  <r>
    <s v="Call_7615"/>
    <s v="C0010"/>
    <n v="84"/>
    <s v="R04"/>
    <d v="2023-04-11T00:00:00"/>
    <n v="38"/>
    <n v="3.3"/>
    <n v="2023"/>
    <s v="Tuesday"/>
    <x v="0"/>
    <n v="3"/>
    <s v="Long"/>
    <s v="Low"/>
  </r>
  <r>
    <s v="Call_7616"/>
    <s v="C0012"/>
    <n v="159"/>
    <s v="R04"/>
    <d v="2023-04-11T00:00:00"/>
    <n v="42"/>
    <n v="4.5"/>
    <n v="2023"/>
    <s v="Tuesday"/>
    <x v="1"/>
    <n v="5"/>
    <s v="Long"/>
    <s v="Low"/>
  </r>
  <r>
    <s v="Call_7617"/>
    <s v="C0007"/>
    <n v="25"/>
    <s v="R05"/>
    <d v="2023-04-11T00:00:00"/>
    <n v="75"/>
    <n v="3.9"/>
    <n v="2023"/>
    <s v="Tuesday"/>
    <x v="3"/>
    <n v="4"/>
    <s v="Short"/>
    <s v="Medium"/>
  </r>
  <r>
    <s v="Call_7618"/>
    <s v="C0012"/>
    <n v="53"/>
    <s v="R03"/>
    <d v="2023-04-12T00:00:00"/>
    <n v="23"/>
    <n v="4.9000000000000004"/>
    <n v="2023"/>
    <s v="Wednesday"/>
    <x v="2"/>
    <n v="5"/>
    <s v="Medium"/>
    <s v="Low"/>
  </r>
  <r>
    <s v="Call_7619"/>
    <s v="C0012"/>
    <n v="89"/>
    <s v="R05"/>
    <d v="2023-04-12T00:00:00"/>
    <n v="200"/>
    <n v="4.8"/>
    <n v="2023"/>
    <s v="Wednesday"/>
    <x v="0"/>
    <n v="5"/>
    <s v="Long"/>
    <s v="Very High"/>
  </r>
  <r>
    <s v="Call_7620"/>
    <s v="C0014"/>
    <n v="73"/>
    <s v="R02"/>
    <d v="2023-04-13T00:00:00"/>
    <n v="45"/>
    <n v="3.6"/>
    <n v="2023"/>
    <s v="Thursday"/>
    <x v="0"/>
    <n v="4"/>
    <s v="Long"/>
    <s v="Low"/>
  </r>
  <r>
    <s v="Call_7621"/>
    <s v="C0015"/>
    <n v="50"/>
    <s v="R02"/>
    <d v="2023-04-13T00:00:00"/>
    <n v="105"/>
    <n v="3.5"/>
    <n v="2023"/>
    <s v="Thursday"/>
    <x v="2"/>
    <n v="4"/>
    <s v="Medium"/>
    <s v="High"/>
  </r>
  <r>
    <s v="Call_7622"/>
    <s v="C0011"/>
    <n v="98"/>
    <s v="R02"/>
    <d v="2023-04-13T00:00:00"/>
    <n v="22"/>
    <n v="3.8"/>
    <n v="2023"/>
    <s v="Thursday"/>
    <x v="0"/>
    <n v="4"/>
    <s v="Long"/>
    <s v="Low"/>
  </r>
  <r>
    <s v="Call_7623"/>
    <s v="C0013"/>
    <n v="114"/>
    <s v="R04"/>
    <d v="2023-04-14T00:00:00"/>
    <n v="126"/>
    <n v="4.4000000000000004"/>
    <n v="2023"/>
    <s v="Friday"/>
    <x v="0"/>
    <n v="4"/>
    <s v="Long"/>
    <s v="High"/>
  </r>
  <r>
    <s v="Call_7624"/>
    <s v="C0006"/>
    <n v="67"/>
    <s v="R04"/>
    <d v="2023-04-14T00:00:00"/>
    <n v="35"/>
    <n v="3"/>
    <n v="2023"/>
    <s v="Friday"/>
    <x v="0"/>
    <n v="3"/>
    <s v="Long"/>
    <s v="Low"/>
  </r>
  <r>
    <s v="Call_7625"/>
    <s v="C0005"/>
    <n v="91"/>
    <s v="R02"/>
    <d v="2023-04-14T00:00:00"/>
    <n v="84"/>
    <n v="4.5"/>
    <n v="2023"/>
    <s v="Friday"/>
    <x v="0"/>
    <n v="5"/>
    <s v="Long"/>
    <s v="Medium"/>
  </r>
  <r>
    <s v="Call_7626"/>
    <s v="C0008"/>
    <n v="67"/>
    <s v="R02"/>
    <d v="2023-04-15T00:00:00"/>
    <n v="172"/>
    <n v="4.5"/>
    <n v="2023"/>
    <s v="Saturday"/>
    <x v="0"/>
    <n v="5"/>
    <s v="Long"/>
    <s v="Very High"/>
  </r>
  <r>
    <s v="Call_7627"/>
    <s v="C0013"/>
    <n v="139"/>
    <s v="R05"/>
    <d v="2023-04-15T00:00:00"/>
    <n v="114"/>
    <n v="4"/>
    <n v="2023"/>
    <s v="Saturday"/>
    <x v="1"/>
    <n v="4"/>
    <s v="Long"/>
    <s v="High"/>
  </r>
  <r>
    <s v="Call_7628"/>
    <s v="C0008"/>
    <n v="102"/>
    <s v="R05"/>
    <d v="2023-04-15T00:00:00"/>
    <n v="60"/>
    <n v="3.8"/>
    <n v="2023"/>
    <s v="Saturday"/>
    <x v="0"/>
    <n v="4"/>
    <s v="Long"/>
    <s v="Medium"/>
  </r>
  <r>
    <s v="Call_7629"/>
    <s v="C0001"/>
    <n v="108"/>
    <s v="R01"/>
    <d v="2023-04-15T00:00:00"/>
    <n v="26"/>
    <n v="3.3"/>
    <n v="2023"/>
    <s v="Saturday"/>
    <x v="0"/>
    <n v="3"/>
    <s v="Long"/>
    <s v="Low"/>
  </r>
  <r>
    <s v="Call_7630"/>
    <s v="C0007"/>
    <n v="66"/>
    <s v="R02"/>
    <d v="2023-04-15T00:00:00"/>
    <n v="210"/>
    <n v="4.3"/>
    <n v="2023"/>
    <s v="Saturday"/>
    <x v="0"/>
    <n v="4"/>
    <s v="Long"/>
    <s v="Very High"/>
  </r>
  <r>
    <s v="Call_7631"/>
    <s v="C0009"/>
    <n v="85"/>
    <s v="R05"/>
    <d v="2023-04-15T00:00:00"/>
    <n v="129"/>
    <n v="4.2"/>
    <n v="2023"/>
    <s v="Saturday"/>
    <x v="0"/>
    <n v="4"/>
    <s v="Long"/>
    <s v="High"/>
  </r>
  <r>
    <s v="Call_7632"/>
    <s v="C0006"/>
    <n v="55"/>
    <s v="R01"/>
    <d v="2023-04-15T00:00:00"/>
    <n v="215"/>
    <n v="4.3"/>
    <n v="2023"/>
    <s v="Saturday"/>
    <x v="2"/>
    <n v="4"/>
    <s v="Medium"/>
    <s v="Very High"/>
  </r>
  <r>
    <s v="Call_7633"/>
    <s v="C0001"/>
    <n v="17"/>
    <s v="R03"/>
    <d v="2023-04-15T00:00:00"/>
    <n v="69"/>
    <n v="4.5999999999999996"/>
    <n v="2023"/>
    <s v="Saturday"/>
    <x v="3"/>
    <n v="5"/>
    <s v="Short"/>
    <s v="Medium"/>
  </r>
  <r>
    <s v="Call_7634"/>
    <s v="C0006"/>
    <n v="128"/>
    <s v="R03"/>
    <d v="2023-04-15T00:00:00"/>
    <n v="140"/>
    <n v="3"/>
    <n v="2023"/>
    <s v="Saturday"/>
    <x v="1"/>
    <n v="3"/>
    <s v="Long"/>
    <s v="High"/>
  </r>
  <r>
    <s v="Call_7635"/>
    <s v="C0015"/>
    <n v="45"/>
    <s v="R01"/>
    <d v="2023-04-16T00:00:00"/>
    <n v="156"/>
    <n v="2.7"/>
    <n v="2023"/>
    <s v="Sunday"/>
    <x v="2"/>
    <n v="3"/>
    <s v="Medium"/>
    <s v="Very High"/>
  </r>
  <r>
    <s v="Call_7636"/>
    <s v="C0001"/>
    <n v="41"/>
    <s v="R03"/>
    <d v="2023-04-16T00:00:00"/>
    <n v="164"/>
    <n v="3.1"/>
    <n v="2023"/>
    <s v="Sunday"/>
    <x v="2"/>
    <n v="3"/>
    <s v="Medium"/>
    <s v="Very High"/>
  </r>
  <r>
    <s v="Call_7637"/>
    <s v="C0002"/>
    <n v="49"/>
    <s v="R03"/>
    <d v="2023-04-16T00:00:00"/>
    <n v="195"/>
    <n v="2.6"/>
    <n v="2023"/>
    <s v="Sunday"/>
    <x v="2"/>
    <n v="3"/>
    <s v="Medium"/>
    <s v="Very High"/>
  </r>
  <r>
    <s v="Call_7638"/>
    <s v="C0004"/>
    <n v="21"/>
    <s v="R04"/>
    <d v="2023-04-16T00:00:00"/>
    <n v="74"/>
    <n v="4.5999999999999996"/>
    <n v="2023"/>
    <s v="Sunday"/>
    <x v="3"/>
    <n v="5"/>
    <s v="Short"/>
    <s v="Medium"/>
  </r>
  <r>
    <s v="Call_7639"/>
    <s v="C0012"/>
    <n v="133"/>
    <s v="R01"/>
    <d v="2023-04-16T00:00:00"/>
    <n v="100"/>
    <n v="4"/>
    <n v="2023"/>
    <s v="Sunday"/>
    <x v="1"/>
    <n v="4"/>
    <s v="Long"/>
    <s v="Medium"/>
  </r>
  <r>
    <s v="Call_7640"/>
    <s v="C0003"/>
    <n v="135"/>
    <s v="R02"/>
    <d v="2023-04-16T00:00:00"/>
    <n v="185"/>
    <n v="4.5"/>
    <n v="2023"/>
    <s v="Sunday"/>
    <x v="1"/>
    <n v="5"/>
    <s v="Long"/>
    <s v="Very High"/>
  </r>
  <r>
    <s v="Call_7641"/>
    <s v="C0013"/>
    <n v="69"/>
    <s v="R01"/>
    <d v="2023-04-16T00:00:00"/>
    <n v="130"/>
    <n v="1.9"/>
    <n v="2023"/>
    <s v="Sunday"/>
    <x v="0"/>
    <n v="2"/>
    <s v="Long"/>
    <s v="High"/>
  </r>
  <r>
    <s v="Call_7642"/>
    <s v="C0010"/>
    <n v="110"/>
    <s v="R04"/>
    <d v="2023-04-17T00:00:00"/>
    <n v="21"/>
    <n v="2.6"/>
    <n v="2023"/>
    <s v="Monday"/>
    <x v="0"/>
    <n v="3"/>
    <s v="Long"/>
    <s v="Low"/>
  </r>
  <r>
    <s v="Call_7643"/>
    <s v="C0008"/>
    <n v="64"/>
    <s v="R05"/>
    <d v="2023-04-17T00:00:00"/>
    <n v="88"/>
    <n v="4.3"/>
    <n v="2023"/>
    <s v="Monday"/>
    <x v="0"/>
    <n v="4"/>
    <s v="Long"/>
    <s v="Medium"/>
  </r>
  <r>
    <s v="Call_7644"/>
    <s v="C0005"/>
    <n v="105"/>
    <s v="R03"/>
    <d v="2023-04-17T00:00:00"/>
    <n v="35"/>
    <n v="4.4000000000000004"/>
    <n v="2023"/>
    <s v="Monday"/>
    <x v="0"/>
    <n v="4"/>
    <s v="Long"/>
    <s v="Low"/>
  </r>
  <r>
    <s v="Call_7645"/>
    <s v="C0008"/>
    <n v="165"/>
    <s v="R02"/>
    <d v="2023-04-17T00:00:00"/>
    <n v="68"/>
    <n v="4.3"/>
    <n v="2023"/>
    <s v="Monday"/>
    <x v="1"/>
    <n v="4"/>
    <s v="Long"/>
    <s v="Medium"/>
  </r>
  <r>
    <s v="Call_7646"/>
    <s v="C0015"/>
    <n v="125"/>
    <s v="R02"/>
    <d v="2023-04-17T00:00:00"/>
    <n v="148"/>
    <n v="4.5"/>
    <n v="2023"/>
    <s v="Monday"/>
    <x v="1"/>
    <n v="5"/>
    <s v="Long"/>
    <s v="High"/>
  </r>
  <r>
    <s v="Call_7647"/>
    <s v="C0005"/>
    <n v="88"/>
    <s v="R05"/>
    <d v="2023-04-18T00:00:00"/>
    <n v="81"/>
    <n v="4.2"/>
    <n v="2023"/>
    <s v="Tuesday"/>
    <x v="0"/>
    <n v="4"/>
    <s v="Long"/>
    <s v="Medium"/>
  </r>
  <r>
    <s v="Call_7648"/>
    <s v="C0013"/>
    <n v="6"/>
    <s v="R05"/>
    <d v="2023-04-18T00:00:00"/>
    <n v="75"/>
    <n v="3.9"/>
    <n v="2023"/>
    <s v="Tuesday"/>
    <x v="4"/>
    <n v="4"/>
    <s v="Very Short"/>
    <s v="Medium"/>
  </r>
  <r>
    <s v="Call_7649"/>
    <s v="C0009"/>
    <n v="69"/>
    <s v="R01"/>
    <d v="2023-04-19T00:00:00"/>
    <n v="32"/>
    <n v="3.6"/>
    <n v="2023"/>
    <s v="Wednesday"/>
    <x v="0"/>
    <n v="4"/>
    <s v="Long"/>
    <s v="Low"/>
  </r>
  <r>
    <s v="Call_7650"/>
    <s v="C0001"/>
    <n v="107"/>
    <s v="R01"/>
    <d v="2023-04-19T00:00:00"/>
    <n v="156"/>
    <n v="3.8"/>
    <n v="2023"/>
    <s v="Wednesday"/>
    <x v="0"/>
    <n v="4"/>
    <s v="Long"/>
    <s v="Very High"/>
  </r>
  <r>
    <s v="Call_7651"/>
    <s v="C0004"/>
    <n v="90"/>
    <s v="R02"/>
    <d v="2023-04-19T00:00:00"/>
    <n v="99"/>
    <n v="4.9000000000000004"/>
    <n v="2023"/>
    <s v="Wednesday"/>
    <x v="0"/>
    <n v="5"/>
    <s v="Long"/>
    <s v="Medium"/>
  </r>
  <r>
    <s v="Call_7652"/>
    <s v="C0003"/>
    <n v="120"/>
    <s v="R03"/>
    <d v="2023-04-19T00:00:00"/>
    <n v="26"/>
    <n v="4"/>
    <n v="2023"/>
    <s v="Wednesday"/>
    <x v="0"/>
    <n v="4"/>
    <s v="Long"/>
    <s v="Low"/>
  </r>
  <r>
    <s v="Call_7653"/>
    <s v="C0011"/>
    <n v="47"/>
    <s v="R01"/>
    <d v="2023-04-19T00:00:00"/>
    <n v="84"/>
    <n v="4.0999999999999996"/>
    <n v="2023"/>
    <s v="Wednesday"/>
    <x v="2"/>
    <n v="4"/>
    <s v="Medium"/>
    <s v="Medium"/>
  </r>
  <r>
    <s v="Call_7654"/>
    <s v="C0014"/>
    <n v="60"/>
    <s v="R03"/>
    <d v="2023-04-19T00:00:00"/>
    <n v="84"/>
    <n v="4.8"/>
    <n v="2023"/>
    <s v="Wednesday"/>
    <x v="2"/>
    <n v="5"/>
    <s v="Medium"/>
    <s v="Medium"/>
  </r>
  <r>
    <s v="Call_7655"/>
    <s v="C0006"/>
    <n v="64"/>
    <s v="R02"/>
    <d v="2023-04-19T00:00:00"/>
    <n v="170"/>
    <n v="2.2999999999999998"/>
    <n v="2023"/>
    <s v="Wednesday"/>
    <x v="0"/>
    <n v="2"/>
    <s v="Long"/>
    <s v="Very High"/>
  </r>
  <r>
    <s v="Call_7656"/>
    <s v="C0008"/>
    <n v="62"/>
    <s v="R01"/>
    <d v="2023-04-19T00:00:00"/>
    <n v="35"/>
    <n v="4.4000000000000004"/>
    <n v="2023"/>
    <s v="Wednesday"/>
    <x v="0"/>
    <n v="4"/>
    <s v="Long"/>
    <s v="Low"/>
  </r>
  <r>
    <s v="Call_7657"/>
    <s v="C0010"/>
    <n v="88"/>
    <s v="R01"/>
    <d v="2023-04-20T00:00:00"/>
    <n v="35"/>
    <n v="3.8"/>
    <n v="2023"/>
    <s v="Thursday"/>
    <x v="0"/>
    <n v="4"/>
    <s v="Long"/>
    <s v="Low"/>
  </r>
  <r>
    <s v="Call_7658"/>
    <s v="C0015"/>
    <n v="116"/>
    <s v="R01"/>
    <d v="2023-04-20T00:00:00"/>
    <n v="132"/>
    <n v="5"/>
    <n v="2023"/>
    <s v="Thursday"/>
    <x v="0"/>
    <n v="5"/>
    <s v="Long"/>
    <s v="High"/>
  </r>
  <r>
    <s v="Call_7659"/>
    <s v="C0004"/>
    <n v="82"/>
    <s v="R05"/>
    <d v="2023-04-21T00:00:00"/>
    <n v="144"/>
    <n v="3.3"/>
    <n v="2023"/>
    <s v="Friday"/>
    <x v="0"/>
    <n v="3"/>
    <s v="Long"/>
    <s v="High"/>
  </r>
  <r>
    <s v="Call_7660"/>
    <s v="C0008"/>
    <n v="99"/>
    <s v="R02"/>
    <d v="2023-04-21T00:00:00"/>
    <n v="48"/>
    <n v="5"/>
    <n v="2023"/>
    <s v="Friday"/>
    <x v="0"/>
    <n v="5"/>
    <s v="Long"/>
    <s v="Low"/>
  </r>
  <r>
    <s v="Call_7661"/>
    <s v="C0008"/>
    <n v="55"/>
    <s v="R05"/>
    <d v="2023-04-21T00:00:00"/>
    <n v="200"/>
    <n v="2.2999999999999998"/>
    <n v="2023"/>
    <s v="Friday"/>
    <x v="2"/>
    <n v="2"/>
    <s v="Medium"/>
    <s v="Very High"/>
  </r>
  <r>
    <s v="Call_7662"/>
    <s v="C0006"/>
    <n v="61"/>
    <s v="R03"/>
    <d v="2023-04-21T00:00:00"/>
    <n v="38"/>
    <n v="4.8"/>
    <n v="2023"/>
    <s v="Friday"/>
    <x v="0"/>
    <n v="5"/>
    <s v="Long"/>
    <s v="Low"/>
  </r>
  <r>
    <s v="Call_7663"/>
    <s v="C0015"/>
    <n v="36"/>
    <s v="R04"/>
    <d v="2023-04-21T00:00:00"/>
    <n v="81"/>
    <n v="3.7"/>
    <n v="2023"/>
    <s v="Friday"/>
    <x v="2"/>
    <n v="4"/>
    <s v="Medium"/>
    <s v="Medium"/>
  </r>
  <r>
    <s v="Call_7664"/>
    <s v="C0004"/>
    <n v="123"/>
    <s v="R01"/>
    <d v="2023-04-21T00:00:00"/>
    <n v="120"/>
    <n v="4.2"/>
    <n v="2023"/>
    <s v="Friday"/>
    <x v="1"/>
    <n v="4"/>
    <s v="Long"/>
    <s v="High"/>
  </r>
  <r>
    <s v="Call_7665"/>
    <s v="C0002"/>
    <n v="24"/>
    <s v="R03"/>
    <d v="2023-04-21T00:00:00"/>
    <n v="74"/>
    <n v="4.8"/>
    <n v="2023"/>
    <s v="Friday"/>
    <x v="3"/>
    <n v="5"/>
    <s v="Short"/>
    <s v="Medium"/>
  </r>
  <r>
    <s v="Call_7666"/>
    <s v="C0004"/>
    <n v="43"/>
    <s v="R01"/>
    <d v="2023-04-22T00:00:00"/>
    <n v="128"/>
    <n v="4.7"/>
    <n v="2023"/>
    <s v="Saturday"/>
    <x v="2"/>
    <n v="5"/>
    <s v="Medium"/>
    <s v="High"/>
  </r>
  <r>
    <s v="Call_7667"/>
    <s v="C0014"/>
    <n v="95"/>
    <s v="R02"/>
    <d v="2023-04-22T00:00:00"/>
    <n v="21"/>
    <n v="3.9"/>
    <n v="2023"/>
    <s v="Saturday"/>
    <x v="0"/>
    <n v="4"/>
    <s v="Long"/>
    <s v="Low"/>
  </r>
  <r>
    <s v="Call_7668"/>
    <s v="C0008"/>
    <n v="53"/>
    <s v="R01"/>
    <d v="2023-04-22T00:00:00"/>
    <n v="110"/>
    <n v="4.3"/>
    <n v="2023"/>
    <s v="Saturday"/>
    <x v="2"/>
    <n v="4"/>
    <s v="Medium"/>
    <s v="High"/>
  </r>
  <r>
    <s v="Call_7669"/>
    <s v="C0004"/>
    <n v="113"/>
    <s v="R01"/>
    <d v="2023-04-22T00:00:00"/>
    <n v="145"/>
    <n v="4"/>
    <n v="2023"/>
    <s v="Saturday"/>
    <x v="0"/>
    <n v="4"/>
    <s v="Long"/>
    <s v="High"/>
  </r>
  <r>
    <s v="Call_7670"/>
    <s v="C0008"/>
    <n v="89"/>
    <s v="R04"/>
    <d v="2023-04-22T00:00:00"/>
    <n v="129"/>
    <n v="4"/>
    <n v="2023"/>
    <s v="Saturday"/>
    <x v="0"/>
    <n v="4"/>
    <s v="Long"/>
    <s v="High"/>
  </r>
  <r>
    <s v="Call_7671"/>
    <s v="C0010"/>
    <n v="84"/>
    <s v="R05"/>
    <d v="2023-04-22T00:00:00"/>
    <n v="156"/>
    <n v="3.2"/>
    <n v="2023"/>
    <s v="Saturday"/>
    <x v="0"/>
    <n v="3"/>
    <s v="Long"/>
    <s v="Very High"/>
  </r>
  <r>
    <s v="Call_7672"/>
    <s v="C0002"/>
    <n v="130"/>
    <s v="R01"/>
    <d v="2023-04-23T00:00:00"/>
    <n v="120"/>
    <n v="3.8"/>
    <n v="2023"/>
    <s v="Sunday"/>
    <x v="1"/>
    <n v="4"/>
    <s v="Long"/>
    <s v="High"/>
  </r>
  <r>
    <s v="Call_7673"/>
    <s v="C0014"/>
    <n v="163"/>
    <s v="R04"/>
    <d v="2023-04-23T00:00:00"/>
    <n v="62"/>
    <n v="3.4"/>
    <n v="2023"/>
    <s v="Sunday"/>
    <x v="1"/>
    <n v="3"/>
    <s v="Long"/>
    <s v="Medium"/>
  </r>
  <r>
    <s v="Call_7674"/>
    <s v="C0009"/>
    <n v="127"/>
    <s v="R01"/>
    <d v="2023-04-23T00:00:00"/>
    <n v="160"/>
    <n v="3.2"/>
    <n v="2023"/>
    <s v="Sunday"/>
    <x v="1"/>
    <n v="3"/>
    <s v="Long"/>
    <s v="Very High"/>
  </r>
  <r>
    <s v="Call_7675"/>
    <s v="C0004"/>
    <n v="50"/>
    <s v="R01"/>
    <d v="2023-04-23T00:00:00"/>
    <n v="56"/>
    <n v="4.7"/>
    <n v="2023"/>
    <s v="Sunday"/>
    <x v="2"/>
    <n v="5"/>
    <s v="Medium"/>
    <s v="Medium"/>
  </r>
  <r>
    <s v="Call_7676"/>
    <s v="C0007"/>
    <n v="88"/>
    <s v="R03"/>
    <d v="2023-04-23T00:00:00"/>
    <n v="72"/>
    <n v="4"/>
    <n v="2023"/>
    <s v="Sunday"/>
    <x v="0"/>
    <n v="4"/>
    <s v="Long"/>
    <s v="Medium"/>
  </r>
  <r>
    <s v="Call_7677"/>
    <s v="C0004"/>
    <n v="139"/>
    <s v="R02"/>
    <d v="2023-04-24T00:00:00"/>
    <n v="81"/>
    <n v="4.8"/>
    <n v="2023"/>
    <s v="Monday"/>
    <x v="1"/>
    <n v="5"/>
    <s v="Long"/>
    <s v="Medium"/>
  </r>
  <r>
    <s v="Call_7678"/>
    <s v="C0014"/>
    <n v="111"/>
    <s v="R01"/>
    <d v="2023-04-24T00:00:00"/>
    <n v="144"/>
    <n v="3.9"/>
    <n v="2023"/>
    <s v="Monday"/>
    <x v="0"/>
    <n v="4"/>
    <s v="Long"/>
    <s v="High"/>
  </r>
  <r>
    <s v="Call_7679"/>
    <s v="C0005"/>
    <n v="115"/>
    <s v="R02"/>
    <d v="2023-04-24T00:00:00"/>
    <n v="111"/>
    <n v="4.3"/>
    <n v="2023"/>
    <s v="Monday"/>
    <x v="0"/>
    <n v="4"/>
    <s v="Long"/>
    <s v="High"/>
  </r>
  <r>
    <s v="Call_7680"/>
    <s v="C0008"/>
    <n v="26"/>
    <s v="R04"/>
    <d v="2023-04-24T00:00:00"/>
    <n v="43"/>
    <n v="4.2"/>
    <n v="2023"/>
    <s v="Monday"/>
    <x v="3"/>
    <n v="4"/>
    <s v="Short"/>
    <s v="Low"/>
  </r>
  <r>
    <s v="Call_7681"/>
    <s v="C0010"/>
    <n v="131"/>
    <s v="R03"/>
    <d v="2023-04-24T00:00:00"/>
    <n v="41"/>
    <n v="4.9000000000000004"/>
    <n v="2023"/>
    <s v="Monday"/>
    <x v="1"/>
    <n v="5"/>
    <s v="Long"/>
    <s v="Low"/>
  </r>
  <r>
    <s v="Call_7682"/>
    <s v="C0005"/>
    <n v="27"/>
    <s v="R03"/>
    <d v="2023-04-24T00:00:00"/>
    <n v="74"/>
    <n v="4"/>
    <n v="2023"/>
    <s v="Monday"/>
    <x v="3"/>
    <n v="4"/>
    <s v="Short"/>
    <s v="Medium"/>
  </r>
  <r>
    <s v="Call_7683"/>
    <s v="C0012"/>
    <n v="75"/>
    <s v="R01"/>
    <d v="2023-04-24T00:00:00"/>
    <n v="43"/>
    <n v="4.9000000000000004"/>
    <n v="2023"/>
    <s v="Monday"/>
    <x v="0"/>
    <n v="5"/>
    <s v="Long"/>
    <s v="Low"/>
  </r>
  <r>
    <s v="Call_7684"/>
    <s v="C0006"/>
    <n v="123"/>
    <s v="R03"/>
    <d v="2023-04-24T00:00:00"/>
    <n v="128"/>
    <n v="3.6"/>
    <n v="2023"/>
    <s v="Monday"/>
    <x v="1"/>
    <n v="4"/>
    <s v="Long"/>
    <s v="High"/>
  </r>
  <r>
    <s v="Call_7685"/>
    <s v="C0003"/>
    <n v="129"/>
    <s v="R03"/>
    <d v="2023-04-25T00:00:00"/>
    <n v="144"/>
    <n v="4.0999999999999996"/>
    <n v="2023"/>
    <s v="Tuesday"/>
    <x v="1"/>
    <n v="4"/>
    <s v="Long"/>
    <s v="High"/>
  </r>
  <r>
    <s v="Call_7686"/>
    <s v="C0012"/>
    <n v="124"/>
    <s v="R02"/>
    <d v="2023-04-25T00:00:00"/>
    <n v="132"/>
    <n v="4.9000000000000004"/>
    <n v="2023"/>
    <s v="Tuesday"/>
    <x v="1"/>
    <n v="5"/>
    <s v="Long"/>
    <s v="High"/>
  </r>
  <r>
    <s v="Call_7687"/>
    <s v="C0005"/>
    <n v="108"/>
    <s v="R02"/>
    <d v="2023-04-25T00:00:00"/>
    <n v="180"/>
    <n v="3.9"/>
    <n v="2023"/>
    <s v="Tuesday"/>
    <x v="0"/>
    <n v="4"/>
    <s v="Long"/>
    <s v="Very High"/>
  </r>
  <r>
    <s v="Call_7688"/>
    <s v="C0011"/>
    <n v="15"/>
    <s v="R02"/>
    <d v="2023-04-25T00:00:00"/>
    <n v="31"/>
    <n v="4.0999999999999996"/>
    <n v="2023"/>
    <s v="Tuesday"/>
    <x v="3"/>
    <n v="4"/>
    <s v="Very Short"/>
    <s v="Low"/>
  </r>
  <r>
    <s v="Call_7689"/>
    <s v="C0005"/>
    <n v="66"/>
    <s v="R02"/>
    <d v="2023-04-25T00:00:00"/>
    <n v="102"/>
    <n v="3.8"/>
    <n v="2023"/>
    <s v="Tuesday"/>
    <x v="0"/>
    <n v="4"/>
    <s v="Long"/>
    <s v="High"/>
  </r>
  <r>
    <s v="Call_7690"/>
    <s v="C0007"/>
    <n v="126"/>
    <s v="R01"/>
    <d v="2023-04-26T00:00:00"/>
    <n v="175"/>
    <n v="4.8"/>
    <n v="2023"/>
    <s v="Wednesday"/>
    <x v="1"/>
    <n v="5"/>
    <s v="Long"/>
    <s v="Very High"/>
  </r>
  <r>
    <s v="Call_7691"/>
    <s v="C0012"/>
    <n v="26"/>
    <s v="R05"/>
    <d v="2023-04-26T00:00:00"/>
    <n v="87"/>
    <n v="4.7"/>
    <n v="2023"/>
    <s v="Wednesday"/>
    <x v="3"/>
    <n v="5"/>
    <s v="Short"/>
    <s v="Medium"/>
  </r>
  <r>
    <s v="Call_7692"/>
    <s v="C0002"/>
    <n v="105"/>
    <s v="R01"/>
    <d v="2023-04-26T00:00:00"/>
    <n v="66"/>
    <n v="4.2"/>
    <n v="2023"/>
    <s v="Wednesday"/>
    <x v="0"/>
    <n v="4"/>
    <s v="Long"/>
    <s v="Medium"/>
  </r>
  <r>
    <s v="Call_7693"/>
    <s v="C0002"/>
    <n v="31"/>
    <s v="R01"/>
    <d v="2023-04-26T00:00:00"/>
    <n v="25"/>
    <n v="3.2"/>
    <n v="2023"/>
    <s v="Wednesday"/>
    <x v="2"/>
    <n v="3"/>
    <s v="Medium"/>
    <s v="Low"/>
  </r>
  <r>
    <s v="Call_7694"/>
    <s v="C0005"/>
    <n v="109"/>
    <s v="R02"/>
    <d v="2023-04-26T00:00:00"/>
    <n v="126"/>
    <n v="3.4"/>
    <n v="2023"/>
    <s v="Wednesday"/>
    <x v="0"/>
    <n v="3"/>
    <s v="Long"/>
    <s v="High"/>
  </r>
  <r>
    <s v="Call_7695"/>
    <s v="C0003"/>
    <n v="113"/>
    <s v="R04"/>
    <d v="2023-04-27T00:00:00"/>
    <n v="42"/>
    <n v="4.5999999999999996"/>
    <n v="2023"/>
    <s v="Thursday"/>
    <x v="0"/>
    <n v="5"/>
    <s v="Long"/>
    <s v="Low"/>
  </r>
  <r>
    <s v="Call_7696"/>
    <s v="C0007"/>
    <n v="101"/>
    <s v="R05"/>
    <d v="2023-04-27T00:00:00"/>
    <n v="225"/>
    <n v="1.9"/>
    <n v="2023"/>
    <s v="Thursday"/>
    <x v="0"/>
    <n v="2"/>
    <s v="Long"/>
    <s v="Very High"/>
  </r>
  <r>
    <s v="Call_7697"/>
    <s v="C0014"/>
    <n v="156"/>
    <s v="R05"/>
    <d v="2023-04-27T00:00:00"/>
    <n v="42"/>
    <n v="3.3"/>
    <n v="2023"/>
    <s v="Thursday"/>
    <x v="1"/>
    <n v="3"/>
    <s v="Long"/>
    <s v="Low"/>
  </r>
  <r>
    <s v="Call_7698"/>
    <s v="C0005"/>
    <n v="145"/>
    <s v="R04"/>
    <d v="2023-04-28T00:00:00"/>
    <n v="110"/>
    <n v="3.1"/>
    <n v="2023"/>
    <s v="Friday"/>
    <x v="1"/>
    <n v="3"/>
    <s v="Long"/>
    <s v="High"/>
  </r>
  <r>
    <s v="Call_7699"/>
    <s v="C0006"/>
    <n v="36"/>
    <s v="R02"/>
    <d v="2023-04-28T00:00:00"/>
    <n v="225"/>
    <n v="4.8"/>
    <n v="2023"/>
    <s v="Friday"/>
    <x v="2"/>
    <n v="5"/>
    <s v="Medium"/>
    <s v="Very High"/>
  </r>
  <r>
    <s v="Call_7700"/>
    <s v="C0002"/>
    <n v="135"/>
    <s v="R03"/>
    <d v="2023-04-29T00:00:00"/>
    <n v="125"/>
    <n v="3.3"/>
    <n v="2023"/>
    <s v="Saturday"/>
    <x v="1"/>
    <n v="3"/>
    <s v="Long"/>
    <s v="High"/>
  </r>
  <r>
    <s v="Call_7701"/>
    <s v="C0007"/>
    <n v="81"/>
    <s v="R02"/>
    <d v="2023-04-29T00:00:00"/>
    <n v="78"/>
    <n v="2.9"/>
    <n v="2023"/>
    <s v="Saturday"/>
    <x v="0"/>
    <n v="3"/>
    <s v="Long"/>
    <s v="Medium"/>
  </r>
  <r>
    <s v="Call_7702"/>
    <s v="C0007"/>
    <n v="81"/>
    <s v="R04"/>
    <d v="2023-04-29T00:00:00"/>
    <n v="40"/>
    <n v="2.4"/>
    <n v="2023"/>
    <s v="Saturday"/>
    <x v="0"/>
    <n v="2"/>
    <s v="Long"/>
    <s v="Low"/>
  </r>
  <r>
    <s v="Call_7703"/>
    <s v="C0009"/>
    <n v="93"/>
    <s v="R01"/>
    <d v="2023-04-29T00:00:00"/>
    <n v="150"/>
    <n v="4.5999999999999996"/>
    <n v="2023"/>
    <s v="Saturday"/>
    <x v="0"/>
    <n v="5"/>
    <s v="Long"/>
    <s v="High"/>
  </r>
  <r>
    <s v="Call_7704"/>
    <s v="C0005"/>
    <n v="14"/>
    <s v="R02"/>
    <d v="2023-04-29T00:00:00"/>
    <n v="96"/>
    <n v="4.8"/>
    <n v="2023"/>
    <s v="Saturday"/>
    <x v="3"/>
    <n v="5"/>
    <s v="Very Short"/>
    <s v="Medium"/>
  </r>
  <r>
    <s v="Call_7705"/>
    <s v="C0002"/>
    <n v="95"/>
    <s v="R04"/>
    <d v="2023-04-30T00:00:00"/>
    <n v="75"/>
    <n v="4.8"/>
    <n v="2023"/>
    <s v="Sunday"/>
    <x v="0"/>
    <n v="5"/>
    <s v="Long"/>
    <s v="Medium"/>
  </r>
  <r>
    <s v="Call_7706"/>
    <s v="C0009"/>
    <n v="81"/>
    <s v="R04"/>
    <d v="2023-04-30T00:00:00"/>
    <n v="60"/>
    <n v="3.6"/>
    <n v="2023"/>
    <s v="Sunday"/>
    <x v="0"/>
    <n v="4"/>
    <s v="Long"/>
    <s v="Medium"/>
  </r>
  <r>
    <s v="Call_7707"/>
    <s v="C0008"/>
    <n v="60"/>
    <s v="R02"/>
    <d v="2023-05-01T00:00:00"/>
    <n v="41"/>
    <n v="4.8"/>
    <n v="2023"/>
    <s v="Monday"/>
    <x v="2"/>
    <n v="5"/>
    <s v="Medium"/>
    <s v="Low"/>
  </r>
  <r>
    <s v="Call_7708"/>
    <s v="C0013"/>
    <n v="137"/>
    <s v="R01"/>
    <d v="2023-05-01T00:00:00"/>
    <n v="20"/>
    <n v="4.2"/>
    <n v="2023"/>
    <s v="Monday"/>
    <x v="1"/>
    <n v="4"/>
    <s v="Long"/>
    <s v="Low"/>
  </r>
  <r>
    <s v="Call_7709"/>
    <s v="C0004"/>
    <n v="112"/>
    <s v="R03"/>
    <d v="2023-05-01T00:00:00"/>
    <n v="84"/>
    <n v="2.6"/>
    <n v="2023"/>
    <s v="Monday"/>
    <x v="0"/>
    <n v="3"/>
    <s v="Long"/>
    <s v="Medium"/>
  </r>
  <r>
    <s v="Call_7710"/>
    <s v="C0002"/>
    <n v="76"/>
    <s v="R05"/>
    <d v="2023-05-01T00:00:00"/>
    <n v="140"/>
    <n v="3.7"/>
    <n v="2023"/>
    <s v="Monday"/>
    <x v="0"/>
    <n v="4"/>
    <s v="Long"/>
    <s v="High"/>
  </r>
  <r>
    <s v="Call_7711"/>
    <s v="C0015"/>
    <n v="73"/>
    <s v="R02"/>
    <d v="2023-05-01T00:00:00"/>
    <n v="66"/>
    <n v="4.8"/>
    <n v="2023"/>
    <s v="Monday"/>
    <x v="0"/>
    <n v="5"/>
    <s v="Long"/>
    <s v="Medium"/>
  </r>
  <r>
    <s v="Call_7712"/>
    <s v="C0010"/>
    <n v="119"/>
    <s v="R01"/>
    <d v="2023-05-01T00:00:00"/>
    <n v="105"/>
    <n v="4.7"/>
    <n v="2023"/>
    <s v="Monday"/>
    <x v="0"/>
    <n v="5"/>
    <s v="Long"/>
    <s v="High"/>
  </r>
  <r>
    <s v="Call_7713"/>
    <s v="C0003"/>
    <n v="135"/>
    <s v="R04"/>
    <d v="2023-05-02T00:00:00"/>
    <n v="104"/>
    <n v="4.0999999999999996"/>
    <n v="2023"/>
    <s v="Tuesday"/>
    <x v="1"/>
    <n v="4"/>
    <s v="Long"/>
    <s v="High"/>
  </r>
  <r>
    <s v="Call_7714"/>
    <s v="C0013"/>
    <n v="41"/>
    <s v="R03"/>
    <d v="2023-05-02T00:00:00"/>
    <n v="123"/>
    <n v="3.2"/>
    <n v="2023"/>
    <s v="Tuesday"/>
    <x v="2"/>
    <n v="3"/>
    <s v="Medium"/>
    <s v="High"/>
  </r>
  <r>
    <s v="Call_7715"/>
    <s v="C0005"/>
    <n v="35"/>
    <s v="R04"/>
    <d v="2023-05-03T00:00:00"/>
    <n v="215"/>
    <n v="4.3"/>
    <n v="2023"/>
    <s v="Wednesday"/>
    <x v="2"/>
    <n v="4"/>
    <s v="Medium"/>
    <s v="Very High"/>
  </r>
  <r>
    <s v="Call_7716"/>
    <s v="C0003"/>
    <n v="96"/>
    <s v="R02"/>
    <d v="2023-05-03T00:00:00"/>
    <n v="46"/>
    <n v="0.7"/>
    <n v="2023"/>
    <s v="Wednesday"/>
    <x v="0"/>
    <n v="1"/>
    <s v="Long"/>
    <s v="Low"/>
  </r>
  <r>
    <s v="Call_7717"/>
    <s v="C0009"/>
    <n v="61"/>
    <s v="R03"/>
    <d v="2023-05-03T00:00:00"/>
    <n v="115"/>
    <n v="3.7"/>
    <n v="2023"/>
    <s v="Wednesday"/>
    <x v="0"/>
    <n v="4"/>
    <s v="Long"/>
    <s v="High"/>
  </r>
  <r>
    <s v="Call_7718"/>
    <s v="C0003"/>
    <n v="91"/>
    <s v="R03"/>
    <d v="2023-05-03T00:00:00"/>
    <n v="124"/>
    <n v="3.9"/>
    <n v="2023"/>
    <s v="Wednesday"/>
    <x v="0"/>
    <n v="4"/>
    <s v="Long"/>
    <s v="High"/>
  </r>
  <r>
    <s v="Call_7719"/>
    <s v="C0001"/>
    <n v="30"/>
    <s v="R03"/>
    <d v="2023-05-04T00:00:00"/>
    <n v="205"/>
    <n v="4.5"/>
    <n v="2023"/>
    <s v="Thursday"/>
    <x v="3"/>
    <n v="5"/>
    <s v="Short"/>
    <s v="Very High"/>
  </r>
  <r>
    <s v="Call_7720"/>
    <s v="C0008"/>
    <n v="111"/>
    <s v="R01"/>
    <d v="2023-05-04T00:00:00"/>
    <n v="90"/>
    <n v="2.8"/>
    <n v="2023"/>
    <s v="Thursday"/>
    <x v="0"/>
    <n v="3"/>
    <s v="Long"/>
    <s v="Medium"/>
  </r>
  <r>
    <s v="Call_7721"/>
    <s v="C0009"/>
    <n v="81"/>
    <s v="R02"/>
    <d v="2023-05-04T00:00:00"/>
    <n v="92"/>
    <n v="4.9000000000000004"/>
    <n v="2023"/>
    <s v="Thursday"/>
    <x v="0"/>
    <n v="5"/>
    <s v="Long"/>
    <s v="Medium"/>
  </r>
  <r>
    <s v="Call_7722"/>
    <s v="C0002"/>
    <n v="40"/>
    <s v="R04"/>
    <d v="2023-05-06T00:00:00"/>
    <n v="108"/>
    <n v="4.2"/>
    <n v="2023"/>
    <s v="Saturday"/>
    <x v="2"/>
    <n v="4"/>
    <s v="Medium"/>
    <s v="High"/>
  </r>
  <r>
    <s v="Call_7723"/>
    <s v="C0008"/>
    <n v="143"/>
    <s v="R04"/>
    <d v="2023-05-06T00:00:00"/>
    <n v="54"/>
    <n v="4.4000000000000004"/>
    <n v="2023"/>
    <s v="Saturday"/>
    <x v="1"/>
    <n v="4"/>
    <s v="Long"/>
    <s v="Medium"/>
  </r>
  <r>
    <s v="Call_7724"/>
    <s v="C0002"/>
    <n v="70"/>
    <s v="R04"/>
    <d v="2023-05-07T00:00:00"/>
    <n v="44"/>
    <n v="3.5"/>
    <n v="2023"/>
    <s v="Sunday"/>
    <x v="0"/>
    <n v="4"/>
    <s v="Long"/>
    <s v="Low"/>
  </r>
  <r>
    <s v="Call_7725"/>
    <s v="C0015"/>
    <n v="137"/>
    <s v="R04"/>
    <d v="2023-05-07T00:00:00"/>
    <n v="44"/>
    <n v="4.7"/>
    <n v="2023"/>
    <s v="Sunday"/>
    <x v="1"/>
    <n v="5"/>
    <s v="Long"/>
    <s v="Low"/>
  </r>
  <r>
    <s v="Call_7726"/>
    <s v="C0003"/>
    <n v="52"/>
    <s v="R02"/>
    <d v="2023-05-08T00:00:00"/>
    <n v="37"/>
    <n v="4.9000000000000004"/>
    <n v="2023"/>
    <s v="Monday"/>
    <x v="2"/>
    <n v="5"/>
    <s v="Medium"/>
    <s v="Low"/>
  </r>
  <r>
    <s v="Call_7727"/>
    <s v="C0004"/>
    <n v="31"/>
    <s v="R01"/>
    <d v="2023-05-08T00:00:00"/>
    <n v="180"/>
    <n v="4.5"/>
    <n v="2023"/>
    <s v="Monday"/>
    <x v="2"/>
    <n v="5"/>
    <s v="Medium"/>
    <s v="Very High"/>
  </r>
  <r>
    <s v="Call_7728"/>
    <s v="C0003"/>
    <n v="114"/>
    <s v="R03"/>
    <d v="2023-05-08T00:00:00"/>
    <n v="105"/>
    <n v="4.9000000000000004"/>
    <n v="2023"/>
    <s v="Monday"/>
    <x v="0"/>
    <n v="5"/>
    <s v="Long"/>
    <s v="High"/>
  </r>
  <r>
    <s v="Call_7729"/>
    <s v="C0015"/>
    <n v="73"/>
    <s v="R05"/>
    <d v="2023-05-08T00:00:00"/>
    <n v="87"/>
    <n v="3.6"/>
    <n v="2023"/>
    <s v="Monday"/>
    <x v="0"/>
    <n v="4"/>
    <s v="Long"/>
    <s v="Medium"/>
  </r>
  <r>
    <s v="Call_7730"/>
    <s v="C0009"/>
    <n v="25"/>
    <s v="R01"/>
    <d v="2023-05-08T00:00:00"/>
    <n v="52"/>
    <n v="3.8"/>
    <n v="2023"/>
    <s v="Monday"/>
    <x v="3"/>
    <n v="4"/>
    <s v="Short"/>
    <s v="Medium"/>
  </r>
  <r>
    <s v="Call_7731"/>
    <s v="C0011"/>
    <n v="44"/>
    <s v="R03"/>
    <d v="2023-05-08T00:00:00"/>
    <n v="63"/>
    <n v="3.5"/>
    <n v="2023"/>
    <s v="Monday"/>
    <x v="2"/>
    <n v="4"/>
    <s v="Medium"/>
    <s v="Medium"/>
  </r>
  <r>
    <s v="Call_7732"/>
    <s v="C0006"/>
    <n v="34"/>
    <s v="R02"/>
    <d v="2023-05-09T00:00:00"/>
    <n v="195"/>
    <n v="4.8"/>
    <n v="2023"/>
    <s v="Tuesday"/>
    <x v="2"/>
    <n v="5"/>
    <s v="Medium"/>
    <s v="Very High"/>
  </r>
  <r>
    <s v="Call_7733"/>
    <s v="C0008"/>
    <n v="89"/>
    <s v="R04"/>
    <d v="2023-05-10T00:00:00"/>
    <n v="176"/>
    <n v="4.5"/>
    <n v="2023"/>
    <s v="Wednesday"/>
    <x v="0"/>
    <n v="5"/>
    <s v="Long"/>
    <s v="Very High"/>
  </r>
  <r>
    <s v="Call_7734"/>
    <s v="C0010"/>
    <n v="54"/>
    <s v="R01"/>
    <d v="2023-05-11T00:00:00"/>
    <n v="31"/>
    <n v="3.3"/>
    <n v="2023"/>
    <s v="Thursday"/>
    <x v="2"/>
    <n v="3"/>
    <s v="Medium"/>
    <s v="Low"/>
  </r>
  <r>
    <s v="Call_7735"/>
    <s v="C0005"/>
    <n v="25"/>
    <s v="R01"/>
    <d v="2023-05-12T00:00:00"/>
    <n v="27"/>
    <n v="3.2"/>
    <n v="2023"/>
    <s v="Friday"/>
    <x v="3"/>
    <n v="3"/>
    <s v="Short"/>
    <s v="Low"/>
  </r>
  <r>
    <s v="Call_7736"/>
    <s v="C0013"/>
    <n v="91"/>
    <s v="R04"/>
    <d v="2023-05-12T00:00:00"/>
    <n v="76"/>
    <n v="4.9000000000000004"/>
    <n v="2023"/>
    <s v="Friday"/>
    <x v="0"/>
    <n v="5"/>
    <s v="Long"/>
    <s v="Medium"/>
  </r>
  <r>
    <s v="Call_7737"/>
    <s v="C0011"/>
    <n v="144"/>
    <s v="R03"/>
    <d v="2023-05-12T00:00:00"/>
    <n v="62"/>
    <n v="4.8"/>
    <n v="2023"/>
    <s v="Friday"/>
    <x v="1"/>
    <n v="5"/>
    <s v="Long"/>
    <s v="Medium"/>
  </r>
  <r>
    <s v="Call_7738"/>
    <s v="C0013"/>
    <n v="81"/>
    <s v="R02"/>
    <d v="2023-05-14T00:00:00"/>
    <n v="100"/>
    <n v="1.3"/>
    <n v="2023"/>
    <s v="Sunday"/>
    <x v="0"/>
    <n v="1"/>
    <s v="Long"/>
    <s v="Medium"/>
  </r>
  <r>
    <s v="Call_7739"/>
    <s v="C0001"/>
    <n v="92"/>
    <s v="R01"/>
    <d v="2023-05-14T00:00:00"/>
    <n v="44"/>
    <n v="3.1"/>
    <n v="2023"/>
    <s v="Sunday"/>
    <x v="0"/>
    <n v="3"/>
    <s v="Long"/>
    <s v="Low"/>
  </r>
  <r>
    <s v="Call_7740"/>
    <s v="C0005"/>
    <n v="115"/>
    <s v="R04"/>
    <d v="2023-05-14T00:00:00"/>
    <n v="168"/>
    <n v="3.4"/>
    <n v="2023"/>
    <s v="Sunday"/>
    <x v="0"/>
    <n v="3"/>
    <s v="Long"/>
    <s v="Very High"/>
  </r>
  <r>
    <s v="Call_7741"/>
    <s v="C0007"/>
    <n v="56"/>
    <s v="R04"/>
    <d v="2023-05-15T00:00:00"/>
    <n v="200"/>
    <n v="4.5999999999999996"/>
    <n v="2023"/>
    <s v="Monday"/>
    <x v="2"/>
    <n v="5"/>
    <s v="Medium"/>
    <s v="Very High"/>
  </r>
  <r>
    <s v="Call_7742"/>
    <s v="C0004"/>
    <n v="154"/>
    <s v="R01"/>
    <d v="2023-05-15T00:00:00"/>
    <n v="84"/>
    <n v="4.3"/>
    <n v="2023"/>
    <s v="Monday"/>
    <x v="1"/>
    <n v="4"/>
    <s v="Long"/>
    <s v="Medium"/>
  </r>
  <r>
    <s v="Call_7743"/>
    <s v="C0008"/>
    <n v="51"/>
    <s v="R04"/>
    <d v="2023-05-16T00:00:00"/>
    <n v="117"/>
    <n v="2.7"/>
    <n v="2023"/>
    <s v="Tuesday"/>
    <x v="2"/>
    <n v="3"/>
    <s v="Medium"/>
    <s v="High"/>
  </r>
  <r>
    <s v="Call_7744"/>
    <s v="C0006"/>
    <n v="21"/>
    <s v="R02"/>
    <d v="2023-05-16T00:00:00"/>
    <n v="63"/>
    <n v="4.2"/>
    <n v="2023"/>
    <s v="Tuesday"/>
    <x v="3"/>
    <n v="4"/>
    <s v="Short"/>
    <s v="Medium"/>
  </r>
  <r>
    <s v="Call_7745"/>
    <s v="C0005"/>
    <n v="80"/>
    <s v="R04"/>
    <d v="2023-05-17T00:00:00"/>
    <n v="145"/>
    <n v="4.9000000000000004"/>
    <n v="2023"/>
    <s v="Wednesday"/>
    <x v="0"/>
    <n v="5"/>
    <s v="Long"/>
    <s v="High"/>
  </r>
  <r>
    <s v="Call_7746"/>
    <s v="C0008"/>
    <n v="139"/>
    <s v="R01"/>
    <d v="2023-05-17T00:00:00"/>
    <n v="220"/>
    <n v="3.2"/>
    <n v="2023"/>
    <s v="Wednesday"/>
    <x v="1"/>
    <n v="3"/>
    <s v="Long"/>
    <s v="Very High"/>
  </r>
  <r>
    <s v="Call_7747"/>
    <s v="C0002"/>
    <n v="50"/>
    <s v="R02"/>
    <d v="2023-05-17T00:00:00"/>
    <n v="26"/>
    <n v="4.7"/>
    <n v="2023"/>
    <s v="Wednesday"/>
    <x v="2"/>
    <n v="5"/>
    <s v="Medium"/>
    <s v="Low"/>
  </r>
  <r>
    <s v="Call_7748"/>
    <s v="C0005"/>
    <n v="88"/>
    <s v="R04"/>
    <d v="2023-05-17T00:00:00"/>
    <n v="78"/>
    <n v="4.3"/>
    <n v="2023"/>
    <s v="Wednesday"/>
    <x v="0"/>
    <n v="4"/>
    <s v="Long"/>
    <s v="Medium"/>
  </r>
  <r>
    <s v="Call_7749"/>
    <s v="C0010"/>
    <n v="19"/>
    <s v="R03"/>
    <d v="2023-05-18T00:00:00"/>
    <n v="132"/>
    <n v="4.3"/>
    <n v="2023"/>
    <s v="Thursday"/>
    <x v="3"/>
    <n v="4"/>
    <s v="Short"/>
    <s v="High"/>
  </r>
  <r>
    <s v="Call_7750"/>
    <s v="C0009"/>
    <n v="104"/>
    <s v="R03"/>
    <d v="2023-05-19T00:00:00"/>
    <n v="68"/>
    <n v="3.7"/>
    <n v="2023"/>
    <s v="Friday"/>
    <x v="0"/>
    <n v="4"/>
    <s v="Long"/>
    <s v="Medium"/>
  </r>
  <r>
    <s v="Call_7751"/>
    <s v="C0004"/>
    <n v="67"/>
    <s v="R01"/>
    <d v="2023-05-21T00:00:00"/>
    <n v="129"/>
    <n v="4.7"/>
    <n v="2023"/>
    <s v="Sunday"/>
    <x v="0"/>
    <n v="5"/>
    <s v="Long"/>
    <s v="High"/>
  </r>
  <r>
    <s v="Call_7752"/>
    <s v="C0012"/>
    <n v="107"/>
    <s v="R03"/>
    <d v="2023-05-21T00:00:00"/>
    <n v="115"/>
    <n v="4.9000000000000004"/>
    <n v="2023"/>
    <s v="Sunday"/>
    <x v="0"/>
    <n v="5"/>
    <s v="Long"/>
    <s v="High"/>
  </r>
  <r>
    <s v="Call_7753"/>
    <s v="C0012"/>
    <n v="93"/>
    <s v="R03"/>
    <d v="2023-05-21T00:00:00"/>
    <n v="128"/>
    <n v="3.9"/>
    <n v="2023"/>
    <s v="Sunday"/>
    <x v="0"/>
    <n v="4"/>
    <s v="Long"/>
    <s v="High"/>
  </r>
  <r>
    <s v="Call_7754"/>
    <s v="C0012"/>
    <n v="117"/>
    <s v="R01"/>
    <d v="2023-05-21T00:00:00"/>
    <n v="90"/>
    <n v="4.5"/>
    <n v="2023"/>
    <s v="Sunday"/>
    <x v="0"/>
    <n v="5"/>
    <s v="Long"/>
    <s v="Medium"/>
  </r>
  <r>
    <s v="Call_7755"/>
    <s v="C0002"/>
    <n v="76"/>
    <s v="R04"/>
    <d v="2023-05-22T00:00:00"/>
    <n v="39"/>
    <n v="4.5999999999999996"/>
    <n v="2023"/>
    <s v="Monday"/>
    <x v="0"/>
    <n v="5"/>
    <s v="Long"/>
    <s v="Low"/>
  </r>
  <r>
    <s v="Call_7756"/>
    <s v="C0010"/>
    <n v="64"/>
    <s v="R03"/>
    <d v="2023-05-22T00:00:00"/>
    <n v="132"/>
    <n v="3.3"/>
    <n v="2023"/>
    <s v="Monday"/>
    <x v="0"/>
    <n v="3"/>
    <s v="Long"/>
    <s v="High"/>
  </r>
  <r>
    <s v="Call_7757"/>
    <s v="C0011"/>
    <n v="33"/>
    <s v="R03"/>
    <d v="2023-05-22T00:00:00"/>
    <n v="170"/>
    <n v="3.8"/>
    <n v="2023"/>
    <s v="Monday"/>
    <x v="2"/>
    <n v="4"/>
    <s v="Medium"/>
    <s v="Very High"/>
  </r>
  <r>
    <s v="Call_7758"/>
    <s v="C0012"/>
    <n v="115"/>
    <s v="R01"/>
    <d v="2023-05-22T00:00:00"/>
    <n v="42"/>
    <n v="4.7"/>
    <n v="2023"/>
    <s v="Monday"/>
    <x v="0"/>
    <n v="5"/>
    <s v="Long"/>
    <s v="Low"/>
  </r>
  <r>
    <s v="Call_7759"/>
    <s v="C0014"/>
    <n v="155"/>
    <s v="R04"/>
    <d v="2023-05-23T00:00:00"/>
    <n v="37"/>
    <n v="4"/>
    <n v="2023"/>
    <s v="Tuesday"/>
    <x v="1"/>
    <n v="4"/>
    <s v="Long"/>
    <s v="Low"/>
  </r>
  <r>
    <s v="Call_7760"/>
    <s v="C0004"/>
    <n v="117"/>
    <s v="R04"/>
    <d v="2023-05-23T00:00:00"/>
    <n v="88"/>
    <n v="4.7"/>
    <n v="2023"/>
    <s v="Tuesday"/>
    <x v="0"/>
    <n v="5"/>
    <s v="Long"/>
    <s v="Medium"/>
  </r>
  <r>
    <s v="Call_7761"/>
    <s v="C0008"/>
    <n v="63"/>
    <s v="R04"/>
    <d v="2023-05-23T00:00:00"/>
    <n v="80"/>
    <n v="2.5"/>
    <n v="2023"/>
    <s v="Tuesday"/>
    <x v="0"/>
    <n v="3"/>
    <s v="Long"/>
    <s v="Medium"/>
  </r>
  <r>
    <s v="Call_7762"/>
    <s v="C0010"/>
    <n v="59"/>
    <s v="R05"/>
    <d v="2023-05-24T00:00:00"/>
    <n v="123"/>
    <n v="3.6"/>
    <n v="2023"/>
    <s v="Wednesday"/>
    <x v="2"/>
    <n v="4"/>
    <s v="Medium"/>
    <s v="High"/>
  </r>
  <r>
    <s v="Call_7763"/>
    <s v="C0006"/>
    <n v="133"/>
    <s v="R03"/>
    <d v="2023-05-24T00:00:00"/>
    <n v="31"/>
    <n v="3.7"/>
    <n v="2023"/>
    <s v="Wednesday"/>
    <x v="1"/>
    <n v="4"/>
    <s v="Long"/>
    <s v="Low"/>
  </r>
  <r>
    <s v="Call_7764"/>
    <s v="C0001"/>
    <n v="101"/>
    <s v="R02"/>
    <d v="2023-05-24T00:00:00"/>
    <n v="205"/>
    <n v="3.9"/>
    <n v="2023"/>
    <s v="Wednesday"/>
    <x v="0"/>
    <n v="4"/>
    <s v="Long"/>
    <s v="Very High"/>
  </r>
  <r>
    <s v="Call_7765"/>
    <s v="C0013"/>
    <n v="151"/>
    <s v="R04"/>
    <d v="2023-05-25T00:00:00"/>
    <n v="123"/>
    <n v="3.7"/>
    <n v="2023"/>
    <s v="Thursday"/>
    <x v="1"/>
    <n v="4"/>
    <s v="Long"/>
    <s v="High"/>
  </r>
  <r>
    <s v="Call_7766"/>
    <s v="C0011"/>
    <n v="146"/>
    <s v="R03"/>
    <d v="2023-05-25T00:00:00"/>
    <n v="123"/>
    <n v="4.3"/>
    <n v="2023"/>
    <s v="Thursday"/>
    <x v="1"/>
    <n v="4"/>
    <s v="Long"/>
    <s v="High"/>
  </r>
  <r>
    <s v="Call_7767"/>
    <s v="C0008"/>
    <n v="148"/>
    <s v="R03"/>
    <d v="2023-05-25T00:00:00"/>
    <n v="36"/>
    <n v="2.9"/>
    <n v="2023"/>
    <s v="Thursday"/>
    <x v="1"/>
    <n v="3"/>
    <s v="Long"/>
    <s v="Low"/>
  </r>
  <r>
    <s v="Call_7768"/>
    <s v="C0013"/>
    <n v="81"/>
    <s v="R03"/>
    <d v="2023-05-25T00:00:00"/>
    <n v="116"/>
    <n v="4.3"/>
    <n v="2023"/>
    <s v="Thursday"/>
    <x v="0"/>
    <n v="4"/>
    <s v="Long"/>
    <s v="High"/>
  </r>
  <r>
    <s v="Call_7769"/>
    <s v="C0009"/>
    <n v="115"/>
    <s v="R03"/>
    <d v="2023-05-25T00:00:00"/>
    <n v="40"/>
    <n v="4.9000000000000004"/>
    <n v="2023"/>
    <s v="Thursday"/>
    <x v="0"/>
    <n v="5"/>
    <s v="Long"/>
    <s v="Low"/>
  </r>
  <r>
    <s v="Call_7770"/>
    <s v="C0009"/>
    <n v="117"/>
    <s v="R04"/>
    <d v="2023-05-25T00:00:00"/>
    <n v="40"/>
    <n v="4"/>
    <n v="2023"/>
    <s v="Thursday"/>
    <x v="0"/>
    <n v="4"/>
    <s v="Long"/>
    <s v="Low"/>
  </r>
  <r>
    <s v="Call_7771"/>
    <s v="C0001"/>
    <n v="110"/>
    <s v="R01"/>
    <d v="2023-05-26T00:00:00"/>
    <n v="82"/>
    <n v="4"/>
    <n v="2023"/>
    <s v="Friday"/>
    <x v="0"/>
    <n v="4"/>
    <s v="Long"/>
    <s v="Medium"/>
  </r>
  <r>
    <s v="Call_7772"/>
    <s v="C0002"/>
    <n v="103"/>
    <s v="R05"/>
    <d v="2023-05-26T00:00:00"/>
    <n v="62"/>
    <n v="3.4"/>
    <n v="2023"/>
    <s v="Friday"/>
    <x v="0"/>
    <n v="3"/>
    <s v="Long"/>
    <s v="Medium"/>
  </r>
  <r>
    <s v="Call_7773"/>
    <s v="C0014"/>
    <n v="45"/>
    <s v="R05"/>
    <d v="2023-05-26T00:00:00"/>
    <n v="135"/>
    <n v="3.9"/>
    <n v="2023"/>
    <s v="Friday"/>
    <x v="2"/>
    <n v="4"/>
    <s v="Medium"/>
    <s v="High"/>
  </r>
  <r>
    <s v="Call_7774"/>
    <s v="C0001"/>
    <n v="110"/>
    <s v="R02"/>
    <d v="2023-05-26T00:00:00"/>
    <n v="155"/>
    <n v="2.1"/>
    <n v="2023"/>
    <s v="Friday"/>
    <x v="0"/>
    <n v="2"/>
    <s v="Long"/>
    <s v="Very High"/>
  </r>
  <r>
    <s v="Call_7775"/>
    <s v="C0010"/>
    <n v="43"/>
    <s v="R01"/>
    <d v="2023-05-26T00:00:00"/>
    <n v="37"/>
    <n v="4.9000000000000004"/>
    <n v="2023"/>
    <s v="Friday"/>
    <x v="2"/>
    <n v="5"/>
    <s v="Medium"/>
    <s v="Low"/>
  </r>
  <r>
    <s v="Call_7776"/>
    <s v="C0001"/>
    <n v="104"/>
    <s v="R04"/>
    <d v="2023-05-27T00:00:00"/>
    <n v="56"/>
    <n v="3.4"/>
    <n v="2023"/>
    <s v="Saturday"/>
    <x v="0"/>
    <n v="3"/>
    <s v="Long"/>
    <s v="Medium"/>
  </r>
  <r>
    <s v="Call_7777"/>
    <s v="C0001"/>
    <n v="101"/>
    <s v="R04"/>
    <d v="2023-05-27T00:00:00"/>
    <n v="185"/>
    <n v="5"/>
    <n v="2023"/>
    <s v="Saturday"/>
    <x v="0"/>
    <n v="5"/>
    <s v="Long"/>
    <s v="Very High"/>
  </r>
  <r>
    <s v="Call_7778"/>
    <s v="C0003"/>
    <n v="55"/>
    <s v="R01"/>
    <d v="2023-05-28T00:00:00"/>
    <n v="145"/>
    <n v="4.5"/>
    <n v="2023"/>
    <s v="Sunday"/>
    <x v="2"/>
    <n v="5"/>
    <s v="Medium"/>
    <s v="High"/>
  </r>
  <r>
    <s v="Call_7779"/>
    <s v="C0013"/>
    <n v="40"/>
    <s v="R05"/>
    <d v="2023-05-28T00:00:00"/>
    <n v="116"/>
    <n v="2.6"/>
    <n v="2023"/>
    <s v="Sunday"/>
    <x v="2"/>
    <n v="3"/>
    <s v="Medium"/>
    <s v="High"/>
  </r>
  <r>
    <s v="Call_7780"/>
    <s v="C0010"/>
    <n v="122"/>
    <s v="R03"/>
    <d v="2023-05-28T00:00:00"/>
    <n v="45"/>
    <n v="4.2"/>
    <n v="2023"/>
    <s v="Sunday"/>
    <x v="1"/>
    <n v="4"/>
    <s v="Long"/>
    <s v="Low"/>
  </r>
  <r>
    <s v="Call_7781"/>
    <s v="C0011"/>
    <n v="98"/>
    <s v="R04"/>
    <d v="2023-05-29T00:00:00"/>
    <n v="35"/>
    <n v="4.5"/>
    <n v="2023"/>
    <s v="Monday"/>
    <x v="0"/>
    <n v="5"/>
    <s v="Long"/>
    <s v="Low"/>
  </r>
  <r>
    <s v="Call_7782"/>
    <s v="C0009"/>
    <n v="110"/>
    <s v="R05"/>
    <d v="2023-05-29T00:00:00"/>
    <n v="100"/>
    <n v="4.4000000000000004"/>
    <n v="2023"/>
    <s v="Monday"/>
    <x v="0"/>
    <n v="4"/>
    <s v="Long"/>
    <s v="Medium"/>
  </r>
  <r>
    <s v="Call_7783"/>
    <s v="C0009"/>
    <n v="62"/>
    <s v="R01"/>
    <d v="2023-05-30T00:00:00"/>
    <n v="125"/>
    <n v="3.5"/>
    <n v="2023"/>
    <s v="Tuesday"/>
    <x v="0"/>
    <n v="4"/>
    <s v="Long"/>
    <s v="High"/>
  </r>
  <r>
    <s v="Call_7784"/>
    <s v="C0010"/>
    <n v="134"/>
    <s v="R03"/>
    <d v="2023-05-30T00:00:00"/>
    <n v="120"/>
    <n v="3"/>
    <n v="2023"/>
    <s v="Tuesday"/>
    <x v="1"/>
    <n v="3"/>
    <s v="Long"/>
    <s v="High"/>
  </r>
  <r>
    <s v="Call_7785"/>
    <s v="C0015"/>
    <n v="94"/>
    <s v="R02"/>
    <d v="2023-05-30T00:00:00"/>
    <n v="180"/>
    <n v="4.7"/>
    <n v="2023"/>
    <s v="Tuesday"/>
    <x v="0"/>
    <n v="5"/>
    <s v="Long"/>
    <s v="Very High"/>
  </r>
  <r>
    <s v="Call_7786"/>
    <s v="C0007"/>
    <n v="63"/>
    <s v="R05"/>
    <d v="2023-05-30T00:00:00"/>
    <n v="44"/>
    <n v="3"/>
    <n v="2023"/>
    <s v="Tuesday"/>
    <x v="0"/>
    <n v="3"/>
    <s v="Long"/>
    <s v="Low"/>
  </r>
  <r>
    <s v="Call_7787"/>
    <s v="C0006"/>
    <n v="95"/>
    <s v="R03"/>
    <d v="2023-05-30T00:00:00"/>
    <n v="86"/>
    <n v="3.6"/>
    <n v="2023"/>
    <s v="Tuesday"/>
    <x v="0"/>
    <n v="4"/>
    <s v="Long"/>
    <s v="Medium"/>
  </r>
  <r>
    <s v="Call_7788"/>
    <s v="C0010"/>
    <n v="106"/>
    <s v="R03"/>
    <d v="2023-05-31T00:00:00"/>
    <n v="120"/>
    <n v="4.0999999999999996"/>
    <n v="2023"/>
    <s v="Wednesday"/>
    <x v="0"/>
    <n v="4"/>
    <s v="Long"/>
    <s v="High"/>
  </r>
  <r>
    <s v="Call_7789"/>
    <s v="C0014"/>
    <n v="94"/>
    <s v="R02"/>
    <d v="2023-05-31T00:00:00"/>
    <n v="100"/>
    <n v="3.7"/>
    <n v="2023"/>
    <s v="Wednesday"/>
    <x v="0"/>
    <n v="4"/>
    <s v="Long"/>
    <s v="Medium"/>
  </r>
  <r>
    <s v="Call_7790"/>
    <s v="C0014"/>
    <n v="51"/>
    <s v="R02"/>
    <d v="2023-06-01T00:00:00"/>
    <n v="108"/>
    <n v="4.5"/>
    <n v="2023"/>
    <s v="Thursday"/>
    <x v="2"/>
    <n v="5"/>
    <s v="Medium"/>
    <s v="High"/>
  </r>
  <r>
    <s v="Call_7791"/>
    <s v="C0008"/>
    <n v="39"/>
    <s v="R02"/>
    <d v="2023-06-01T00:00:00"/>
    <n v="46"/>
    <n v="4.5999999999999996"/>
    <n v="2023"/>
    <s v="Thursday"/>
    <x v="2"/>
    <n v="5"/>
    <s v="Medium"/>
    <s v="Low"/>
  </r>
  <r>
    <s v="Call_7792"/>
    <s v="C0013"/>
    <n v="111"/>
    <s v="R03"/>
    <d v="2023-06-01T00:00:00"/>
    <n v="210"/>
    <n v="4.3"/>
    <n v="2023"/>
    <s v="Thursday"/>
    <x v="0"/>
    <n v="4"/>
    <s v="Long"/>
    <s v="Very High"/>
  </r>
  <r>
    <s v="Call_7793"/>
    <s v="C0012"/>
    <n v="141"/>
    <s v="R01"/>
    <d v="2023-06-03T00:00:00"/>
    <n v="54"/>
    <n v="4.8"/>
    <n v="2023"/>
    <s v="Saturday"/>
    <x v="1"/>
    <n v="5"/>
    <s v="Long"/>
    <s v="Medium"/>
  </r>
  <r>
    <s v="Call_7794"/>
    <s v="C0007"/>
    <n v="147"/>
    <s v="R03"/>
    <d v="2023-06-03T00:00:00"/>
    <n v="115"/>
    <n v="4.7"/>
    <n v="2023"/>
    <s v="Saturday"/>
    <x v="1"/>
    <n v="5"/>
    <s v="Long"/>
    <s v="High"/>
  </r>
  <r>
    <s v="Call_7795"/>
    <s v="C0015"/>
    <n v="49"/>
    <s v="R02"/>
    <d v="2023-06-04T00:00:00"/>
    <n v="100"/>
    <n v="2.2000000000000002"/>
    <n v="2023"/>
    <s v="Sunday"/>
    <x v="2"/>
    <n v="2"/>
    <s v="Medium"/>
    <s v="Medium"/>
  </r>
  <r>
    <s v="Call_7796"/>
    <s v="C0005"/>
    <n v="75"/>
    <s v="R03"/>
    <d v="2023-06-04T00:00:00"/>
    <n v="38"/>
    <n v="4.4000000000000004"/>
    <n v="2023"/>
    <s v="Sunday"/>
    <x v="0"/>
    <n v="4"/>
    <s v="Long"/>
    <s v="Low"/>
  </r>
  <r>
    <s v="Call_7797"/>
    <s v="C0012"/>
    <n v="48"/>
    <s v="R01"/>
    <d v="2023-06-05T00:00:00"/>
    <n v="120"/>
    <n v="4.0999999999999996"/>
    <n v="2023"/>
    <s v="Monday"/>
    <x v="2"/>
    <n v="4"/>
    <s v="Medium"/>
    <s v="High"/>
  </r>
  <r>
    <s v="Call_7798"/>
    <s v="C0009"/>
    <n v="48"/>
    <s v="R01"/>
    <d v="2023-06-05T00:00:00"/>
    <n v="120"/>
    <n v="4.0999999999999996"/>
    <n v="2023"/>
    <s v="Monday"/>
    <x v="2"/>
    <n v="4"/>
    <s v="Medium"/>
    <s v="High"/>
  </r>
  <r>
    <s v="Call_7799"/>
    <s v="C0004"/>
    <n v="138"/>
    <s v="R02"/>
    <d v="2023-06-05T00:00:00"/>
    <n v="29"/>
    <n v="4.4000000000000004"/>
    <n v="2023"/>
    <s v="Monday"/>
    <x v="1"/>
    <n v="4"/>
    <s v="Long"/>
    <s v="Low"/>
  </r>
  <r>
    <s v="Call_7800"/>
    <s v="C0006"/>
    <n v="144"/>
    <s v="R02"/>
    <d v="2023-06-06T00:00:00"/>
    <n v="25"/>
    <n v="3.7"/>
    <n v="2023"/>
    <s v="Tuesday"/>
    <x v="1"/>
    <n v="4"/>
    <s v="Long"/>
    <s v="Low"/>
  </r>
  <r>
    <s v="Call_7801"/>
    <s v="C0001"/>
    <n v="119"/>
    <s v="R03"/>
    <d v="2023-06-07T00:00:00"/>
    <n v="116"/>
    <n v="3.8"/>
    <n v="2023"/>
    <s v="Wednesday"/>
    <x v="0"/>
    <n v="4"/>
    <s v="Long"/>
    <s v="High"/>
  </r>
  <r>
    <s v="Call_7802"/>
    <s v="C0004"/>
    <n v="101"/>
    <s v="R01"/>
    <d v="2023-06-08T00:00:00"/>
    <n v="132"/>
    <n v="4.3"/>
    <n v="2023"/>
    <s v="Thursday"/>
    <x v="0"/>
    <n v="4"/>
    <s v="Long"/>
    <s v="High"/>
  </r>
  <r>
    <s v="Call_7803"/>
    <s v="C0006"/>
    <n v="59"/>
    <s v="R03"/>
    <d v="2023-06-09T00:00:00"/>
    <n v="90"/>
    <n v="3.5"/>
    <n v="2023"/>
    <s v="Friday"/>
    <x v="2"/>
    <n v="4"/>
    <s v="Medium"/>
    <s v="Medium"/>
  </r>
  <r>
    <s v="Call_7804"/>
    <s v="C0013"/>
    <n v="125"/>
    <s v="R05"/>
    <d v="2023-06-09T00:00:00"/>
    <n v="87"/>
    <n v="4.0999999999999996"/>
    <n v="2023"/>
    <s v="Friday"/>
    <x v="1"/>
    <n v="4"/>
    <s v="Long"/>
    <s v="Medium"/>
  </r>
  <r>
    <s v="Call_7805"/>
    <s v="C0010"/>
    <n v="147"/>
    <s v="R03"/>
    <d v="2023-06-09T00:00:00"/>
    <n v="140"/>
    <n v="4.2"/>
    <n v="2023"/>
    <s v="Friday"/>
    <x v="1"/>
    <n v="4"/>
    <s v="Long"/>
    <s v="High"/>
  </r>
  <r>
    <s v="Call_7806"/>
    <s v="C0002"/>
    <n v="76"/>
    <s v="R03"/>
    <d v="2023-06-09T00:00:00"/>
    <n v="164"/>
    <n v="4.5"/>
    <n v="2023"/>
    <s v="Friday"/>
    <x v="0"/>
    <n v="5"/>
    <s v="Long"/>
    <s v="Very High"/>
  </r>
  <r>
    <s v="Call_7807"/>
    <s v="C0007"/>
    <n v="99"/>
    <s v="R01"/>
    <d v="2023-06-10T00:00:00"/>
    <n v="180"/>
    <n v="3.8"/>
    <n v="2023"/>
    <s v="Saturday"/>
    <x v="0"/>
    <n v="4"/>
    <s v="Long"/>
    <s v="Very High"/>
  </r>
  <r>
    <s v="Call_7808"/>
    <s v="C0008"/>
    <n v="111"/>
    <s v="R04"/>
    <d v="2023-06-11T00:00:00"/>
    <n v="22"/>
    <n v="4.0999999999999996"/>
    <n v="2023"/>
    <s v="Sunday"/>
    <x v="0"/>
    <n v="4"/>
    <s v="Long"/>
    <s v="Low"/>
  </r>
  <r>
    <s v="Call_7809"/>
    <s v="C0011"/>
    <n v="147"/>
    <s v="R05"/>
    <d v="2023-06-11T00:00:00"/>
    <n v="82"/>
    <n v="4.4000000000000004"/>
    <n v="2023"/>
    <s v="Sunday"/>
    <x v="1"/>
    <n v="4"/>
    <s v="Long"/>
    <s v="Medium"/>
  </r>
  <r>
    <s v="Call_7810"/>
    <s v="C0003"/>
    <n v="141"/>
    <s v="R01"/>
    <d v="2023-06-11T00:00:00"/>
    <n v="100"/>
    <n v="4.5999999999999996"/>
    <n v="2023"/>
    <s v="Sunday"/>
    <x v="1"/>
    <n v="5"/>
    <s v="Long"/>
    <s v="Medium"/>
  </r>
  <r>
    <s v="Call_7811"/>
    <s v="C0002"/>
    <n v="71"/>
    <s v="R03"/>
    <d v="2023-06-12T00:00:00"/>
    <n v="52"/>
    <n v="3.4"/>
    <n v="2023"/>
    <s v="Monday"/>
    <x v="0"/>
    <n v="3"/>
    <s v="Long"/>
    <s v="Medium"/>
  </r>
  <r>
    <s v="Call_7812"/>
    <s v="C0002"/>
    <n v="121"/>
    <s v="R05"/>
    <d v="2023-06-13T00:00:00"/>
    <n v="84"/>
    <n v="4.5999999999999996"/>
    <n v="2023"/>
    <s v="Tuesday"/>
    <x v="1"/>
    <n v="5"/>
    <s v="Long"/>
    <s v="Medium"/>
  </r>
  <r>
    <s v="Call_7813"/>
    <s v="C0002"/>
    <n v="60"/>
    <s v="R05"/>
    <d v="2023-06-13T00:00:00"/>
    <n v="37"/>
    <n v="3.9"/>
    <n v="2023"/>
    <s v="Tuesday"/>
    <x v="2"/>
    <n v="4"/>
    <s v="Medium"/>
    <s v="Low"/>
  </r>
  <r>
    <s v="Call_7814"/>
    <s v="C0015"/>
    <n v="158"/>
    <s v="R01"/>
    <d v="2023-06-14T00:00:00"/>
    <n v="190"/>
    <n v="4"/>
    <n v="2023"/>
    <s v="Wednesday"/>
    <x v="1"/>
    <n v="4"/>
    <s v="Long"/>
    <s v="Very High"/>
  </r>
  <r>
    <s v="Call_7815"/>
    <s v="C0010"/>
    <n v="159"/>
    <s v="R02"/>
    <d v="2023-06-14T00:00:00"/>
    <n v="66"/>
    <n v="3.4"/>
    <n v="2023"/>
    <s v="Wednesday"/>
    <x v="1"/>
    <n v="3"/>
    <s v="Long"/>
    <s v="Medium"/>
  </r>
  <r>
    <s v="Call_7816"/>
    <s v="C0004"/>
    <n v="70"/>
    <s v="R03"/>
    <d v="2023-06-15T00:00:00"/>
    <n v="116"/>
    <n v="3.2"/>
    <n v="2023"/>
    <s v="Thursday"/>
    <x v="0"/>
    <n v="3"/>
    <s v="Long"/>
    <s v="High"/>
  </r>
  <r>
    <s v="Call_7817"/>
    <s v="C0012"/>
    <n v="78"/>
    <s v="R04"/>
    <d v="2023-06-15T00:00:00"/>
    <n v="28"/>
    <n v="3.9"/>
    <n v="2023"/>
    <s v="Thursday"/>
    <x v="0"/>
    <n v="4"/>
    <s v="Long"/>
    <s v="Low"/>
  </r>
  <r>
    <s v="Call_7818"/>
    <s v="C0011"/>
    <n v="103"/>
    <s v="R03"/>
    <d v="2023-06-15T00:00:00"/>
    <n v="120"/>
    <n v="5"/>
    <n v="2023"/>
    <s v="Thursday"/>
    <x v="0"/>
    <n v="5"/>
    <s v="Long"/>
    <s v="High"/>
  </r>
  <r>
    <s v="Call_7819"/>
    <s v="C0005"/>
    <n v="108"/>
    <s v="R01"/>
    <d v="2023-06-15T00:00:00"/>
    <n v="56"/>
    <n v="3.5"/>
    <n v="2023"/>
    <s v="Thursday"/>
    <x v="0"/>
    <n v="4"/>
    <s v="Long"/>
    <s v="Medium"/>
  </r>
  <r>
    <s v="Call_7820"/>
    <s v="C0005"/>
    <n v="44"/>
    <s v="R05"/>
    <d v="2023-06-15T00:00:00"/>
    <n v="170"/>
    <n v="3.8"/>
    <n v="2023"/>
    <s v="Thursday"/>
    <x v="2"/>
    <n v="4"/>
    <s v="Medium"/>
    <s v="Very High"/>
  </r>
  <r>
    <s v="Call_7821"/>
    <s v="C0012"/>
    <n v="127"/>
    <s v="R01"/>
    <d v="2023-06-16T00:00:00"/>
    <n v="200"/>
    <n v="4.8"/>
    <n v="2023"/>
    <s v="Friday"/>
    <x v="1"/>
    <n v="5"/>
    <s v="Long"/>
    <s v="Very High"/>
  </r>
  <r>
    <s v="Call_7822"/>
    <s v="C0011"/>
    <n v="132"/>
    <s v="R03"/>
    <d v="2023-06-17T00:00:00"/>
    <n v="50"/>
    <n v="4.2"/>
    <n v="2023"/>
    <s v="Saturday"/>
    <x v="1"/>
    <n v="4"/>
    <s v="Long"/>
    <s v="Low"/>
  </r>
  <r>
    <s v="Call_7823"/>
    <s v="C0003"/>
    <n v="106"/>
    <s v="R04"/>
    <d v="2023-06-17T00:00:00"/>
    <n v="112"/>
    <n v="3.7"/>
    <n v="2023"/>
    <s v="Saturday"/>
    <x v="0"/>
    <n v="4"/>
    <s v="Long"/>
    <s v="High"/>
  </r>
  <r>
    <s v="Call_7824"/>
    <s v="C0008"/>
    <n v="107"/>
    <s v="R03"/>
    <d v="2023-06-18T00:00:00"/>
    <n v="39"/>
    <n v="4.8"/>
    <n v="2023"/>
    <s v="Sunday"/>
    <x v="0"/>
    <n v="5"/>
    <s v="Long"/>
    <s v="Low"/>
  </r>
  <r>
    <s v="Call_7825"/>
    <s v="C0010"/>
    <n v="85"/>
    <s v="R04"/>
    <d v="2023-06-18T00:00:00"/>
    <n v="38"/>
    <n v="4.8"/>
    <n v="2023"/>
    <s v="Sunday"/>
    <x v="0"/>
    <n v="5"/>
    <s v="Long"/>
    <s v="Low"/>
  </r>
  <r>
    <s v="Call_7826"/>
    <s v="C0007"/>
    <n v="49"/>
    <s v="R03"/>
    <d v="2023-06-19T00:00:00"/>
    <n v="84"/>
    <n v="2.9"/>
    <n v="2023"/>
    <s v="Monday"/>
    <x v="2"/>
    <n v="3"/>
    <s v="Medium"/>
    <s v="Medium"/>
  </r>
  <r>
    <s v="Call_7827"/>
    <s v="C0002"/>
    <n v="117"/>
    <s v="R01"/>
    <d v="2023-06-20T00:00:00"/>
    <n v="82"/>
    <n v="3.5"/>
    <n v="2023"/>
    <s v="Tuesday"/>
    <x v="0"/>
    <n v="4"/>
    <s v="Long"/>
    <s v="Medium"/>
  </r>
  <r>
    <s v="Call_7828"/>
    <s v="C0008"/>
    <n v="136"/>
    <s v="R04"/>
    <d v="2023-06-20T00:00:00"/>
    <n v="37"/>
    <n v="0.9"/>
    <n v="2023"/>
    <s v="Tuesday"/>
    <x v="1"/>
    <n v="1"/>
    <s v="Long"/>
    <s v="Low"/>
  </r>
  <r>
    <s v="Call_7829"/>
    <s v="C0005"/>
    <n v="130"/>
    <s v="R02"/>
    <d v="2023-06-21T00:00:00"/>
    <n v="87"/>
    <n v="3.4"/>
    <n v="2023"/>
    <s v="Wednesday"/>
    <x v="1"/>
    <n v="3"/>
    <s v="Long"/>
    <s v="Medium"/>
  </r>
  <r>
    <s v="Call_7830"/>
    <s v="C0005"/>
    <n v="73"/>
    <s v="R02"/>
    <d v="2023-06-21T00:00:00"/>
    <n v="75"/>
    <n v="2.7"/>
    <n v="2023"/>
    <s v="Wednesday"/>
    <x v="0"/>
    <n v="3"/>
    <s v="Long"/>
    <s v="Medium"/>
  </r>
  <r>
    <s v="Call_7831"/>
    <s v="C0007"/>
    <n v="80"/>
    <s v="R03"/>
    <d v="2023-06-21T00:00:00"/>
    <n v="32"/>
    <n v="4.7"/>
    <n v="2023"/>
    <s v="Wednesday"/>
    <x v="0"/>
    <n v="5"/>
    <s v="Long"/>
    <s v="Low"/>
  </r>
  <r>
    <s v="Call_7832"/>
    <s v="C0001"/>
    <n v="44"/>
    <s v="R01"/>
    <d v="2023-06-21T00:00:00"/>
    <n v="33"/>
    <n v="3"/>
    <n v="2023"/>
    <s v="Wednesday"/>
    <x v="2"/>
    <n v="3"/>
    <s v="Medium"/>
    <s v="Low"/>
  </r>
  <r>
    <s v="Call_7833"/>
    <s v="C0001"/>
    <n v="102"/>
    <s v="R05"/>
    <d v="2023-06-21T00:00:00"/>
    <n v="76"/>
    <n v="4.2"/>
    <n v="2023"/>
    <s v="Wednesday"/>
    <x v="0"/>
    <n v="4"/>
    <s v="Long"/>
    <s v="Medium"/>
  </r>
  <r>
    <s v="Call_7834"/>
    <s v="C0015"/>
    <n v="74"/>
    <s v="R05"/>
    <d v="2023-06-21T00:00:00"/>
    <n v="117"/>
    <n v="4.8"/>
    <n v="2023"/>
    <s v="Wednesday"/>
    <x v="0"/>
    <n v="5"/>
    <s v="Long"/>
    <s v="High"/>
  </r>
  <r>
    <s v="Call_7835"/>
    <s v="C0007"/>
    <n v="52"/>
    <s v="R01"/>
    <d v="2023-06-23T00:00:00"/>
    <n v="70"/>
    <n v="4.0999999999999996"/>
    <n v="2023"/>
    <s v="Friday"/>
    <x v="2"/>
    <n v="4"/>
    <s v="Medium"/>
    <s v="Medium"/>
  </r>
  <r>
    <s v="Call_7836"/>
    <s v="C0007"/>
    <n v="74"/>
    <s v="R02"/>
    <d v="2023-06-23T00:00:00"/>
    <n v="37"/>
    <n v="2.7"/>
    <n v="2023"/>
    <s v="Friday"/>
    <x v="0"/>
    <n v="3"/>
    <s v="Long"/>
    <s v="Low"/>
  </r>
  <r>
    <s v="Call_7837"/>
    <s v="C0005"/>
    <n v="96"/>
    <s v="R05"/>
    <d v="2023-06-23T00:00:00"/>
    <n v="46"/>
    <n v="2.9"/>
    <n v="2023"/>
    <s v="Friday"/>
    <x v="0"/>
    <n v="3"/>
    <s v="Long"/>
    <s v="Low"/>
  </r>
  <r>
    <s v="Call_7838"/>
    <s v="C0013"/>
    <n v="104"/>
    <s v="R03"/>
    <d v="2023-06-23T00:00:00"/>
    <n v="136"/>
    <n v="5"/>
    <n v="2023"/>
    <s v="Friday"/>
    <x v="0"/>
    <n v="5"/>
    <s v="Long"/>
    <s v="High"/>
  </r>
  <r>
    <s v="Call_7839"/>
    <s v="C0005"/>
    <n v="123"/>
    <s v="R05"/>
    <d v="2023-06-24T00:00:00"/>
    <n v="44"/>
    <n v="4.5999999999999996"/>
    <n v="2023"/>
    <s v="Saturday"/>
    <x v="1"/>
    <n v="5"/>
    <s v="Long"/>
    <s v="Low"/>
  </r>
  <r>
    <s v="Call_7840"/>
    <s v="C0009"/>
    <n v="100"/>
    <s v="R04"/>
    <d v="2023-06-24T00:00:00"/>
    <n v="69"/>
    <n v="3"/>
    <n v="2023"/>
    <s v="Saturday"/>
    <x v="0"/>
    <n v="3"/>
    <s v="Long"/>
    <s v="Medium"/>
  </r>
  <r>
    <s v="Call_7841"/>
    <s v="C0013"/>
    <n v="35"/>
    <s v="R01"/>
    <d v="2023-06-25T00:00:00"/>
    <n v="86"/>
    <n v="4.5999999999999996"/>
    <n v="2023"/>
    <s v="Sunday"/>
    <x v="2"/>
    <n v="5"/>
    <s v="Medium"/>
    <s v="Medium"/>
  </r>
  <r>
    <s v="Call_7842"/>
    <s v="C0007"/>
    <n v="123"/>
    <s v="R03"/>
    <d v="2023-06-25T00:00:00"/>
    <n v="68"/>
    <n v="4.5"/>
    <n v="2023"/>
    <s v="Sunday"/>
    <x v="1"/>
    <n v="5"/>
    <s v="Long"/>
    <s v="Medium"/>
  </r>
  <r>
    <s v="Call_7843"/>
    <s v="C0002"/>
    <n v="133"/>
    <s v="R01"/>
    <d v="2023-06-26T00:00:00"/>
    <n v="21"/>
    <n v="3.7"/>
    <n v="2023"/>
    <s v="Monday"/>
    <x v="1"/>
    <n v="4"/>
    <s v="Long"/>
    <s v="Low"/>
  </r>
  <r>
    <s v="Call_7844"/>
    <s v="C0005"/>
    <n v="126"/>
    <s v="R02"/>
    <d v="2023-06-26T00:00:00"/>
    <n v="190"/>
    <n v="2.4"/>
    <n v="2023"/>
    <s v="Monday"/>
    <x v="1"/>
    <n v="2"/>
    <s v="Long"/>
    <s v="Very High"/>
  </r>
  <r>
    <s v="Call_7845"/>
    <s v="C0007"/>
    <n v="39"/>
    <s v="R05"/>
    <d v="2023-06-26T00:00:00"/>
    <n v="176"/>
    <n v="4.3"/>
    <n v="2023"/>
    <s v="Monday"/>
    <x v="2"/>
    <n v="4"/>
    <s v="Medium"/>
    <s v="Very High"/>
  </r>
  <r>
    <s v="Call_7846"/>
    <s v="C0015"/>
    <n v="31"/>
    <s v="R03"/>
    <d v="2023-06-26T00:00:00"/>
    <n v="172"/>
    <n v="3.9"/>
    <n v="2023"/>
    <s v="Monday"/>
    <x v="2"/>
    <n v="4"/>
    <s v="Medium"/>
    <s v="Very High"/>
  </r>
  <r>
    <s v="Call_7847"/>
    <s v="C0011"/>
    <n v="25"/>
    <s v="R01"/>
    <d v="2023-06-26T00:00:00"/>
    <n v="84"/>
    <n v="4.5"/>
    <n v="2023"/>
    <s v="Monday"/>
    <x v="3"/>
    <n v="5"/>
    <s v="Short"/>
    <s v="Medium"/>
  </r>
  <r>
    <s v="Call_7848"/>
    <s v="C0004"/>
    <n v="132"/>
    <s v="R04"/>
    <d v="2023-06-27T00:00:00"/>
    <n v="42"/>
    <n v="5"/>
    <n v="2023"/>
    <s v="Tuesday"/>
    <x v="1"/>
    <n v="5"/>
    <s v="Long"/>
    <s v="Low"/>
  </r>
  <r>
    <s v="Call_7849"/>
    <s v="C0013"/>
    <n v="63"/>
    <s v="R02"/>
    <d v="2023-06-27T00:00:00"/>
    <n v="70"/>
    <n v="1.6"/>
    <n v="2023"/>
    <s v="Tuesday"/>
    <x v="0"/>
    <n v="2"/>
    <s v="Long"/>
    <s v="Medium"/>
  </r>
  <r>
    <s v="Call_7850"/>
    <s v="C0009"/>
    <n v="135"/>
    <s v="R04"/>
    <d v="2023-06-27T00:00:00"/>
    <n v="60"/>
    <n v="4.3"/>
    <n v="2023"/>
    <s v="Tuesday"/>
    <x v="1"/>
    <n v="4"/>
    <s v="Long"/>
    <s v="Medium"/>
  </r>
  <r>
    <s v="Call_7851"/>
    <s v="C0010"/>
    <n v="101"/>
    <s v="R02"/>
    <d v="2023-06-27T00:00:00"/>
    <n v="84"/>
    <n v="3.5"/>
    <n v="2023"/>
    <s v="Tuesday"/>
    <x v="0"/>
    <n v="4"/>
    <s v="Long"/>
    <s v="Medium"/>
  </r>
  <r>
    <s v="Call_7852"/>
    <s v="C0002"/>
    <n v="80"/>
    <s v="R05"/>
    <d v="2023-06-28T00:00:00"/>
    <n v="68"/>
    <n v="3.1"/>
    <n v="2023"/>
    <s v="Wednesday"/>
    <x v="0"/>
    <n v="3"/>
    <s v="Long"/>
    <s v="Medium"/>
  </r>
  <r>
    <s v="Call_7853"/>
    <s v="C0001"/>
    <n v="28"/>
    <s v="R05"/>
    <d v="2023-06-28T00:00:00"/>
    <n v="44"/>
    <n v="2.9"/>
    <n v="2023"/>
    <s v="Wednesday"/>
    <x v="3"/>
    <n v="3"/>
    <s v="Short"/>
    <s v="Low"/>
  </r>
  <r>
    <s v="Call_7854"/>
    <s v="C0010"/>
    <n v="102"/>
    <s v="R04"/>
    <d v="2023-06-29T00:00:00"/>
    <n v="99"/>
    <n v="3.2"/>
    <n v="2023"/>
    <s v="Thursday"/>
    <x v="0"/>
    <n v="3"/>
    <s v="Long"/>
    <s v="Medium"/>
  </r>
  <r>
    <s v="Call_7855"/>
    <s v="C0013"/>
    <n v="60"/>
    <s v="R04"/>
    <d v="2023-06-30T00:00:00"/>
    <n v="66"/>
    <n v="3.2"/>
    <n v="2023"/>
    <s v="Friday"/>
    <x v="2"/>
    <n v="3"/>
    <s v="Medium"/>
    <s v="Medium"/>
  </r>
  <r>
    <s v="Call_7856"/>
    <s v="C0014"/>
    <n v="103"/>
    <s v="R04"/>
    <d v="2023-06-30T00:00:00"/>
    <n v="102"/>
    <n v="4.5"/>
    <n v="2023"/>
    <s v="Friday"/>
    <x v="0"/>
    <n v="5"/>
    <s v="Long"/>
    <s v="High"/>
  </r>
  <r>
    <s v="Call_7857"/>
    <s v="C0002"/>
    <n v="90"/>
    <s v="R05"/>
    <d v="2023-07-01T00:00:00"/>
    <n v="129"/>
    <n v="3.9"/>
    <n v="2024"/>
    <s v="Saturday"/>
    <x v="0"/>
    <n v="4"/>
    <s v="Long"/>
    <s v="High"/>
  </r>
  <r>
    <s v="Call_7858"/>
    <s v="C0012"/>
    <n v="88"/>
    <s v="R04"/>
    <d v="2023-07-01T00:00:00"/>
    <n v="80"/>
    <n v="4.2"/>
    <n v="2024"/>
    <s v="Saturday"/>
    <x v="0"/>
    <n v="4"/>
    <s v="Long"/>
    <s v="Medium"/>
  </r>
  <r>
    <s v="Call_7859"/>
    <s v="C0014"/>
    <n v="37"/>
    <s v="R04"/>
    <d v="2023-07-01T00:00:00"/>
    <n v="54"/>
    <n v="1.8"/>
    <n v="2024"/>
    <s v="Saturday"/>
    <x v="2"/>
    <n v="2"/>
    <s v="Medium"/>
    <s v="Medium"/>
  </r>
  <r>
    <s v="Call_7860"/>
    <s v="C0001"/>
    <n v="142"/>
    <s v="R05"/>
    <d v="2023-07-01T00:00:00"/>
    <n v="116"/>
    <n v="4.2"/>
    <n v="2024"/>
    <s v="Saturday"/>
    <x v="1"/>
    <n v="4"/>
    <s v="Long"/>
    <s v="High"/>
  </r>
  <r>
    <s v="Call_7861"/>
    <s v="C0001"/>
    <n v="153"/>
    <s v="R01"/>
    <d v="2023-07-01T00:00:00"/>
    <n v="102"/>
    <n v="3.1"/>
    <n v="2024"/>
    <s v="Saturday"/>
    <x v="1"/>
    <n v="3"/>
    <s v="Long"/>
    <s v="High"/>
  </r>
  <r>
    <s v="Call_7862"/>
    <s v="C0006"/>
    <n v="128"/>
    <s v="R02"/>
    <d v="2023-07-01T00:00:00"/>
    <n v="140"/>
    <n v="4.3"/>
    <n v="2024"/>
    <s v="Saturday"/>
    <x v="1"/>
    <n v="4"/>
    <s v="Long"/>
    <s v="High"/>
  </r>
  <r>
    <s v="Call_7863"/>
    <s v="C0013"/>
    <n v="110"/>
    <s v="R02"/>
    <d v="2023-07-02T00:00:00"/>
    <n v="104"/>
    <n v="4.4000000000000004"/>
    <n v="2024"/>
    <s v="Sunday"/>
    <x v="0"/>
    <n v="4"/>
    <s v="Long"/>
    <s v="High"/>
  </r>
  <r>
    <s v="Call_7864"/>
    <s v="C0006"/>
    <n v="139"/>
    <s v="R04"/>
    <d v="2023-07-02T00:00:00"/>
    <n v="81"/>
    <n v="4.4000000000000004"/>
    <n v="2024"/>
    <s v="Sunday"/>
    <x v="1"/>
    <n v="4"/>
    <s v="Long"/>
    <s v="Medium"/>
  </r>
  <r>
    <s v="Call_7865"/>
    <s v="C0010"/>
    <n v="109"/>
    <s v="R03"/>
    <d v="2023-07-04T00:00:00"/>
    <n v="140"/>
    <n v="2.4"/>
    <n v="2024"/>
    <s v="Tuesday"/>
    <x v="0"/>
    <n v="2"/>
    <s v="Long"/>
    <s v="High"/>
  </r>
  <r>
    <s v="Call_7866"/>
    <s v="C0004"/>
    <n v="57"/>
    <s v="R05"/>
    <d v="2023-07-05T00:00:00"/>
    <n v="120"/>
    <n v="3.5"/>
    <n v="2024"/>
    <s v="Wednesday"/>
    <x v="2"/>
    <n v="4"/>
    <s v="Medium"/>
    <s v="High"/>
  </r>
  <r>
    <s v="Call_7867"/>
    <s v="C0010"/>
    <n v="68"/>
    <s v="R04"/>
    <d v="2023-07-05T00:00:00"/>
    <n v="41"/>
    <n v="3.1"/>
    <n v="2024"/>
    <s v="Wednesday"/>
    <x v="0"/>
    <n v="3"/>
    <s v="Long"/>
    <s v="Low"/>
  </r>
  <r>
    <s v="Call_7868"/>
    <s v="C0011"/>
    <n v="128"/>
    <s v="R04"/>
    <d v="2023-07-05T00:00:00"/>
    <n v="116"/>
    <n v="2.2999999999999998"/>
    <n v="2024"/>
    <s v="Wednesday"/>
    <x v="1"/>
    <n v="2"/>
    <s v="Long"/>
    <s v="High"/>
  </r>
  <r>
    <s v="Call_7869"/>
    <s v="C0003"/>
    <n v="102"/>
    <s v="R05"/>
    <d v="2023-07-06T00:00:00"/>
    <n v="70"/>
    <n v="2.8"/>
    <n v="2024"/>
    <s v="Thursday"/>
    <x v="0"/>
    <n v="3"/>
    <s v="Long"/>
    <s v="Medium"/>
  </r>
  <r>
    <s v="Call_7870"/>
    <s v="C0006"/>
    <n v="52"/>
    <s v="R01"/>
    <d v="2023-07-06T00:00:00"/>
    <n v="42"/>
    <n v="4.5"/>
    <n v="2024"/>
    <s v="Thursday"/>
    <x v="2"/>
    <n v="5"/>
    <s v="Medium"/>
    <s v="Low"/>
  </r>
  <r>
    <s v="Call_7871"/>
    <s v="C0011"/>
    <n v="55"/>
    <s v="R02"/>
    <d v="2023-07-07T00:00:00"/>
    <n v="112"/>
    <n v="4.5"/>
    <n v="2024"/>
    <s v="Friday"/>
    <x v="2"/>
    <n v="5"/>
    <s v="Medium"/>
    <s v="High"/>
  </r>
  <r>
    <s v="Call_7872"/>
    <s v="C0014"/>
    <n v="107"/>
    <s v="R04"/>
    <d v="2023-07-07T00:00:00"/>
    <n v="20"/>
    <n v="4.5"/>
    <n v="2024"/>
    <s v="Friday"/>
    <x v="0"/>
    <n v="5"/>
    <s v="Long"/>
    <s v="Low"/>
  </r>
  <r>
    <s v="Call_7873"/>
    <s v="C0002"/>
    <n v="88"/>
    <s v="R01"/>
    <d v="2023-07-08T00:00:00"/>
    <n v="110"/>
    <n v="4.8"/>
    <n v="2024"/>
    <s v="Saturday"/>
    <x v="0"/>
    <n v="5"/>
    <s v="Long"/>
    <s v="High"/>
  </r>
  <r>
    <s v="Call_7874"/>
    <s v="C0007"/>
    <n v="49"/>
    <s v="R01"/>
    <d v="2023-07-08T00:00:00"/>
    <n v="39"/>
    <n v="4.5999999999999996"/>
    <n v="2024"/>
    <s v="Saturday"/>
    <x v="2"/>
    <n v="5"/>
    <s v="Medium"/>
    <s v="Low"/>
  </r>
  <r>
    <s v="Call_7875"/>
    <s v="C0002"/>
    <n v="72"/>
    <s v="R05"/>
    <d v="2023-07-08T00:00:00"/>
    <n v="76"/>
    <n v="4.5"/>
    <n v="2024"/>
    <s v="Saturday"/>
    <x v="0"/>
    <n v="5"/>
    <s v="Long"/>
    <s v="Medium"/>
  </r>
  <r>
    <s v="Call_7876"/>
    <s v="C0004"/>
    <n v="50"/>
    <s v="R05"/>
    <d v="2023-07-08T00:00:00"/>
    <n v="40"/>
    <n v="5"/>
    <n v="2024"/>
    <s v="Saturday"/>
    <x v="2"/>
    <n v="5"/>
    <s v="Medium"/>
    <s v="Low"/>
  </r>
  <r>
    <s v="Call_7877"/>
    <s v="C0002"/>
    <n v="52"/>
    <s v="R04"/>
    <d v="2023-07-08T00:00:00"/>
    <n v="42"/>
    <n v="4.8"/>
    <n v="2024"/>
    <s v="Saturday"/>
    <x v="2"/>
    <n v="5"/>
    <s v="Medium"/>
    <s v="Low"/>
  </r>
  <r>
    <s v="Call_7878"/>
    <s v="C0005"/>
    <n v="85"/>
    <s v="R03"/>
    <d v="2023-07-09T00:00:00"/>
    <n v="215"/>
    <n v="3.5"/>
    <n v="2024"/>
    <s v="Sunday"/>
    <x v="0"/>
    <n v="4"/>
    <s v="Long"/>
    <s v="Very High"/>
  </r>
  <r>
    <s v="Call_7879"/>
    <s v="C0009"/>
    <n v="98"/>
    <s v="R03"/>
    <d v="2023-07-10T00:00:00"/>
    <n v="130"/>
    <n v="3.4"/>
    <n v="2024"/>
    <s v="Monday"/>
    <x v="0"/>
    <n v="3"/>
    <s v="Long"/>
    <s v="High"/>
  </r>
  <r>
    <s v="Call_7880"/>
    <s v="C0015"/>
    <n v="52"/>
    <s v="R03"/>
    <d v="2023-07-10T00:00:00"/>
    <n v="190"/>
    <n v="3.3"/>
    <n v="2024"/>
    <s v="Monday"/>
    <x v="2"/>
    <n v="3"/>
    <s v="Medium"/>
    <s v="Very High"/>
  </r>
  <r>
    <s v="Call_7881"/>
    <s v="C0011"/>
    <n v="154"/>
    <s v="R01"/>
    <d v="2023-07-10T00:00:00"/>
    <n v="164"/>
    <n v="4.9000000000000004"/>
    <n v="2024"/>
    <s v="Monday"/>
    <x v="1"/>
    <n v="5"/>
    <s v="Long"/>
    <s v="Very High"/>
  </r>
  <r>
    <s v="Call_7882"/>
    <s v="C0008"/>
    <n v="131"/>
    <s v="R02"/>
    <d v="2023-07-11T00:00:00"/>
    <n v="76"/>
    <n v="4.5"/>
    <n v="2024"/>
    <s v="Tuesday"/>
    <x v="1"/>
    <n v="5"/>
    <s v="Long"/>
    <s v="Medium"/>
  </r>
  <r>
    <s v="Call_7883"/>
    <s v="C0005"/>
    <n v="73"/>
    <s v="R02"/>
    <d v="2023-07-12T00:00:00"/>
    <n v="87"/>
    <n v="4.8"/>
    <n v="2024"/>
    <s v="Wednesday"/>
    <x v="0"/>
    <n v="5"/>
    <s v="Long"/>
    <s v="Medium"/>
  </r>
  <r>
    <s v="Call_7884"/>
    <s v="C0013"/>
    <n v="45"/>
    <s v="R03"/>
    <d v="2023-07-12T00:00:00"/>
    <n v="84"/>
    <n v="4.8"/>
    <n v="2024"/>
    <s v="Wednesday"/>
    <x v="2"/>
    <n v="5"/>
    <s v="Medium"/>
    <s v="Medium"/>
  </r>
  <r>
    <s v="Call_7885"/>
    <s v="C0006"/>
    <n v="114"/>
    <s v="R04"/>
    <d v="2023-07-12T00:00:00"/>
    <n v="114"/>
    <n v="3.9"/>
    <n v="2024"/>
    <s v="Wednesday"/>
    <x v="0"/>
    <n v="4"/>
    <s v="Long"/>
    <s v="High"/>
  </r>
  <r>
    <s v="Call_7886"/>
    <s v="C0009"/>
    <n v="69"/>
    <s v="R02"/>
    <d v="2023-07-13T00:00:00"/>
    <n v="56"/>
    <n v="3.9"/>
    <n v="2024"/>
    <s v="Thursday"/>
    <x v="0"/>
    <n v="4"/>
    <s v="Long"/>
    <s v="Medium"/>
  </r>
  <r>
    <s v="Call_7887"/>
    <s v="C0008"/>
    <n v="33"/>
    <s v="R01"/>
    <d v="2023-07-13T00:00:00"/>
    <n v="27"/>
    <n v="3.7"/>
    <n v="2024"/>
    <s v="Thursday"/>
    <x v="2"/>
    <n v="4"/>
    <s v="Medium"/>
    <s v="Low"/>
  </r>
  <r>
    <s v="Call_7888"/>
    <s v="C0004"/>
    <n v="31"/>
    <s v="R05"/>
    <d v="2023-07-14T00:00:00"/>
    <n v="84"/>
    <n v="4.8"/>
    <n v="2024"/>
    <s v="Friday"/>
    <x v="2"/>
    <n v="5"/>
    <s v="Medium"/>
    <s v="Medium"/>
  </r>
  <r>
    <s v="Call_7889"/>
    <s v="C0013"/>
    <n v="168"/>
    <s v="R01"/>
    <d v="2023-07-14T00:00:00"/>
    <n v="72"/>
    <n v="3.5"/>
    <n v="2024"/>
    <s v="Friday"/>
    <x v="1"/>
    <n v="4"/>
    <s v="Long"/>
    <s v="Medium"/>
  </r>
  <r>
    <s v="Call_7890"/>
    <s v="C0005"/>
    <n v="111"/>
    <s v="R04"/>
    <d v="2023-07-15T00:00:00"/>
    <n v="126"/>
    <n v="4.2"/>
    <n v="2024"/>
    <s v="Saturday"/>
    <x v="0"/>
    <n v="4"/>
    <s v="Long"/>
    <s v="High"/>
  </r>
  <r>
    <s v="Call_7891"/>
    <s v="C0004"/>
    <n v="80"/>
    <s v="R01"/>
    <d v="2023-07-16T00:00:00"/>
    <n v="88"/>
    <n v="4.9000000000000004"/>
    <n v="2024"/>
    <s v="Sunday"/>
    <x v="0"/>
    <n v="5"/>
    <s v="Long"/>
    <s v="Medium"/>
  </r>
  <r>
    <s v="Call_7892"/>
    <s v="C0003"/>
    <n v="37"/>
    <s v="R01"/>
    <d v="2023-07-16T00:00:00"/>
    <n v="124"/>
    <n v="4.5999999999999996"/>
    <n v="2024"/>
    <s v="Sunday"/>
    <x v="2"/>
    <n v="5"/>
    <s v="Medium"/>
    <s v="High"/>
  </r>
  <r>
    <s v="Call_7893"/>
    <s v="C0001"/>
    <n v="137"/>
    <s v="R01"/>
    <d v="2023-07-17T00:00:00"/>
    <n v="84"/>
    <n v="2.6"/>
    <n v="2024"/>
    <s v="Monday"/>
    <x v="1"/>
    <n v="3"/>
    <s v="Long"/>
    <s v="Medium"/>
  </r>
  <r>
    <s v="Call_7894"/>
    <s v="C0009"/>
    <n v="123"/>
    <s v="R04"/>
    <d v="2023-07-17T00:00:00"/>
    <n v="80"/>
    <n v="2.7"/>
    <n v="2024"/>
    <s v="Monday"/>
    <x v="1"/>
    <n v="3"/>
    <s v="Long"/>
    <s v="Medium"/>
  </r>
  <r>
    <s v="Call_7895"/>
    <s v="C0012"/>
    <n v="105"/>
    <s v="R04"/>
    <d v="2023-07-18T00:00:00"/>
    <n v="176"/>
    <n v="4.7"/>
    <n v="2024"/>
    <s v="Tuesday"/>
    <x v="0"/>
    <n v="5"/>
    <s v="Long"/>
    <s v="Very High"/>
  </r>
  <r>
    <s v="Call_7896"/>
    <s v="C0003"/>
    <n v="76"/>
    <s v="R03"/>
    <d v="2023-07-19T00:00:00"/>
    <n v="84"/>
    <n v="3.9"/>
    <n v="2024"/>
    <s v="Wednesday"/>
    <x v="0"/>
    <n v="4"/>
    <s v="Long"/>
    <s v="Medium"/>
  </r>
  <r>
    <s v="Call_7897"/>
    <s v="C0004"/>
    <n v="144"/>
    <s v="R03"/>
    <d v="2023-07-19T00:00:00"/>
    <n v="164"/>
    <n v="2.8"/>
    <n v="2024"/>
    <s v="Wednesday"/>
    <x v="1"/>
    <n v="3"/>
    <s v="Long"/>
    <s v="Very High"/>
  </r>
  <r>
    <s v="Call_7898"/>
    <s v="C0008"/>
    <n v="109"/>
    <s v="R05"/>
    <d v="2023-07-19T00:00:00"/>
    <n v="132"/>
    <n v="3.1"/>
    <n v="2024"/>
    <s v="Wednesday"/>
    <x v="0"/>
    <n v="3"/>
    <s v="Long"/>
    <s v="High"/>
  </r>
  <r>
    <s v="Call_7899"/>
    <s v="C0009"/>
    <n v="172"/>
    <s v="R01"/>
    <d v="2023-07-20T00:00:00"/>
    <n v="27"/>
    <n v="4.2"/>
    <n v="2024"/>
    <s v="Thursday"/>
    <x v="1"/>
    <n v="4"/>
    <s v="Long"/>
    <s v="Low"/>
  </r>
  <r>
    <s v="Call_7900"/>
    <s v="C0004"/>
    <n v="56"/>
    <s v="R04"/>
    <d v="2023-07-20T00:00:00"/>
    <n v="27"/>
    <n v="4.3"/>
    <n v="2024"/>
    <s v="Thursday"/>
    <x v="2"/>
    <n v="4"/>
    <s v="Medium"/>
    <s v="Low"/>
  </r>
  <r>
    <s v="Call_7901"/>
    <s v="C0004"/>
    <n v="121"/>
    <s v="R02"/>
    <d v="2023-07-20T00:00:00"/>
    <n v="20"/>
    <n v="2.7"/>
    <n v="2024"/>
    <s v="Thursday"/>
    <x v="1"/>
    <n v="3"/>
    <s v="Long"/>
    <s v="Low"/>
  </r>
  <r>
    <s v="Call_7902"/>
    <s v="C0009"/>
    <n v="41"/>
    <s v="R04"/>
    <d v="2023-07-21T00:00:00"/>
    <n v="112"/>
    <n v="2.2999999999999998"/>
    <n v="2024"/>
    <s v="Friday"/>
    <x v="2"/>
    <n v="2"/>
    <s v="Medium"/>
    <s v="High"/>
  </r>
  <r>
    <s v="Call_7903"/>
    <s v="C0014"/>
    <n v="60"/>
    <s v="R01"/>
    <d v="2023-07-21T00:00:00"/>
    <n v="60"/>
    <n v="2.2999999999999998"/>
    <n v="2024"/>
    <s v="Friday"/>
    <x v="2"/>
    <n v="2"/>
    <s v="Medium"/>
    <s v="Medium"/>
  </r>
  <r>
    <s v="Call_7904"/>
    <s v="C0014"/>
    <n v="144"/>
    <s v="R01"/>
    <d v="2023-07-22T00:00:00"/>
    <n v="102"/>
    <n v="2.9"/>
    <n v="2024"/>
    <s v="Saturday"/>
    <x v="1"/>
    <n v="3"/>
    <s v="Long"/>
    <s v="High"/>
  </r>
  <r>
    <s v="Call_7905"/>
    <s v="C0011"/>
    <n v="67"/>
    <s v="R01"/>
    <d v="2023-07-22T00:00:00"/>
    <n v="38"/>
    <n v="4.2"/>
    <n v="2024"/>
    <s v="Saturday"/>
    <x v="0"/>
    <n v="4"/>
    <s v="Long"/>
    <s v="Low"/>
  </r>
  <r>
    <s v="Call_7906"/>
    <s v="C0009"/>
    <n v="162"/>
    <s v="R05"/>
    <d v="2023-07-22T00:00:00"/>
    <n v="82"/>
    <n v="4.5999999999999996"/>
    <n v="2024"/>
    <s v="Saturday"/>
    <x v="1"/>
    <n v="5"/>
    <s v="Long"/>
    <s v="Medium"/>
  </r>
  <r>
    <s v="Call_7907"/>
    <s v="C0014"/>
    <n v="87"/>
    <s v="R02"/>
    <d v="2023-07-25T00:00:00"/>
    <n v="125"/>
    <n v="4.5"/>
    <n v="2024"/>
    <s v="Tuesday"/>
    <x v="0"/>
    <n v="5"/>
    <s v="Long"/>
    <s v="High"/>
  </r>
  <r>
    <s v="Call_7908"/>
    <s v="C0015"/>
    <n v="10"/>
    <s v="R03"/>
    <d v="2023-07-26T00:00:00"/>
    <n v="72"/>
    <n v="3.7"/>
    <n v="2024"/>
    <s v="Wednesday"/>
    <x v="4"/>
    <n v="4"/>
    <s v="Very Short"/>
    <s v="Medium"/>
  </r>
  <r>
    <s v="Call_7909"/>
    <s v="C0004"/>
    <n v="138"/>
    <s v="R03"/>
    <d v="2023-07-26T00:00:00"/>
    <n v="195"/>
    <n v="4.0999999999999996"/>
    <n v="2024"/>
    <s v="Wednesday"/>
    <x v="1"/>
    <n v="4"/>
    <s v="Long"/>
    <s v="Very High"/>
  </r>
  <r>
    <s v="Call_7910"/>
    <s v="C0009"/>
    <n v="31"/>
    <s v="R03"/>
    <d v="2023-07-27T00:00:00"/>
    <n v="160"/>
    <n v="3.4"/>
    <n v="2024"/>
    <s v="Thursday"/>
    <x v="2"/>
    <n v="3"/>
    <s v="Medium"/>
    <s v="Very High"/>
  </r>
  <r>
    <s v="Call_7911"/>
    <s v="C0012"/>
    <n v="75"/>
    <s v="R05"/>
    <d v="2023-07-27T00:00:00"/>
    <n v="78"/>
    <n v="3.3"/>
    <n v="2024"/>
    <s v="Thursday"/>
    <x v="0"/>
    <n v="3"/>
    <s v="Long"/>
    <s v="Medium"/>
  </r>
  <r>
    <s v="Call_7912"/>
    <s v="C0003"/>
    <n v="65"/>
    <s v="R05"/>
    <d v="2023-07-28T00:00:00"/>
    <n v="70"/>
    <n v="4.4000000000000004"/>
    <n v="2024"/>
    <s v="Friday"/>
    <x v="0"/>
    <n v="4"/>
    <s v="Long"/>
    <s v="Medium"/>
  </r>
  <r>
    <s v="Call_7913"/>
    <s v="C0005"/>
    <n v="106"/>
    <s v="R04"/>
    <d v="2023-07-28T00:00:00"/>
    <n v="105"/>
    <n v="4.2"/>
    <n v="2024"/>
    <s v="Friday"/>
    <x v="0"/>
    <n v="4"/>
    <s v="Long"/>
    <s v="High"/>
  </r>
  <r>
    <s v="Call_7914"/>
    <s v="C0003"/>
    <n v="107"/>
    <s v="R04"/>
    <d v="2023-07-29T00:00:00"/>
    <n v="78"/>
    <n v="3.4"/>
    <n v="2024"/>
    <s v="Saturday"/>
    <x v="0"/>
    <n v="3"/>
    <s v="Long"/>
    <s v="Medium"/>
  </r>
  <r>
    <s v="Call_7915"/>
    <s v="C0001"/>
    <n v="78"/>
    <s v="R04"/>
    <d v="2023-07-31T00:00:00"/>
    <n v="205"/>
    <n v="4.4000000000000004"/>
    <n v="2024"/>
    <s v="Monday"/>
    <x v="0"/>
    <n v="4"/>
    <s v="Long"/>
    <s v="Very High"/>
  </r>
  <r>
    <s v="Call_7916"/>
    <s v="C0002"/>
    <n v="122"/>
    <s v="R04"/>
    <d v="2023-07-31T00:00:00"/>
    <n v="78"/>
    <n v="2.7"/>
    <n v="2024"/>
    <s v="Monday"/>
    <x v="1"/>
    <n v="3"/>
    <s v="Long"/>
    <s v="Medium"/>
  </r>
  <r>
    <s v="Call_7917"/>
    <s v="C0004"/>
    <n v="58"/>
    <s v="R03"/>
    <d v="2023-07-31T00:00:00"/>
    <n v="38"/>
    <n v="4.5"/>
    <n v="2024"/>
    <s v="Monday"/>
    <x v="2"/>
    <n v="5"/>
    <s v="Medium"/>
    <s v="Low"/>
  </r>
  <r>
    <s v="Call_7918"/>
    <s v="C0001"/>
    <n v="33"/>
    <s v="R01"/>
    <d v="2023-07-31T00:00:00"/>
    <n v="92"/>
    <n v="1.7"/>
    <n v="2024"/>
    <s v="Monday"/>
    <x v="2"/>
    <n v="2"/>
    <s v="Medium"/>
    <s v="Medium"/>
  </r>
  <r>
    <s v="Call_7919"/>
    <s v="C0008"/>
    <n v="164"/>
    <s v="R05"/>
    <d v="2023-07-31T00:00:00"/>
    <n v="36"/>
    <n v="4.7"/>
    <n v="2024"/>
    <s v="Monday"/>
    <x v="1"/>
    <n v="5"/>
    <s v="Long"/>
    <s v="Low"/>
  </r>
  <r>
    <s v="Call_7920"/>
    <s v="C0012"/>
    <n v="163"/>
    <s v="R02"/>
    <d v="2023-07-31T00:00:00"/>
    <n v="76"/>
    <n v="4.4000000000000004"/>
    <n v="2024"/>
    <s v="Monday"/>
    <x v="1"/>
    <n v="4"/>
    <s v="Long"/>
    <s v="Medium"/>
  </r>
  <r>
    <s v="Call_7921"/>
    <s v="C0007"/>
    <n v="71"/>
    <s v="R05"/>
    <d v="2023-08-02T00:00:00"/>
    <n v="170"/>
    <n v="3.5"/>
    <n v="2024"/>
    <s v="Wednesday"/>
    <x v="0"/>
    <n v="4"/>
    <s v="Long"/>
    <s v="Very High"/>
  </r>
  <r>
    <s v="Call_7922"/>
    <s v="C0001"/>
    <n v="103"/>
    <s v="R03"/>
    <d v="2023-08-03T00:00:00"/>
    <n v="117"/>
    <n v="4.7"/>
    <n v="2024"/>
    <s v="Thursday"/>
    <x v="0"/>
    <n v="5"/>
    <s v="Long"/>
    <s v="High"/>
  </r>
  <r>
    <s v="Call_7923"/>
    <s v="C0006"/>
    <n v="69"/>
    <s v="R02"/>
    <d v="2023-08-03T00:00:00"/>
    <n v="20"/>
    <n v="4.3"/>
    <n v="2024"/>
    <s v="Thursday"/>
    <x v="0"/>
    <n v="4"/>
    <s v="Long"/>
    <s v="Low"/>
  </r>
  <r>
    <s v="Call_7924"/>
    <s v="C0012"/>
    <n v="111"/>
    <s v="R03"/>
    <d v="2023-08-03T00:00:00"/>
    <n v="99"/>
    <n v="4.0999999999999996"/>
    <n v="2024"/>
    <s v="Thursday"/>
    <x v="0"/>
    <n v="4"/>
    <s v="Long"/>
    <s v="Medium"/>
  </r>
  <r>
    <s v="Call_7925"/>
    <s v="C0010"/>
    <n v="97"/>
    <s v="R02"/>
    <d v="2023-08-04T00:00:00"/>
    <n v="105"/>
    <n v="2.9"/>
    <n v="2024"/>
    <s v="Friday"/>
    <x v="0"/>
    <n v="3"/>
    <s v="Long"/>
    <s v="High"/>
  </r>
  <r>
    <s v="Call_7926"/>
    <s v="C0013"/>
    <n v="144"/>
    <s v="R04"/>
    <d v="2023-08-04T00:00:00"/>
    <n v="195"/>
    <n v="3.4"/>
    <n v="2024"/>
    <s v="Friday"/>
    <x v="1"/>
    <n v="3"/>
    <s v="Long"/>
    <s v="Very High"/>
  </r>
  <r>
    <s v="Call_7927"/>
    <s v="C0005"/>
    <n v="56"/>
    <s v="R02"/>
    <d v="2023-08-05T00:00:00"/>
    <n v="152"/>
    <n v="4.5999999999999996"/>
    <n v="2024"/>
    <s v="Saturday"/>
    <x v="2"/>
    <n v="5"/>
    <s v="Medium"/>
    <s v="Very High"/>
  </r>
  <r>
    <s v="Call_7928"/>
    <s v="C0013"/>
    <n v="132"/>
    <s v="R04"/>
    <d v="2023-08-06T00:00:00"/>
    <n v="195"/>
    <n v="4.9000000000000004"/>
    <n v="2024"/>
    <s v="Sunday"/>
    <x v="1"/>
    <n v="5"/>
    <s v="Long"/>
    <s v="Very High"/>
  </r>
  <r>
    <s v="Call_7929"/>
    <s v="C0007"/>
    <n v="72"/>
    <s v="R01"/>
    <d v="2023-08-06T00:00:00"/>
    <n v="70"/>
    <n v="3.6"/>
    <n v="2024"/>
    <s v="Sunday"/>
    <x v="0"/>
    <n v="4"/>
    <s v="Long"/>
    <s v="Medium"/>
  </r>
  <r>
    <s v="Call_7930"/>
    <s v="C0012"/>
    <n v="18"/>
    <s v="R01"/>
    <d v="2023-08-06T00:00:00"/>
    <n v="22"/>
    <n v="3.5"/>
    <n v="2024"/>
    <s v="Sunday"/>
    <x v="3"/>
    <n v="4"/>
    <s v="Short"/>
    <s v="Low"/>
  </r>
  <r>
    <s v="Call_7931"/>
    <s v="C0011"/>
    <n v="115"/>
    <s v="R03"/>
    <d v="2023-08-07T00:00:00"/>
    <n v="40"/>
    <n v="3.3"/>
    <n v="2024"/>
    <s v="Monday"/>
    <x v="0"/>
    <n v="3"/>
    <s v="Long"/>
    <s v="Low"/>
  </r>
  <r>
    <s v="Call_7932"/>
    <s v="C0011"/>
    <n v="124"/>
    <s v="R02"/>
    <d v="2023-08-08T00:00:00"/>
    <n v="54"/>
    <n v="3.8"/>
    <n v="2024"/>
    <s v="Tuesday"/>
    <x v="1"/>
    <n v="4"/>
    <s v="Long"/>
    <s v="Medium"/>
  </r>
  <r>
    <s v="Call_7933"/>
    <s v="C0004"/>
    <n v="130"/>
    <s v="R02"/>
    <d v="2023-08-08T00:00:00"/>
    <n v="60"/>
    <n v="2.5"/>
    <n v="2024"/>
    <s v="Tuesday"/>
    <x v="1"/>
    <n v="3"/>
    <s v="Long"/>
    <s v="Medium"/>
  </r>
  <r>
    <s v="Call_7934"/>
    <s v="C0015"/>
    <n v="120"/>
    <s v="R05"/>
    <d v="2023-08-10T00:00:00"/>
    <n v="58"/>
    <n v="4.5999999999999996"/>
    <n v="2024"/>
    <s v="Thursday"/>
    <x v="0"/>
    <n v="5"/>
    <s v="Long"/>
    <s v="Medium"/>
  </r>
  <r>
    <s v="Call_7935"/>
    <s v="C0010"/>
    <n v="75"/>
    <s v="R03"/>
    <d v="2023-08-10T00:00:00"/>
    <n v="220"/>
    <n v="4.7"/>
    <n v="2024"/>
    <s v="Thursday"/>
    <x v="0"/>
    <n v="5"/>
    <s v="Long"/>
    <s v="Very High"/>
  </r>
  <r>
    <s v="Call_7936"/>
    <s v="C0003"/>
    <n v="63"/>
    <s v="R03"/>
    <d v="2023-08-10T00:00:00"/>
    <n v="27"/>
    <n v="3.6"/>
    <n v="2024"/>
    <s v="Thursday"/>
    <x v="0"/>
    <n v="4"/>
    <s v="Long"/>
    <s v="Low"/>
  </r>
  <r>
    <s v="Call_7937"/>
    <s v="C0013"/>
    <n v="74"/>
    <s v="R03"/>
    <d v="2023-08-12T00:00:00"/>
    <n v="26"/>
    <n v="4.3"/>
    <n v="2024"/>
    <s v="Saturday"/>
    <x v="0"/>
    <n v="4"/>
    <s v="Long"/>
    <s v="Low"/>
  </r>
  <r>
    <s v="Call_7938"/>
    <s v="C0006"/>
    <n v="134"/>
    <s v="R04"/>
    <d v="2023-08-13T00:00:00"/>
    <n v="160"/>
    <n v="4.7"/>
    <n v="2024"/>
    <s v="Sunday"/>
    <x v="1"/>
    <n v="5"/>
    <s v="Long"/>
    <s v="Very High"/>
  </r>
  <r>
    <s v="Call_7939"/>
    <s v="C0012"/>
    <n v="103"/>
    <s v="R02"/>
    <d v="2023-08-13T00:00:00"/>
    <n v="200"/>
    <n v="4.9000000000000004"/>
    <n v="2024"/>
    <s v="Sunday"/>
    <x v="0"/>
    <n v="5"/>
    <s v="Long"/>
    <s v="Very High"/>
  </r>
  <r>
    <s v="Call_7940"/>
    <s v="C0012"/>
    <n v="155"/>
    <s v="R05"/>
    <d v="2023-08-16T00:00:00"/>
    <n v="135"/>
    <n v="4.9000000000000004"/>
    <n v="2024"/>
    <s v="Wednesday"/>
    <x v="1"/>
    <n v="5"/>
    <s v="Long"/>
    <s v="High"/>
  </r>
  <r>
    <s v="Call_7941"/>
    <s v="C0003"/>
    <n v="128"/>
    <s v="R02"/>
    <d v="2023-08-17T00:00:00"/>
    <n v="22"/>
    <n v="1.9"/>
    <n v="2024"/>
    <s v="Thursday"/>
    <x v="1"/>
    <n v="2"/>
    <s v="Long"/>
    <s v="Low"/>
  </r>
  <r>
    <s v="Call_7942"/>
    <s v="C0010"/>
    <n v="89"/>
    <s v="R04"/>
    <d v="2023-08-18T00:00:00"/>
    <n v="164"/>
    <n v="4.5"/>
    <n v="2024"/>
    <s v="Friday"/>
    <x v="0"/>
    <n v="5"/>
    <s v="Long"/>
    <s v="Very High"/>
  </r>
  <r>
    <s v="Call_7943"/>
    <s v="C0011"/>
    <n v="81"/>
    <s v="R05"/>
    <d v="2023-08-18T00:00:00"/>
    <n v="21"/>
    <n v="4.9000000000000004"/>
    <n v="2024"/>
    <s v="Friday"/>
    <x v="0"/>
    <n v="5"/>
    <s v="Long"/>
    <s v="Low"/>
  </r>
  <r>
    <s v="Call_7944"/>
    <s v="C0010"/>
    <n v="66"/>
    <s v="R04"/>
    <d v="2023-08-19T00:00:00"/>
    <n v="120"/>
    <n v="4.5"/>
    <n v="2024"/>
    <s v="Saturday"/>
    <x v="0"/>
    <n v="5"/>
    <s v="Long"/>
    <s v="High"/>
  </r>
  <r>
    <s v="Call_7945"/>
    <s v="C0007"/>
    <n v="61"/>
    <s v="R01"/>
    <d v="2023-08-19T00:00:00"/>
    <n v="93"/>
    <n v="2.7"/>
    <n v="2024"/>
    <s v="Saturday"/>
    <x v="0"/>
    <n v="3"/>
    <s v="Long"/>
    <s v="Medium"/>
  </r>
  <r>
    <s v="Call_7946"/>
    <s v="C0011"/>
    <n v="128"/>
    <s v="R01"/>
    <d v="2023-08-19T00:00:00"/>
    <n v="135"/>
    <n v="2.1"/>
    <n v="2024"/>
    <s v="Saturday"/>
    <x v="1"/>
    <n v="2"/>
    <s v="Long"/>
    <s v="High"/>
  </r>
  <r>
    <s v="Call_7947"/>
    <s v="C0012"/>
    <n v="30"/>
    <s v="R05"/>
    <d v="2023-08-19T00:00:00"/>
    <n v="210"/>
    <n v="4.2"/>
    <n v="2024"/>
    <s v="Saturday"/>
    <x v="3"/>
    <n v="4"/>
    <s v="Short"/>
    <s v="Very High"/>
  </r>
  <r>
    <s v="Call_7948"/>
    <s v="C0008"/>
    <n v="63"/>
    <s v="R01"/>
    <d v="2023-08-20T00:00:00"/>
    <n v="29"/>
    <n v="4.7"/>
    <n v="2024"/>
    <s v="Sunday"/>
    <x v="0"/>
    <n v="5"/>
    <s v="Long"/>
    <s v="Low"/>
  </r>
  <r>
    <s v="Call_7949"/>
    <s v="C0002"/>
    <n v="64"/>
    <s v="R03"/>
    <d v="2023-08-20T00:00:00"/>
    <n v="111"/>
    <n v="3.9"/>
    <n v="2024"/>
    <s v="Sunday"/>
    <x v="0"/>
    <n v="4"/>
    <s v="Long"/>
    <s v="High"/>
  </r>
  <r>
    <s v="Call_7950"/>
    <s v="C0014"/>
    <n v="151"/>
    <s v="R02"/>
    <d v="2023-08-21T00:00:00"/>
    <n v="63"/>
    <n v="4.0999999999999996"/>
    <n v="2024"/>
    <s v="Monday"/>
    <x v="1"/>
    <n v="4"/>
    <s v="Long"/>
    <s v="Medium"/>
  </r>
  <r>
    <s v="Call_7951"/>
    <s v="C0001"/>
    <n v="116"/>
    <s v="R04"/>
    <d v="2023-08-21T00:00:00"/>
    <n v="44"/>
    <n v="3.8"/>
    <n v="2024"/>
    <s v="Monday"/>
    <x v="0"/>
    <n v="4"/>
    <s v="Long"/>
    <s v="Low"/>
  </r>
  <r>
    <s v="Call_7952"/>
    <s v="C0014"/>
    <n v="111"/>
    <s v="R04"/>
    <d v="2023-08-23T00:00:00"/>
    <n v="120"/>
    <n v="1.8"/>
    <n v="2024"/>
    <s v="Wednesday"/>
    <x v="0"/>
    <n v="2"/>
    <s v="Long"/>
    <s v="High"/>
  </r>
  <r>
    <s v="Call_7953"/>
    <s v="C0011"/>
    <n v="15"/>
    <s v="R04"/>
    <d v="2023-08-23T00:00:00"/>
    <n v="120"/>
    <n v="4.0999999999999996"/>
    <n v="2024"/>
    <s v="Wednesday"/>
    <x v="3"/>
    <n v="4"/>
    <s v="Very Short"/>
    <s v="High"/>
  </r>
  <r>
    <s v="Call_7954"/>
    <s v="C0002"/>
    <n v="18"/>
    <s v="R02"/>
    <d v="2023-08-24T00:00:00"/>
    <n v="40"/>
    <n v="4.4000000000000004"/>
    <n v="2024"/>
    <s v="Thursday"/>
    <x v="3"/>
    <n v="4"/>
    <s v="Short"/>
    <s v="Low"/>
  </r>
  <r>
    <s v="Call_7955"/>
    <s v="C0007"/>
    <n v="146"/>
    <s v="R01"/>
    <d v="2023-08-24T00:00:00"/>
    <n v="160"/>
    <n v="4.0999999999999996"/>
    <n v="2024"/>
    <s v="Thursday"/>
    <x v="1"/>
    <n v="4"/>
    <s v="Long"/>
    <s v="Very High"/>
  </r>
  <r>
    <s v="Call_7956"/>
    <s v="C0012"/>
    <n v="73"/>
    <s v="R04"/>
    <d v="2023-08-25T00:00:00"/>
    <n v="44"/>
    <n v="3.8"/>
    <n v="2024"/>
    <s v="Friday"/>
    <x v="0"/>
    <n v="4"/>
    <s v="Long"/>
    <s v="Low"/>
  </r>
  <r>
    <s v="Call_7957"/>
    <s v="C0014"/>
    <n v="108"/>
    <s v="R02"/>
    <d v="2023-08-25T00:00:00"/>
    <n v="80"/>
    <n v="4.3"/>
    <n v="2024"/>
    <s v="Friday"/>
    <x v="0"/>
    <n v="4"/>
    <s v="Long"/>
    <s v="Medium"/>
  </r>
  <r>
    <s v="Call_7958"/>
    <s v="C0006"/>
    <n v="52"/>
    <s v="R02"/>
    <d v="2023-08-26T00:00:00"/>
    <n v="66"/>
    <n v="4.5"/>
    <n v="2024"/>
    <s v="Saturday"/>
    <x v="2"/>
    <n v="5"/>
    <s v="Medium"/>
    <s v="Medium"/>
  </r>
  <r>
    <s v="Call_7959"/>
    <s v="C0001"/>
    <n v="165"/>
    <s v="R03"/>
    <d v="2023-08-26T00:00:00"/>
    <n v="82"/>
    <n v="3.4"/>
    <n v="2024"/>
    <s v="Saturday"/>
    <x v="1"/>
    <n v="3"/>
    <s v="Long"/>
    <s v="Medium"/>
  </r>
  <r>
    <s v="Call_7960"/>
    <s v="C0007"/>
    <n v="104"/>
    <s v="R04"/>
    <d v="2023-08-26T00:00:00"/>
    <n v="66"/>
    <n v="4.8"/>
    <n v="2024"/>
    <s v="Saturday"/>
    <x v="0"/>
    <n v="5"/>
    <s v="Long"/>
    <s v="Medium"/>
  </r>
  <r>
    <s v="Call_7961"/>
    <s v="C0012"/>
    <n v="131"/>
    <s v="R01"/>
    <d v="2023-08-26T00:00:00"/>
    <n v="92"/>
    <n v="4.9000000000000004"/>
    <n v="2024"/>
    <s v="Saturday"/>
    <x v="1"/>
    <n v="5"/>
    <s v="Long"/>
    <s v="Medium"/>
  </r>
  <r>
    <s v="Call_7962"/>
    <s v="C0015"/>
    <n v="80"/>
    <s v="R03"/>
    <d v="2023-08-27T00:00:00"/>
    <n v="104"/>
    <n v="4.7"/>
    <n v="2024"/>
    <s v="Sunday"/>
    <x v="0"/>
    <n v="5"/>
    <s v="Long"/>
    <s v="High"/>
  </r>
  <r>
    <s v="Call_7963"/>
    <s v="C0011"/>
    <n v="49"/>
    <s v="R04"/>
    <d v="2023-08-27T00:00:00"/>
    <n v="105"/>
    <n v="3.3"/>
    <n v="2024"/>
    <s v="Sunday"/>
    <x v="2"/>
    <n v="3"/>
    <s v="Medium"/>
    <s v="High"/>
  </r>
  <r>
    <s v="Call_7964"/>
    <s v="C0001"/>
    <n v="73"/>
    <s v="R04"/>
    <d v="2023-08-27T00:00:00"/>
    <n v="100"/>
    <n v="2.8"/>
    <n v="2024"/>
    <s v="Sunday"/>
    <x v="0"/>
    <n v="3"/>
    <s v="Long"/>
    <s v="Medium"/>
  </r>
  <r>
    <s v="Call_7965"/>
    <s v="C0007"/>
    <n v="117"/>
    <s v="R03"/>
    <d v="2023-08-27T00:00:00"/>
    <n v="90"/>
    <n v="4.0999999999999996"/>
    <n v="2024"/>
    <s v="Sunday"/>
    <x v="0"/>
    <n v="4"/>
    <s v="Long"/>
    <s v="Medium"/>
  </r>
  <r>
    <s v="Call_7966"/>
    <s v="C0005"/>
    <n v="38"/>
    <s v="R05"/>
    <d v="2023-08-27T00:00:00"/>
    <n v="110"/>
    <n v="3.5"/>
    <n v="2024"/>
    <s v="Sunday"/>
    <x v="2"/>
    <n v="4"/>
    <s v="Medium"/>
    <s v="High"/>
  </r>
  <r>
    <s v="Call_7967"/>
    <s v="C0006"/>
    <n v="109"/>
    <s v="R03"/>
    <d v="2023-08-29T00:00:00"/>
    <n v="68"/>
    <n v="2.2999999999999998"/>
    <n v="2024"/>
    <s v="Tuesday"/>
    <x v="0"/>
    <n v="2"/>
    <s v="Long"/>
    <s v="Medium"/>
  </r>
  <r>
    <s v="Call_7968"/>
    <s v="C0011"/>
    <n v="70"/>
    <s v="R02"/>
    <d v="2023-08-30T00:00:00"/>
    <n v="210"/>
    <n v="4.0999999999999996"/>
    <n v="2024"/>
    <s v="Wednesday"/>
    <x v="0"/>
    <n v="4"/>
    <s v="Long"/>
    <s v="Very High"/>
  </r>
  <r>
    <s v="Call_7969"/>
    <s v="C0004"/>
    <n v="51"/>
    <s v="R05"/>
    <d v="2023-08-30T00:00:00"/>
    <n v="111"/>
    <n v="4.3"/>
    <n v="2024"/>
    <s v="Wednesday"/>
    <x v="2"/>
    <n v="4"/>
    <s v="Medium"/>
    <s v="High"/>
  </r>
  <r>
    <s v="Call_7970"/>
    <s v="C0004"/>
    <n v="100"/>
    <s v="R02"/>
    <d v="2023-08-31T00:00:00"/>
    <n v="45"/>
    <n v="4.9000000000000004"/>
    <n v="2024"/>
    <s v="Thursday"/>
    <x v="0"/>
    <n v="5"/>
    <s v="Long"/>
    <s v="Low"/>
  </r>
  <r>
    <s v="Call_7971"/>
    <s v="C0013"/>
    <n v="124"/>
    <s v="R05"/>
    <d v="2023-09-01T00:00:00"/>
    <n v="132"/>
    <n v="4"/>
    <n v="2024"/>
    <s v="Friday"/>
    <x v="1"/>
    <n v="4"/>
    <s v="Long"/>
    <s v="High"/>
  </r>
  <r>
    <s v="Call_7972"/>
    <s v="C0003"/>
    <n v="143"/>
    <s v="R03"/>
    <d v="2023-09-01T00:00:00"/>
    <n v="20"/>
    <n v="4.7"/>
    <n v="2024"/>
    <s v="Friday"/>
    <x v="1"/>
    <n v="5"/>
    <s v="Long"/>
    <s v="Low"/>
  </r>
  <r>
    <s v="Call_7973"/>
    <s v="C0010"/>
    <n v="96"/>
    <s v="R04"/>
    <d v="2023-09-01T00:00:00"/>
    <n v="36"/>
    <n v="3.4"/>
    <n v="2024"/>
    <s v="Friday"/>
    <x v="0"/>
    <n v="3"/>
    <s v="Long"/>
    <s v="Low"/>
  </r>
  <r>
    <s v="Call_7974"/>
    <s v="C0001"/>
    <n v="84"/>
    <s v="R02"/>
    <d v="2023-09-03T00:00:00"/>
    <n v="72"/>
    <n v="4"/>
    <n v="2024"/>
    <s v="Sunday"/>
    <x v="0"/>
    <n v="4"/>
    <s v="Long"/>
    <s v="Medium"/>
  </r>
  <r>
    <s v="Call_7975"/>
    <s v="C0009"/>
    <n v="111"/>
    <s v="R02"/>
    <d v="2023-09-03T00:00:00"/>
    <n v="63"/>
    <n v="4.5"/>
    <n v="2024"/>
    <s v="Sunday"/>
    <x v="0"/>
    <n v="5"/>
    <s v="Long"/>
    <s v="Medium"/>
  </r>
  <r>
    <s v="Call_7976"/>
    <s v="C0009"/>
    <n v="103"/>
    <s v="R05"/>
    <d v="2023-09-04T00:00:00"/>
    <n v="44"/>
    <n v="4.5"/>
    <n v="2024"/>
    <s v="Monday"/>
    <x v="0"/>
    <n v="5"/>
    <s v="Long"/>
    <s v="Low"/>
  </r>
  <r>
    <s v="Call_7977"/>
    <s v="C0003"/>
    <n v="61"/>
    <s v="R01"/>
    <d v="2023-09-04T00:00:00"/>
    <n v="132"/>
    <n v="4.9000000000000004"/>
    <n v="2024"/>
    <s v="Monday"/>
    <x v="0"/>
    <n v="5"/>
    <s v="Long"/>
    <s v="High"/>
  </r>
  <r>
    <s v="Call_7978"/>
    <s v="C0012"/>
    <n v="113"/>
    <s v="R04"/>
    <d v="2023-09-04T00:00:00"/>
    <n v="46"/>
    <n v="4.4000000000000004"/>
    <n v="2024"/>
    <s v="Monday"/>
    <x v="0"/>
    <n v="4"/>
    <s v="Long"/>
    <s v="Low"/>
  </r>
  <r>
    <s v="Call_7979"/>
    <s v="C0012"/>
    <n v="96"/>
    <s v="R04"/>
    <d v="2023-09-04T00:00:00"/>
    <n v="96"/>
    <n v="2.9"/>
    <n v="2024"/>
    <s v="Monday"/>
    <x v="0"/>
    <n v="3"/>
    <s v="Long"/>
    <s v="Medium"/>
  </r>
  <r>
    <s v="Call_7980"/>
    <s v="C0002"/>
    <n v="131"/>
    <s v="R05"/>
    <d v="2023-09-05T00:00:00"/>
    <n v="75"/>
    <n v="4.4000000000000004"/>
    <n v="2024"/>
    <s v="Tuesday"/>
    <x v="1"/>
    <n v="4"/>
    <s v="Long"/>
    <s v="Medium"/>
  </r>
  <r>
    <s v="Call_7981"/>
    <s v="C0007"/>
    <n v="52"/>
    <s v="R04"/>
    <d v="2023-09-06T00:00:00"/>
    <n v="88"/>
    <n v="4.3"/>
    <n v="2024"/>
    <s v="Wednesday"/>
    <x v="2"/>
    <n v="4"/>
    <s v="Medium"/>
    <s v="Medium"/>
  </r>
  <r>
    <s v="Call_7982"/>
    <s v="C0004"/>
    <n v="100"/>
    <s v="R05"/>
    <d v="2023-09-06T00:00:00"/>
    <n v="24"/>
    <n v="4.7"/>
    <n v="2024"/>
    <s v="Wednesday"/>
    <x v="0"/>
    <n v="5"/>
    <s v="Long"/>
    <s v="Low"/>
  </r>
  <r>
    <s v="Call_7983"/>
    <s v="C0014"/>
    <n v="58"/>
    <s v="R03"/>
    <d v="2023-09-06T00:00:00"/>
    <n v="96"/>
    <n v="3.2"/>
    <n v="2024"/>
    <s v="Wednesday"/>
    <x v="2"/>
    <n v="3"/>
    <s v="Medium"/>
    <s v="Medium"/>
  </r>
  <r>
    <s v="Call_7984"/>
    <s v="C0011"/>
    <n v="144"/>
    <s v="R03"/>
    <d v="2023-09-07T00:00:00"/>
    <n v="124"/>
    <n v="2.2999999999999998"/>
    <n v="2024"/>
    <s v="Thursday"/>
    <x v="1"/>
    <n v="2"/>
    <s v="Long"/>
    <s v="High"/>
  </r>
  <r>
    <s v="Call_7985"/>
    <s v="C0014"/>
    <n v="53"/>
    <s v="R01"/>
    <d v="2023-09-08T00:00:00"/>
    <n v="130"/>
    <n v="3.6"/>
    <n v="2024"/>
    <s v="Friday"/>
    <x v="2"/>
    <n v="4"/>
    <s v="Medium"/>
    <s v="High"/>
  </r>
  <r>
    <s v="Call_7986"/>
    <s v="C0012"/>
    <n v="97"/>
    <s v="R02"/>
    <d v="2023-09-08T00:00:00"/>
    <n v="45"/>
    <n v="4.5999999999999996"/>
    <n v="2024"/>
    <s v="Friday"/>
    <x v="0"/>
    <n v="5"/>
    <s v="Long"/>
    <s v="Low"/>
  </r>
  <r>
    <s v="Call_7987"/>
    <s v="C0005"/>
    <n v="64"/>
    <s v="R03"/>
    <d v="2023-09-08T00:00:00"/>
    <n v="66"/>
    <n v="4"/>
    <n v="2024"/>
    <s v="Friday"/>
    <x v="0"/>
    <n v="4"/>
    <s v="Long"/>
    <s v="Medium"/>
  </r>
  <r>
    <s v="Call_7988"/>
    <s v="C0003"/>
    <n v="106"/>
    <s v="R05"/>
    <d v="2023-09-08T00:00:00"/>
    <n v="58"/>
    <n v="4.7"/>
    <n v="2024"/>
    <s v="Friday"/>
    <x v="0"/>
    <n v="5"/>
    <s v="Long"/>
    <s v="Medium"/>
  </r>
  <r>
    <s v="Call_7989"/>
    <s v="C0001"/>
    <n v="36"/>
    <s v="R03"/>
    <d v="2023-09-09T00:00:00"/>
    <n v="152"/>
    <n v="4.3"/>
    <n v="2024"/>
    <s v="Saturday"/>
    <x v="2"/>
    <n v="4"/>
    <s v="Medium"/>
    <s v="Very High"/>
  </r>
  <r>
    <s v="Call_7990"/>
    <s v="C0011"/>
    <n v="74"/>
    <s v="R04"/>
    <d v="2023-09-09T00:00:00"/>
    <n v="75"/>
    <n v="2.8"/>
    <n v="2024"/>
    <s v="Saturday"/>
    <x v="0"/>
    <n v="3"/>
    <s v="Long"/>
    <s v="Medium"/>
  </r>
  <r>
    <s v="Call_7991"/>
    <s v="C0006"/>
    <n v="143"/>
    <s v="R02"/>
    <d v="2023-09-09T00:00:00"/>
    <n v="78"/>
    <n v="4"/>
    <n v="2024"/>
    <s v="Saturday"/>
    <x v="1"/>
    <n v="4"/>
    <s v="Long"/>
    <s v="Medium"/>
  </r>
  <r>
    <s v="Call_7992"/>
    <s v="C0003"/>
    <n v="94"/>
    <s v="R01"/>
    <d v="2023-09-09T00:00:00"/>
    <n v="69"/>
    <n v="3.9"/>
    <n v="2024"/>
    <s v="Saturday"/>
    <x v="0"/>
    <n v="4"/>
    <s v="Long"/>
    <s v="Medium"/>
  </r>
  <r>
    <s v="Call_7993"/>
    <s v="C0015"/>
    <n v="124"/>
    <s v="R05"/>
    <d v="2023-09-10T00:00:00"/>
    <n v="46"/>
    <n v="3.1"/>
    <n v="2024"/>
    <s v="Sunday"/>
    <x v="1"/>
    <n v="3"/>
    <s v="Long"/>
    <s v="Low"/>
  </r>
  <r>
    <s v="Call_7994"/>
    <s v="C0001"/>
    <n v="156"/>
    <s v="R03"/>
    <d v="2023-09-10T00:00:00"/>
    <n v="64"/>
    <n v="2.7"/>
    <n v="2024"/>
    <s v="Sunday"/>
    <x v="1"/>
    <n v="3"/>
    <s v="Long"/>
    <s v="Medium"/>
  </r>
  <r>
    <s v="Call_7995"/>
    <s v="C0010"/>
    <n v="107"/>
    <s v="R02"/>
    <d v="2023-09-10T00:00:00"/>
    <n v="38"/>
    <n v="4.7"/>
    <n v="2024"/>
    <s v="Sunday"/>
    <x v="0"/>
    <n v="5"/>
    <s v="Long"/>
    <s v="Low"/>
  </r>
  <r>
    <s v="Call_7996"/>
    <s v="C0003"/>
    <n v="58"/>
    <s v="R02"/>
    <d v="2023-09-12T00:00:00"/>
    <n v="90"/>
    <n v="4.3"/>
    <n v="2024"/>
    <s v="Tuesday"/>
    <x v="2"/>
    <n v="4"/>
    <s v="Medium"/>
    <s v="Medium"/>
  </r>
  <r>
    <s v="Call_7997"/>
    <s v="C0013"/>
    <n v="66"/>
    <s v="R02"/>
    <d v="2023-09-12T00:00:00"/>
    <n v="32"/>
    <n v="3.8"/>
    <n v="2024"/>
    <s v="Tuesday"/>
    <x v="0"/>
    <n v="4"/>
    <s v="Long"/>
    <s v="Low"/>
  </r>
  <r>
    <s v="Call_7998"/>
    <s v="C0002"/>
    <n v="75"/>
    <s v="R03"/>
    <d v="2023-09-12T00:00:00"/>
    <n v="120"/>
    <n v="4.4000000000000004"/>
    <n v="2024"/>
    <s v="Tuesday"/>
    <x v="0"/>
    <n v="4"/>
    <s v="Long"/>
    <s v="High"/>
  </r>
  <r>
    <s v="Call_7999"/>
    <s v="C0010"/>
    <n v="8"/>
    <s v="R02"/>
    <d v="2023-09-12T00:00:00"/>
    <n v="31"/>
    <n v="3.9"/>
    <n v="2024"/>
    <s v="Tuesday"/>
    <x v="4"/>
    <n v="4"/>
    <s v="Very Short"/>
    <s v="Low"/>
  </r>
  <r>
    <s v="Call_8000"/>
    <s v="C0005"/>
    <n v="76"/>
    <s v="R03"/>
    <d v="2023-09-13T00:00:00"/>
    <n v="108"/>
    <n v="4.9000000000000004"/>
    <n v="2024"/>
    <s v="Wednesday"/>
    <x v="0"/>
    <n v="5"/>
    <s v="Long"/>
    <s v="High"/>
  </r>
  <r>
    <s v="Call_8001"/>
    <s v="C0003"/>
    <n v="110"/>
    <s v="R03"/>
    <d v="2023-09-13T00:00:00"/>
    <n v="180"/>
    <n v="4.2"/>
    <n v="2024"/>
    <s v="Wednesday"/>
    <x v="0"/>
    <n v="4"/>
    <s v="Long"/>
    <s v="Very High"/>
  </r>
  <r>
    <s v="Call_8002"/>
    <s v="C0013"/>
    <n v="50"/>
    <s v="R01"/>
    <d v="2023-09-14T00:00:00"/>
    <n v="124"/>
    <n v="4"/>
    <n v="2024"/>
    <s v="Thursday"/>
    <x v="2"/>
    <n v="4"/>
    <s v="Medium"/>
    <s v="High"/>
  </r>
  <r>
    <s v="Call_8003"/>
    <s v="C0007"/>
    <n v="78"/>
    <s v="R01"/>
    <d v="2023-09-14T00:00:00"/>
    <n v="23"/>
    <n v="4.2"/>
    <n v="2024"/>
    <s v="Thursday"/>
    <x v="0"/>
    <n v="4"/>
    <s v="Long"/>
    <s v="Low"/>
  </r>
  <r>
    <s v="Call_8004"/>
    <s v="C0012"/>
    <n v="59"/>
    <s v="R05"/>
    <d v="2023-09-15T00:00:00"/>
    <n v="24"/>
    <n v="4.8"/>
    <n v="2024"/>
    <s v="Friday"/>
    <x v="2"/>
    <n v="5"/>
    <s v="Medium"/>
    <s v="Low"/>
  </r>
  <r>
    <s v="Call_8005"/>
    <s v="C0007"/>
    <n v="126"/>
    <s v="R02"/>
    <d v="2023-09-16T00:00:00"/>
    <n v="52"/>
    <n v="1.1000000000000001"/>
    <n v="2024"/>
    <s v="Saturday"/>
    <x v="1"/>
    <n v="1"/>
    <s v="Long"/>
    <s v="Medium"/>
  </r>
  <r>
    <s v="Call_8006"/>
    <s v="C0005"/>
    <n v="43"/>
    <s v="R05"/>
    <d v="2023-09-17T00:00:00"/>
    <n v="168"/>
    <n v="4"/>
    <n v="2024"/>
    <s v="Sunday"/>
    <x v="2"/>
    <n v="4"/>
    <s v="Medium"/>
    <s v="Very High"/>
  </r>
  <r>
    <s v="Call_8007"/>
    <s v="C0001"/>
    <n v="79"/>
    <s v="R03"/>
    <d v="2023-09-19T00:00:00"/>
    <n v="125"/>
    <n v="4.8"/>
    <n v="2024"/>
    <s v="Tuesday"/>
    <x v="0"/>
    <n v="5"/>
    <s v="Long"/>
    <s v="High"/>
  </r>
  <r>
    <s v="Call_8008"/>
    <s v="C0003"/>
    <n v="71"/>
    <s v="R05"/>
    <d v="2023-09-20T00:00:00"/>
    <n v="50"/>
    <n v="4.2"/>
    <n v="2024"/>
    <s v="Wednesday"/>
    <x v="0"/>
    <n v="4"/>
    <s v="Long"/>
    <s v="Low"/>
  </r>
  <r>
    <s v="Call_8009"/>
    <s v="C0009"/>
    <n v="94"/>
    <s v="R02"/>
    <d v="2023-09-21T00:00:00"/>
    <n v="220"/>
    <n v="4.5999999999999996"/>
    <n v="2024"/>
    <s v="Thursday"/>
    <x v="0"/>
    <n v="5"/>
    <s v="Long"/>
    <s v="Very High"/>
  </r>
  <r>
    <s v="Call_8010"/>
    <s v="C0010"/>
    <n v="108"/>
    <s v="R05"/>
    <d v="2023-09-21T00:00:00"/>
    <n v="180"/>
    <n v="4"/>
    <n v="2024"/>
    <s v="Thursday"/>
    <x v="0"/>
    <n v="4"/>
    <s v="Long"/>
    <s v="Very High"/>
  </r>
  <r>
    <s v="Call_8011"/>
    <s v="C0005"/>
    <n v="76"/>
    <s v="R02"/>
    <d v="2023-09-21T00:00:00"/>
    <n v="110"/>
    <n v="3.9"/>
    <n v="2024"/>
    <s v="Thursday"/>
    <x v="0"/>
    <n v="4"/>
    <s v="Long"/>
    <s v="High"/>
  </r>
  <r>
    <s v="Call_8012"/>
    <s v="C0012"/>
    <n v="136"/>
    <s v="R05"/>
    <d v="2023-09-21T00:00:00"/>
    <n v="36"/>
    <n v="2.8"/>
    <n v="2024"/>
    <s v="Thursday"/>
    <x v="1"/>
    <n v="3"/>
    <s v="Long"/>
    <s v="Low"/>
  </r>
  <r>
    <s v="Call_8013"/>
    <s v="C0004"/>
    <n v="129"/>
    <s v="R01"/>
    <d v="2023-09-22T00:00:00"/>
    <n v="93"/>
    <n v="4.7"/>
    <n v="2024"/>
    <s v="Friday"/>
    <x v="1"/>
    <n v="5"/>
    <s v="Long"/>
    <s v="Medium"/>
  </r>
  <r>
    <s v="Call_8014"/>
    <s v="C0010"/>
    <n v="120"/>
    <s v="R05"/>
    <d v="2023-09-22T00:00:00"/>
    <n v="38"/>
    <n v="4.2"/>
    <n v="2024"/>
    <s v="Friday"/>
    <x v="0"/>
    <n v="4"/>
    <s v="Long"/>
    <s v="Low"/>
  </r>
  <r>
    <s v="Call_8015"/>
    <s v="C0005"/>
    <n v="108"/>
    <s v="R01"/>
    <d v="2023-09-23T00:00:00"/>
    <n v="66"/>
    <n v="3.9"/>
    <n v="2024"/>
    <s v="Saturday"/>
    <x v="0"/>
    <n v="4"/>
    <s v="Long"/>
    <s v="Medium"/>
  </r>
  <r>
    <s v="Call_8016"/>
    <s v="C0007"/>
    <n v="79"/>
    <s v="R05"/>
    <d v="2023-09-23T00:00:00"/>
    <n v="215"/>
    <n v="4.5999999999999996"/>
    <n v="2024"/>
    <s v="Saturday"/>
    <x v="0"/>
    <n v="5"/>
    <s v="Long"/>
    <s v="Very High"/>
  </r>
  <r>
    <s v="Call_8017"/>
    <s v="C0007"/>
    <n v="45"/>
    <s v="R01"/>
    <d v="2023-09-23T00:00:00"/>
    <n v="92"/>
    <n v="4.3"/>
    <n v="2024"/>
    <s v="Saturday"/>
    <x v="2"/>
    <n v="4"/>
    <s v="Medium"/>
    <s v="Medium"/>
  </r>
  <r>
    <s v="Call_8018"/>
    <s v="C0011"/>
    <n v="96"/>
    <s v="R05"/>
    <d v="2023-09-23T00:00:00"/>
    <n v="80"/>
    <n v="3.6"/>
    <n v="2024"/>
    <s v="Saturday"/>
    <x v="0"/>
    <n v="4"/>
    <s v="Long"/>
    <s v="Medium"/>
  </r>
  <r>
    <s v="Call_8019"/>
    <s v="C0011"/>
    <n v="81"/>
    <s v="R05"/>
    <d v="2023-09-24T00:00:00"/>
    <n v="123"/>
    <n v="4.9000000000000004"/>
    <n v="2024"/>
    <s v="Sunday"/>
    <x v="0"/>
    <n v="5"/>
    <s v="Long"/>
    <s v="High"/>
  </r>
  <r>
    <s v="Call_8020"/>
    <s v="C0012"/>
    <n v="95"/>
    <s v="R04"/>
    <d v="2023-09-24T00:00:00"/>
    <n v="23"/>
    <n v="2.4"/>
    <n v="2024"/>
    <s v="Sunday"/>
    <x v="0"/>
    <n v="2"/>
    <s v="Long"/>
    <s v="Low"/>
  </r>
  <r>
    <s v="Call_8021"/>
    <s v="C0015"/>
    <n v="159"/>
    <s v="R02"/>
    <d v="2023-09-24T00:00:00"/>
    <n v="63"/>
    <n v="4.2"/>
    <n v="2024"/>
    <s v="Sunday"/>
    <x v="1"/>
    <n v="4"/>
    <s v="Long"/>
    <s v="Medium"/>
  </r>
  <r>
    <s v="Call_8022"/>
    <s v="C0008"/>
    <n v="109"/>
    <s v="R03"/>
    <d v="2023-09-24T00:00:00"/>
    <n v="52"/>
    <n v="3.9"/>
    <n v="2024"/>
    <s v="Sunday"/>
    <x v="0"/>
    <n v="4"/>
    <s v="Long"/>
    <s v="Medium"/>
  </r>
  <r>
    <s v="Call_8023"/>
    <s v="C0007"/>
    <n v="107"/>
    <s v="R03"/>
    <d v="2023-09-24T00:00:00"/>
    <n v="60"/>
    <n v="4.2"/>
    <n v="2024"/>
    <s v="Sunday"/>
    <x v="0"/>
    <n v="4"/>
    <s v="Long"/>
    <s v="Medium"/>
  </r>
  <r>
    <s v="Call_8024"/>
    <s v="C0011"/>
    <n v="67"/>
    <s v="R01"/>
    <d v="2023-09-25T00:00:00"/>
    <n v="87"/>
    <n v="3.9"/>
    <n v="2024"/>
    <s v="Monday"/>
    <x v="0"/>
    <n v="4"/>
    <s v="Long"/>
    <s v="Medium"/>
  </r>
  <r>
    <s v="Call_8025"/>
    <s v="C0002"/>
    <n v="96"/>
    <s v="R05"/>
    <d v="2023-09-26T00:00:00"/>
    <n v="42"/>
    <n v="4.5"/>
    <n v="2024"/>
    <s v="Tuesday"/>
    <x v="0"/>
    <n v="5"/>
    <s v="Long"/>
    <s v="Low"/>
  </r>
  <r>
    <s v="Call_8026"/>
    <s v="C0006"/>
    <n v="142"/>
    <s v="R02"/>
    <d v="2023-09-27T00:00:00"/>
    <n v="37"/>
    <n v="3.8"/>
    <n v="2024"/>
    <s v="Wednesday"/>
    <x v="1"/>
    <n v="4"/>
    <s v="Long"/>
    <s v="Low"/>
  </r>
  <r>
    <s v="Call_8027"/>
    <s v="C0006"/>
    <n v="71"/>
    <s v="R04"/>
    <d v="2023-09-27T00:00:00"/>
    <n v="135"/>
    <n v="3.9"/>
    <n v="2024"/>
    <s v="Wednesday"/>
    <x v="0"/>
    <n v="4"/>
    <s v="Long"/>
    <s v="High"/>
  </r>
  <r>
    <s v="Call_8028"/>
    <s v="C0002"/>
    <n v="152"/>
    <s v="R04"/>
    <d v="2023-09-27T00:00:00"/>
    <n v="88"/>
    <n v="4.7"/>
    <n v="2024"/>
    <s v="Wednesday"/>
    <x v="1"/>
    <n v="5"/>
    <s v="Long"/>
    <s v="Medium"/>
  </r>
  <r>
    <s v="Call_8029"/>
    <s v="C0001"/>
    <n v="108"/>
    <s v="R02"/>
    <d v="2023-09-27T00:00:00"/>
    <n v="190"/>
    <n v="3.2"/>
    <n v="2024"/>
    <s v="Wednesday"/>
    <x v="0"/>
    <n v="3"/>
    <s v="Long"/>
    <s v="Very High"/>
  </r>
  <r>
    <s v="Call_8030"/>
    <s v="C0001"/>
    <n v="156"/>
    <s v="R04"/>
    <d v="2023-09-27T00:00:00"/>
    <n v="81"/>
    <n v="5"/>
    <n v="2024"/>
    <s v="Wednesday"/>
    <x v="1"/>
    <n v="5"/>
    <s v="Long"/>
    <s v="Medium"/>
  </r>
  <r>
    <s v="Call_8031"/>
    <s v="C0006"/>
    <n v="126"/>
    <s v="R02"/>
    <d v="2023-09-27T00:00:00"/>
    <n v="44"/>
    <n v="3.7"/>
    <n v="2024"/>
    <s v="Wednesday"/>
    <x v="1"/>
    <n v="4"/>
    <s v="Long"/>
    <s v="Low"/>
  </r>
  <r>
    <s v="Call_8032"/>
    <s v="C0005"/>
    <n v="135"/>
    <s v="R04"/>
    <d v="2023-09-28T00:00:00"/>
    <n v="92"/>
    <n v="3.9"/>
    <n v="2024"/>
    <s v="Thursday"/>
    <x v="1"/>
    <n v="4"/>
    <s v="Long"/>
    <s v="Medium"/>
  </r>
  <r>
    <s v="Call_8033"/>
    <s v="C0006"/>
    <n v="110"/>
    <s v="R05"/>
    <d v="2023-09-29T00:00:00"/>
    <n v="90"/>
    <n v="3.1"/>
    <n v="2024"/>
    <s v="Friday"/>
    <x v="0"/>
    <n v="3"/>
    <s v="Long"/>
    <s v="Medium"/>
  </r>
  <r>
    <s v="Call_8034"/>
    <s v="C0015"/>
    <n v="64"/>
    <s v="R04"/>
    <d v="2023-09-29T00:00:00"/>
    <n v="112"/>
    <n v="2"/>
    <n v="2024"/>
    <s v="Friday"/>
    <x v="0"/>
    <n v="2"/>
    <s v="Long"/>
    <s v="High"/>
  </r>
  <r>
    <s v="Call_8035"/>
    <s v="C0009"/>
    <n v="127"/>
    <s v="R02"/>
    <d v="2023-09-29T00:00:00"/>
    <n v="112"/>
    <n v="4.5999999999999996"/>
    <n v="2024"/>
    <s v="Friday"/>
    <x v="1"/>
    <n v="5"/>
    <s v="Long"/>
    <s v="High"/>
  </r>
  <r>
    <s v="Call_8036"/>
    <s v="C0008"/>
    <n v="124"/>
    <s v="R01"/>
    <d v="2023-09-29T00:00:00"/>
    <n v="48"/>
    <n v="3.7"/>
    <n v="2024"/>
    <s v="Friday"/>
    <x v="1"/>
    <n v="4"/>
    <s v="Long"/>
    <s v="Low"/>
  </r>
  <r>
    <s v="Call_8037"/>
    <s v="C0015"/>
    <n v="125"/>
    <s v="R02"/>
    <d v="2023-09-29T00:00:00"/>
    <n v="116"/>
    <n v="4.4000000000000004"/>
    <n v="2024"/>
    <s v="Friday"/>
    <x v="1"/>
    <n v="4"/>
    <s v="Long"/>
    <s v="High"/>
  </r>
  <r>
    <s v="Call_8038"/>
    <s v="C0004"/>
    <n v="70"/>
    <s v="R02"/>
    <d v="2023-09-29T00:00:00"/>
    <n v="29"/>
    <n v="2.1"/>
    <n v="2024"/>
    <s v="Friday"/>
    <x v="0"/>
    <n v="2"/>
    <s v="Long"/>
    <s v="Low"/>
  </r>
  <r>
    <s v="Call_8039"/>
    <s v="C0009"/>
    <n v="93"/>
    <s v="R04"/>
    <d v="2023-09-30T00:00:00"/>
    <n v="170"/>
    <n v="2.2000000000000002"/>
    <n v="2024"/>
    <s v="Saturday"/>
    <x v="0"/>
    <n v="2"/>
    <s v="Long"/>
    <s v="Very High"/>
  </r>
  <r>
    <s v="Call_8040"/>
    <s v="C0004"/>
    <n v="120"/>
    <s v="R03"/>
    <d v="2023-09-30T00:00:00"/>
    <n v="68"/>
    <n v="3.4"/>
    <n v="2024"/>
    <s v="Saturday"/>
    <x v="0"/>
    <n v="3"/>
    <s v="Long"/>
    <s v="Medium"/>
  </r>
  <r>
    <s v="Call_8041"/>
    <s v="C0011"/>
    <n v="96"/>
    <s v="R05"/>
    <d v="2023-09-30T00:00:00"/>
    <n v="195"/>
    <n v="2.7"/>
    <n v="2024"/>
    <s v="Saturday"/>
    <x v="0"/>
    <n v="3"/>
    <s v="Long"/>
    <s v="Very High"/>
  </r>
  <r>
    <s v="Call_8042"/>
    <s v="C0014"/>
    <n v="67"/>
    <s v="R05"/>
    <d v="2023-09-30T00:00:00"/>
    <n v="96"/>
    <n v="3.7"/>
    <n v="2024"/>
    <s v="Saturday"/>
    <x v="0"/>
    <n v="4"/>
    <s v="Long"/>
    <s v="Medium"/>
  </r>
  <r>
    <s v="Call_8043"/>
    <s v="C0015"/>
    <n v="119"/>
    <s v="R05"/>
    <d v="2023-09-30T00:00:00"/>
    <n v="96"/>
    <n v="3.1"/>
    <n v="2024"/>
    <s v="Saturday"/>
    <x v="0"/>
    <n v="3"/>
    <s v="Long"/>
    <s v="Medium"/>
  </r>
  <r>
    <s v="Call_8044"/>
    <s v="C0008"/>
    <n v="61"/>
    <s v="R01"/>
    <d v="2023-09-30T00:00:00"/>
    <n v="117"/>
    <n v="4.0999999999999996"/>
    <n v="2024"/>
    <s v="Saturday"/>
    <x v="0"/>
    <n v="4"/>
    <s v="Long"/>
    <s v="High"/>
  </r>
  <r>
    <s v="Call_8045"/>
    <s v="C0011"/>
    <n v="29"/>
    <s v="R04"/>
    <d v="2023-09-30T00:00:00"/>
    <n v="80"/>
    <n v="4.8"/>
    <n v="2024"/>
    <s v="Saturday"/>
    <x v="3"/>
    <n v="5"/>
    <s v="Short"/>
    <s v="Medium"/>
  </r>
  <r>
    <s v="Call_8046"/>
    <s v="C0002"/>
    <n v="134"/>
    <s v="R03"/>
    <d v="2023-09-30T00:00:00"/>
    <n v="117"/>
    <n v="4"/>
    <n v="2024"/>
    <s v="Saturday"/>
    <x v="1"/>
    <n v="4"/>
    <s v="Long"/>
    <s v="High"/>
  </r>
  <r>
    <s v="Call_8047"/>
    <s v="C0006"/>
    <n v="113"/>
    <s v="R05"/>
    <d v="2023-10-01T00:00:00"/>
    <n v="40"/>
    <n v="3"/>
    <n v="2024"/>
    <s v="Sunday"/>
    <x v="0"/>
    <n v="3"/>
    <s v="Long"/>
    <s v="Low"/>
  </r>
  <r>
    <s v="Call_8048"/>
    <s v="C0001"/>
    <n v="12"/>
    <s v="R03"/>
    <d v="2023-10-01T00:00:00"/>
    <n v="117"/>
    <n v="4.8"/>
    <n v="2024"/>
    <s v="Sunday"/>
    <x v="3"/>
    <n v="5"/>
    <s v="Very Short"/>
    <s v="High"/>
  </r>
  <r>
    <s v="Call_8049"/>
    <s v="C0013"/>
    <n v="78"/>
    <s v="R04"/>
    <d v="2023-10-01T00:00:00"/>
    <n v="135"/>
    <n v="4.0999999999999996"/>
    <n v="2024"/>
    <s v="Sunday"/>
    <x v="0"/>
    <n v="4"/>
    <s v="Long"/>
    <s v="High"/>
  </r>
  <r>
    <s v="Call_8050"/>
    <s v="C0015"/>
    <n v="82"/>
    <s v="R02"/>
    <d v="2023-10-01T00:00:00"/>
    <n v="99"/>
    <n v="4.2"/>
    <n v="2024"/>
    <s v="Sunday"/>
    <x v="0"/>
    <n v="4"/>
    <s v="Long"/>
    <s v="Medium"/>
  </r>
  <r>
    <s v="Call_8051"/>
    <s v="C0010"/>
    <n v="149"/>
    <s v="R01"/>
    <d v="2023-10-01T00:00:00"/>
    <n v="130"/>
    <n v="3.3"/>
    <n v="2024"/>
    <s v="Sunday"/>
    <x v="1"/>
    <n v="3"/>
    <s v="Long"/>
    <s v="High"/>
  </r>
  <r>
    <s v="Call_8052"/>
    <s v="C0007"/>
    <n v="56"/>
    <s v="R03"/>
    <d v="2023-10-01T00:00:00"/>
    <n v="96"/>
    <n v="4.7"/>
    <n v="2024"/>
    <s v="Sunday"/>
    <x v="2"/>
    <n v="5"/>
    <s v="Medium"/>
    <s v="Medium"/>
  </r>
  <r>
    <s v="Call_8053"/>
    <s v="C0011"/>
    <n v="80"/>
    <s v="R01"/>
    <d v="2023-10-01T00:00:00"/>
    <n v="128"/>
    <n v="3.7"/>
    <n v="2024"/>
    <s v="Sunday"/>
    <x v="0"/>
    <n v="4"/>
    <s v="Long"/>
    <s v="High"/>
  </r>
  <r>
    <s v="Call_8054"/>
    <s v="C0008"/>
    <n v="131"/>
    <s v="R05"/>
    <d v="2023-10-01T00:00:00"/>
    <n v="69"/>
    <n v="4.7"/>
    <n v="2024"/>
    <s v="Sunday"/>
    <x v="1"/>
    <n v="5"/>
    <s v="Long"/>
    <s v="Medium"/>
  </r>
  <r>
    <s v="Call_8055"/>
    <s v="C0008"/>
    <n v="109"/>
    <s v="R05"/>
    <d v="2023-10-01T00:00:00"/>
    <n v="44"/>
    <n v="4.5999999999999996"/>
    <n v="2024"/>
    <s v="Sunday"/>
    <x v="0"/>
    <n v="5"/>
    <s v="Long"/>
    <s v="Low"/>
  </r>
  <r>
    <s v="Call_8056"/>
    <s v="C0007"/>
    <n v="142"/>
    <s v="R05"/>
    <d v="2023-10-01T00:00:00"/>
    <n v="44"/>
    <n v="4.8"/>
    <n v="2024"/>
    <s v="Sunday"/>
    <x v="1"/>
    <n v="5"/>
    <s v="Long"/>
    <s v="Low"/>
  </r>
  <r>
    <s v="Call_8057"/>
    <s v="C0009"/>
    <n v="114"/>
    <s v="R03"/>
    <d v="2023-10-02T00:00:00"/>
    <n v="135"/>
    <n v="2"/>
    <n v="2024"/>
    <s v="Monday"/>
    <x v="0"/>
    <n v="2"/>
    <s v="Long"/>
    <s v="High"/>
  </r>
  <r>
    <s v="Call_8058"/>
    <s v="C0014"/>
    <n v="93"/>
    <s v="R01"/>
    <d v="2023-10-02T00:00:00"/>
    <n v="45"/>
    <n v="3.9"/>
    <n v="2024"/>
    <s v="Monday"/>
    <x v="0"/>
    <n v="4"/>
    <s v="Long"/>
    <s v="Low"/>
  </r>
  <r>
    <s v="Call_8059"/>
    <s v="C0001"/>
    <n v="43"/>
    <s v="R01"/>
    <d v="2023-10-02T00:00:00"/>
    <n v="87"/>
    <n v="3"/>
    <n v="2024"/>
    <s v="Monday"/>
    <x v="2"/>
    <n v="3"/>
    <s v="Medium"/>
    <s v="Medium"/>
  </r>
  <r>
    <s v="Call_8060"/>
    <s v="C0002"/>
    <n v="78"/>
    <s v="R04"/>
    <d v="2023-10-03T00:00:00"/>
    <n v="84"/>
    <n v="4.5999999999999996"/>
    <n v="2024"/>
    <s v="Tuesday"/>
    <x v="0"/>
    <n v="5"/>
    <s v="Long"/>
    <s v="Medium"/>
  </r>
  <r>
    <s v="Call_8061"/>
    <s v="C0009"/>
    <n v="89"/>
    <s v="R05"/>
    <d v="2023-10-03T00:00:00"/>
    <n v="81"/>
    <n v="3.8"/>
    <n v="2024"/>
    <s v="Tuesday"/>
    <x v="0"/>
    <n v="4"/>
    <s v="Long"/>
    <s v="Medium"/>
  </r>
  <r>
    <s v="Call_8062"/>
    <s v="C0007"/>
    <n v="82"/>
    <s v="R02"/>
    <d v="2023-10-03T00:00:00"/>
    <n v="130"/>
    <n v="4.4000000000000004"/>
    <n v="2024"/>
    <s v="Tuesday"/>
    <x v="0"/>
    <n v="4"/>
    <s v="Long"/>
    <s v="High"/>
  </r>
  <r>
    <s v="Call_8063"/>
    <s v="C0011"/>
    <n v="86"/>
    <s v="R05"/>
    <d v="2023-10-04T00:00:00"/>
    <n v="92"/>
    <n v="2.4"/>
    <n v="2024"/>
    <s v="Wednesday"/>
    <x v="0"/>
    <n v="2"/>
    <s v="Long"/>
    <s v="Medium"/>
  </r>
  <r>
    <s v="Call_8064"/>
    <s v="C0012"/>
    <n v="57"/>
    <s v="R04"/>
    <d v="2023-10-04T00:00:00"/>
    <n v="48"/>
    <n v="4.5"/>
    <n v="2024"/>
    <s v="Wednesday"/>
    <x v="2"/>
    <n v="5"/>
    <s v="Medium"/>
    <s v="Low"/>
  </r>
  <r>
    <s v="Call_8065"/>
    <s v="C0014"/>
    <n v="103"/>
    <s v="R03"/>
    <d v="2023-10-04T00:00:00"/>
    <n v="160"/>
    <n v="4.5"/>
    <n v="2024"/>
    <s v="Wednesday"/>
    <x v="0"/>
    <n v="5"/>
    <s v="Long"/>
    <s v="Very High"/>
  </r>
  <r>
    <s v="Call_8066"/>
    <s v="C0013"/>
    <n v="138"/>
    <s v="R04"/>
    <d v="2023-10-05T00:00:00"/>
    <n v="155"/>
    <n v="2.7"/>
    <n v="2024"/>
    <s v="Thursday"/>
    <x v="1"/>
    <n v="3"/>
    <s v="Long"/>
    <s v="Very High"/>
  </r>
  <r>
    <s v="Call_8067"/>
    <s v="C0010"/>
    <n v="88"/>
    <s v="R02"/>
    <d v="2023-10-05T00:00:00"/>
    <n v="100"/>
    <n v="4.9000000000000004"/>
    <n v="2024"/>
    <s v="Thursday"/>
    <x v="0"/>
    <n v="5"/>
    <s v="Long"/>
    <s v="Medium"/>
  </r>
  <r>
    <s v="Call_8068"/>
    <s v="C0009"/>
    <n v="118"/>
    <s v="R01"/>
    <d v="2023-10-05T00:00:00"/>
    <n v="56"/>
    <n v="3.7"/>
    <n v="2024"/>
    <s v="Thursday"/>
    <x v="0"/>
    <n v="4"/>
    <s v="Long"/>
    <s v="Medium"/>
  </r>
  <r>
    <s v="Call_8069"/>
    <s v="C0011"/>
    <n v="4"/>
    <s v="R05"/>
    <d v="2023-10-05T00:00:00"/>
    <n v="170"/>
    <n v="3.9"/>
    <n v="2024"/>
    <s v="Thursday"/>
    <x v="4"/>
    <n v="4"/>
    <s v="Very Short"/>
    <s v="Very High"/>
  </r>
  <r>
    <s v="Call_8070"/>
    <s v="C0001"/>
    <n v="78"/>
    <s v="R03"/>
    <d v="2023-10-06T00:00:00"/>
    <n v="74"/>
    <n v="3.5"/>
    <n v="2024"/>
    <s v="Friday"/>
    <x v="0"/>
    <n v="4"/>
    <s v="Long"/>
    <s v="Medium"/>
  </r>
  <r>
    <s v="Call_8071"/>
    <s v="C0006"/>
    <n v="69"/>
    <s v="R05"/>
    <d v="2023-10-06T00:00:00"/>
    <n v="99"/>
    <n v="2.7"/>
    <n v="2024"/>
    <s v="Friday"/>
    <x v="0"/>
    <n v="3"/>
    <s v="Long"/>
    <s v="Medium"/>
  </r>
  <r>
    <s v="Call_8072"/>
    <s v="C0007"/>
    <n v="90"/>
    <s v="R04"/>
    <d v="2023-10-06T00:00:00"/>
    <n v="84"/>
    <n v="3.9"/>
    <n v="2024"/>
    <s v="Friday"/>
    <x v="0"/>
    <n v="4"/>
    <s v="Long"/>
    <s v="Medium"/>
  </r>
  <r>
    <s v="Call_8073"/>
    <s v="C0006"/>
    <n v="134"/>
    <s v="R05"/>
    <d v="2023-10-06T00:00:00"/>
    <n v="35"/>
    <n v="3.4"/>
    <n v="2024"/>
    <s v="Friday"/>
    <x v="1"/>
    <n v="3"/>
    <s v="Long"/>
    <s v="Low"/>
  </r>
  <r>
    <s v="Call_8074"/>
    <s v="C0004"/>
    <n v="65"/>
    <s v="R01"/>
    <d v="2023-10-06T00:00:00"/>
    <n v="150"/>
    <n v="5"/>
    <n v="2024"/>
    <s v="Friday"/>
    <x v="0"/>
    <n v="5"/>
    <s v="Long"/>
    <s v="High"/>
  </r>
  <r>
    <s v="Call_8075"/>
    <s v="C0005"/>
    <n v="54"/>
    <s v="R03"/>
    <d v="2023-10-07T00:00:00"/>
    <n v="176"/>
    <n v="4.4000000000000004"/>
    <n v="2024"/>
    <s v="Saturday"/>
    <x v="2"/>
    <n v="4"/>
    <s v="Medium"/>
    <s v="Very High"/>
  </r>
  <r>
    <s v="Call_8076"/>
    <s v="C0005"/>
    <n v="90"/>
    <s v="R03"/>
    <d v="2023-10-07T00:00:00"/>
    <n v="84"/>
    <n v="4.3"/>
    <n v="2024"/>
    <s v="Saturday"/>
    <x v="0"/>
    <n v="4"/>
    <s v="Long"/>
    <s v="Medium"/>
  </r>
  <r>
    <s v="Call_8077"/>
    <s v="C0007"/>
    <n v="66"/>
    <s v="R03"/>
    <d v="2023-10-07T00:00:00"/>
    <n v="136"/>
    <n v="4.7"/>
    <n v="2024"/>
    <s v="Saturday"/>
    <x v="0"/>
    <n v="5"/>
    <s v="Long"/>
    <s v="High"/>
  </r>
  <r>
    <s v="Call_8078"/>
    <s v="C0011"/>
    <n v="150"/>
    <s v="R03"/>
    <d v="2023-10-08T00:00:00"/>
    <n v="70"/>
    <n v="4.0999999999999996"/>
    <n v="2024"/>
    <s v="Sunday"/>
    <x v="1"/>
    <n v="4"/>
    <s v="Long"/>
    <s v="Medium"/>
  </r>
  <r>
    <s v="Call_8079"/>
    <s v="C0002"/>
    <n v="18"/>
    <s v="R01"/>
    <d v="2023-10-08T00:00:00"/>
    <n v="96"/>
    <n v="4.8"/>
    <n v="2024"/>
    <s v="Sunday"/>
    <x v="3"/>
    <n v="5"/>
    <s v="Short"/>
    <s v="Medium"/>
  </r>
  <r>
    <s v="Call_8080"/>
    <s v="C0005"/>
    <n v="87"/>
    <s v="R01"/>
    <d v="2023-10-08T00:00:00"/>
    <n v="23"/>
    <n v="4.2"/>
    <n v="2024"/>
    <s v="Sunday"/>
    <x v="0"/>
    <n v="4"/>
    <s v="Long"/>
    <s v="Low"/>
  </r>
  <r>
    <s v="Call_8081"/>
    <s v="C0013"/>
    <n v="94"/>
    <s v="R03"/>
    <d v="2023-10-09T00:00:00"/>
    <n v="120"/>
    <n v="3.4"/>
    <n v="2024"/>
    <s v="Monday"/>
    <x v="0"/>
    <n v="3"/>
    <s v="Long"/>
    <s v="High"/>
  </r>
  <r>
    <s v="Call_8082"/>
    <s v="C0012"/>
    <n v="56"/>
    <s v="R03"/>
    <d v="2023-10-09T00:00:00"/>
    <n v="205"/>
    <n v="3.3"/>
    <n v="2024"/>
    <s v="Monday"/>
    <x v="2"/>
    <n v="3"/>
    <s v="Medium"/>
    <s v="Very High"/>
  </r>
  <r>
    <s v="Call_8083"/>
    <s v="C0009"/>
    <n v="41"/>
    <s v="R02"/>
    <d v="2023-10-10T00:00:00"/>
    <n v="42"/>
    <n v="3.8"/>
    <n v="2024"/>
    <s v="Tuesday"/>
    <x v="2"/>
    <n v="4"/>
    <s v="Medium"/>
    <s v="Low"/>
  </r>
  <r>
    <s v="Call_8084"/>
    <s v="C0011"/>
    <n v="119"/>
    <s v="R04"/>
    <d v="2023-10-10T00:00:00"/>
    <n v="111"/>
    <n v="3.9"/>
    <n v="2024"/>
    <s v="Tuesday"/>
    <x v="0"/>
    <n v="4"/>
    <s v="Long"/>
    <s v="High"/>
  </r>
  <r>
    <s v="Call_8085"/>
    <s v="C0014"/>
    <n v="108"/>
    <s v="R03"/>
    <d v="2023-10-10T00:00:00"/>
    <n v="68"/>
    <n v="2.5"/>
    <n v="2024"/>
    <s v="Tuesday"/>
    <x v="0"/>
    <n v="3"/>
    <s v="Long"/>
    <s v="Medium"/>
  </r>
  <r>
    <s v="Call_8086"/>
    <s v="C0001"/>
    <n v="63"/>
    <s v="R05"/>
    <d v="2023-10-10T00:00:00"/>
    <n v="172"/>
    <n v="4.9000000000000004"/>
    <n v="2024"/>
    <s v="Tuesday"/>
    <x v="0"/>
    <n v="5"/>
    <s v="Long"/>
    <s v="Very High"/>
  </r>
  <r>
    <s v="Call_8087"/>
    <s v="C0015"/>
    <n v="59"/>
    <s v="R03"/>
    <d v="2023-10-10T00:00:00"/>
    <n v="152"/>
    <n v="4.8"/>
    <n v="2024"/>
    <s v="Tuesday"/>
    <x v="2"/>
    <n v="5"/>
    <s v="Medium"/>
    <s v="Very High"/>
  </r>
  <r>
    <s v="Call_8088"/>
    <s v="C0015"/>
    <n v="90"/>
    <s v="R02"/>
    <d v="2023-10-10T00:00:00"/>
    <n v="48"/>
    <n v="4.7"/>
    <n v="2024"/>
    <s v="Tuesday"/>
    <x v="0"/>
    <n v="5"/>
    <s v="Long"/>
    <s v="Low"/>
  </r>
  <r>
    <s v="Call_8089"/>
    <s v="C0010"/>
    <n v="55"/>
    <s v="R02"/>
    <d v="2023-10-10T00:00:00"/>
    <n v="25"/>
    <n v="4.7"/>
    <n v="2024"/>
    <s v="Tuesday"/>
    <x v="2"/>
    <n v="5"/>
    <s v="Medium"/>
    <s v="Low"/>
  </r>
  <r>
    <s v="Call_8090"/>
    <s v="C0014"/>
    <n v="84"/>
    <s v="R04"/>
    <d v="2023-10-11T00:00:00"/>
    <n v="54"/>
    <n v="3.3"/>
    <n v="2024"/>
    <s v="Wednesday"/>
    <x v="0"/>
    <n v="3"/>
    <s v="Long"/>
    <s v="Medium"/>
  </r>
  <r>
    <s v="Call_8091"/>
    <s v="C0014"/>
    <n v="150"/>
    <s v="R01"/>
    <d v="2023-10-11T00:00:00"/>
    <n v="108"/>
    <n v="4.7"/>
    <n v="2024"/>
    <s v="Wednesday"/>
    <x v="1"/>
    <n v="5"/>
    <s v="Long"/>
    <s v="High"/>
  </r>
  <r>
    <s v="Call_8092"/>
    <s v="C0008"/>
    <n v="69"/>
    <s v="R03"/>
    <d v="2023-10-11T00:00:00"/>
    <n v="36"/>
    <n v="4.5"/>
    <n v="2024"/>
    <s v="Wednesday"/>
    <x v="0"/>
    <n v="5"/>
    <s v="Long"/>
    <s v="Low"/>
  </r>
  <r>
    <s v="Call_8093"/>
    <s v="C0003"/>
    <n v="120"/>
    <s v="R02"/>
    <d v="2023-10-12T00:00:00"/>
    <n v="140"/>
    <n v="4.5999999999999996"/>
    <n v="2024"/>
    <s v="Thursday"/>
    <x v="0"/>
    <n v="5"/>
    <s v="Long"/>
    <s v="High"/>
  </r>
  <r>
    <s v="Call_8094"/>
    <s v="C0005"/>
    <n v="126"/>
    <s v="R04"/>
    <d v="2023-10-12T00:00:00"/>
    <n v="50"/>
    <n v="4.8"/>
    <n v="2024"/>
    <s v="Thursday"/>
    <x v="1"/>
    <n v="5"/>
    <s v="Long"/>
    <s v="Low"/>
  </r>
  <r>
    <s v="Call_8095"/>
    <s v="C0008"/>
    <n v="120"/>
    <s v="R05"/>
    <d v="2023-10-12T00:00:00"/>
    <n v="195"/>
    <n v="4.3"/>
    <n v="2024"/>
    <s v="Thursday"/>
    <x v="0"/>
    <n v="4"/>
    <s v="Long"/>
    <s v="Very High"/>
  </r>
  <r>
    <s v="Call_8096"/>
    <s v="C0005"/>
    <n v="139"/>
    <s v="R02"/>
    <d v="2023-10-13T00:00:00"/>
    <n v="48"/>
    <n v="4.7"/>
    <n v="2024"/>
    <s v="Friday"/>
    <x v="1"/>
    <n v="5"/>
    <s v="Long"/>
    <s v="Low"/>
  </r>
  <r>
    <s v="Call_8097"/>
    <s v="C0010"/>
    <n v="124"/>
    <s v="R03"/>
    <d v="2023-10-14T00:00:00"/>
    <n v="29"/>
    <n v="4.8"/>
    <n v="2024"/>
    <s v="Saturday"/>
    <x v="1"/>
    <n v="5"/>
    <s v="Long"/>
    <s v="Low"/>
  </r>
  <r>
    <s v="Call_8098"/>
    <s v="C0003"/>
    <n v="108"/>
    <s v="R05"/>
    <d v="2023-10-14T00:00:00"/>
    <n v="44"/>
    <n v="4.7"/>
    <n v="2024"/>
    <s v="Saturday"/>
    <x v="0"/>
    <n v="5"/>
    <s v="Long"/>
    <s v="Low"/>
  </r>
  <r>
    <s v="Call_8099"/>
    <s v="C0004"/>
    <n v="132"/>
    <s v="R01"/>
    <d v="2023-10-14T00:00:00"/>
    <n v="140"/>
    <n v="4.3"/>
    <n v="2024"/>
    <s v="Saturday"/>
    <x v="1"/>
    <n v="4"/>
    <s v="Long"/>
    <s v="High"/>
  </r>
  <r>
    <s v="Call_8100"/>
    <s v="C0001"/>
    <n v="67"/>
    <s v="R01"/>
    <d v="2023-10-14T00:00:00"/>
    <n v="105"/>
    <n v="3.8"/>
    <n v="2024"/>
    <s v="Saturday"/>
    <x v="0"/>
    <n v="4"/>
    <s v="Long"/>
    <s v="High"/>
  </r>
  <r>
    <s v="Call_8101"/>
    <s v="C0007"/>
    <n v="125"/>
    <s v="R01"/>
    <d v="2023-10-14T00:00:00"/>
    <n v="82"/>
    <n v="4.5999999999999996"/>
    <n v="2024"/>
    <s v="Saturday"/>
    <x v="1"/>
    <n v="5"/>
    <s v="Long"/>
    <s v="Medium"/>
  </r>
  <r>
    <s v="Call_8102"/>
    <s v="C0003"/>
    <n v="23"/>
    <s v="R05"/>
    <d v="2023-10-14T00:00:00"/>
    <n v="24"/>
    <n v="2.9"/>
    <n v="2024"/>
    <s v="Saturday"/>
    <x v="3"/>
    <n v="3"/>
    <s v="Short"/>
    <s v="Low"/>
  </r>
  <r>
    <s v="Call_8103"/>
    <s v="C0011"/>
    <n v="131"/>
    <s v="R03"/>
    <d v="2023-10-15T00:00:00"/>
    <n v="205"/>
    <n v="4.8"/>
    <n v="2024"/>
    <s v="Sunday"/>
    <x v="1"/>
    <n v="5"/>
    <s v="Long"/>
    <s v="Very High"/>
  </r>
  <r>
    <s v="Call_8104"/>
    <s v="C0004"/>
    <n v="56"/>
    <s v="R02"/>
    <d v="2023-10-15T00:00:00"/>
    <n v="225"/>
    <n v="4.9000000000000004"/>
    <n v="2024"/>
    <s v="Sunday"/>
    <x v="2"/>
    <n v="5"/>
    <s v="Medium"/>
    <s v="Very High"/>
  </r>
  <r>
    <s v="Call_8105"/>
    <s v="C0011"/>
    <n v="70"/>
    <s v="R03"/>
    <d v="2023-10-15T00:00:00"/>
    <n v="50"/>
    <n v="3.4"/>
    <n v="2024"/>
    <s v="Sunday"/>
    <x v="0"/>
    <n v="3"/>
    <s v="Long"/>
    <s v="Low"/>
  </r>
  <r>
    <s v="Call_8106"/>
    <s v="C0011"/>
    <n v="55"/>
    <s v="R01"/>
    <d v="2023-10-15T00:00:00"/>
    <n v="80"/>
    <n v="4.3"/>
    <n v="2024"/>
    <s v="Sunday"/>
    <x v="2"/>
    <n v="4"/>
    <s v="Medium"/>
    <s v="Medium"/>
  </r>
  <r>
    <s v="Call_8107"/>
    <s v="C0007"/>
    <n v="77"/>
    <s v="R02"/>
    <d v="2023-10-15T00:00:00"/>
    <n v="78"/>
    <n v="3.9"/>
    <n v="2024"/>
    <s v="Sunday"/>
    <x v="0"/>
    <n v="4"/>
    <s v="Long"/>
    <s v="Medium"/>
  </r>
  <r>
    <s v="Call_8108"/>
    <s v="C0014"/>
    <n v="133"/>
    <s v="R03"/>
    <d v="2023-10-16T00:00:00"/>
    <n v="40"/>
    <n v="3.9"/>
    <n v="2024"/>
    <s v="Monday"/>
    <x v="1"/>
    <n v="4"/>
    <s v="Long"/>
    <s v="Low"/>
  </r>
  <r>
    <s v="Call_8109"/>
    <s v="C0007"/>
    <n v="77"/>
    <s v="R02"/>
    <d v="2023-10-16T00:00:00"/>
    <n v="176"/>
    <n v="1.5"/>
    <n v="2024"/>
    <s v="Monday"/>
    <x v="0"/>
    <n v="2"/>
    <s v="Long"/>
    <s v="Very High"/>
  </r>
  <r>
    <s v="Call_8110"/>
    <s v="C0015"/>
    <n v="103"/>
    <s v="R03"/>
    <d v="2023-10-16T00:00:00"/>
    <n v="78"/>
    <n v="3"/>
    <n v="2024"/>
    <s v="Monday"/>
    <x v="0"/>
    <n v="3"/>
    <s v="Long"/>
    <s v="Medium"/>
  </r>
  <r>
    <s v="Call_8111"/>
    <s v="C0008"/>
    <n v="32"/>
    <s v="R02"/>
    <d v="2023-10-16T00:00:00"/>
    <n v="42"/>
    <n v="4.2"/>
    <n v="2024"/>
    <s v="Monday"/>
    <x v="2"/>
    <n v="4"/>
    <s v="Medium"/>
    <s v="Low"/>
  </r>
  <r>
    <s v="Call_8112"/>
    <s v="C0014"/>
    <n v="30"/>
    <s v="R03"/>
    <d v="2023-10-16T00:00:00"/>
    <n v="38"/>
    <n v="3.7"/>
    <n v="2024"/>
    <s v="Monday"/>
    <x v="3"/>
    <n v="4"/>
    <s v="Short"/>
    <s v="Low"/>
  </r>
  <r>
    <s v="Call_8113"/>
    <s v="C0005"/>
    <n v="87"/>
    <s v="R04"/>
    <d v="2023-10-16T00:00:00"/>
    <n v="27"/>
    <n v="4.2"/>
    <n v="2024"/>
    <s v="Monday"/>
    <x v="0"/>
    <n v="4"/>
    <s v="Long"/>
    <s v="Low"/>
  </r>
  <r>
    <s v="Call_8114"/>
    <s v="C0007"/>
    <n v="137"/>
    <s v="R05"/>
    <d v="2023-10-17T00:00:00"/>
    <n v="45"/>
    <n v="4.4000000000000004"/>
    <n v="2024"/>
    <s v="Tuesday"/>
    <x v="1"/>
    <n v="4"/>
    <s v="Long"/>
    <s v="Low"/>
  </r>
  <r>
    <s v="Call_8115"/>
    <s v="C0013"/>
    <n v="96"/>
    <s v="R03"/>
    <d v="2023-10-17T00:00:00"/>
    <n v="215"/>
    <n v="4"/>
    <n v="2024"/>
    <s v="Tuesday"/>
    <x v="0"/>
    <n v="4"/>
    <s v="Long"/>
    <s v="Very High"/>
  </r>
  <r>
    <s v="Call_8116"/>
    <s v="C0010"/>
    <n v="155"/>
    <s v="R03"/>
    <d v="2023-10-18T00:00:00"/>
    <n v="72"/>
    <n v="4.7"/>
    <n v="2024"/>
    <s v="Wednesday"/>
    <x v="1"/>
    <n v="5"/>
    <s v="Long"/>
    <s v="Medium"/>
  </r>
  <r>
    <s v="Call_8117"/>
    <s v="C0014"/>
    <n v="173"/>
    <s v="R01"/>
    <d v="2023-10-18T00:00:00"/>
    <n v="160"/>
    <n v="2.8"/>
    <n v="2024"/>
    <s v="Wednesday"/>
    <x v="1"/>
    <n v="3"/>
    <s v="Long"/>
    <s v="Very High"/>
  </r>
  <r>
    <s v="Call_8118"/>
    <s v="C0010"/>
    <n v="127"/>
    <s v="R03"/>
    <d v="2023-10-18T00:00:00"/>
    <n v="165"/>
    <n v="2.5"/>
    <n v="2024"/>
    <s v="Wednesday"/>
    <x v="1"/>
    <n v="3"/>
    <s v="Long"/>
    <s v="Very High"/>
  </r>
  <r>
    <s v="Call_8119"/>
    <s v="C0004"/>
    <n v="117"/>
    <s v="R01"/>
    <d v="2023-10-18T00:00:00"/>
    <n v="120"/>
    <n v="3.4"/>
    <n v="2024"/>
    <s v="Wednesday"/>
    <x v="0"/>
    <n v="3"/>
    <s v="Long"/>
    <s v="High"/>
  </r>
  <r>
    <s v="Call_8120"/>
    <s v="C0003"/>
    <n v="133"/>
    <s v="R02"/>
    <d v="2023-10-18T00:00:00"/>
    <n v="117"/>
    <n v="4.8"/>
    <n v="2024"/>
    <s v="Wednesday"/>
    <x v="1"/>
    <n v="5"/>
    <s v="Long"/>
    <s v="High"/>
  </r>
  <r>
    <s v="Call_8121"/>
    <s v="C0002"/>
    <n v="166"/>
    <s v="R04"/>
    <d v="2023-10-19T00:00:00"/>
    <n v="29"/>
    <n v="4.3"/>
    <n v="2024"/>
    <s v="Thursday"/>
    <x v="1"/>
    <n v="4"/>
    <s v="Long"/>
    <s v="Low"/>
  </r>
  <r>
    <s v="Call_8122"/>
    <s v="C0003"/>
    <n v="50"/>
    <s v="R01"/>
    <d v="2023-10-19T00:00:00"/>
    <n v="64"/>
    <n v="4.5"/>
    <n v="2024"/>
    <s v="Thursday"/>
    <x v="2"/>
    <n v="5"/>
    <s v="Medium"/>
    <s v="Medium"/>
  </r>
  <r>
    <s v="Call_8123"/>
    <s v="C0015"/>
    <n v="43"/>
    <s v="R02"/>
    <d v="2023-10-19T00:00:00"/>
    <n v="84"/>
    <n v="3.6"/>
    <n v="2024"/>
    <s v="Thursday"/>
    <x v="2"/>
    <n v="4"/>
    <s v="Medium"/>
    <s v="Medium"/>
  </r>
  <r>
    <s v="Call_8124"/>
    <s v="C0013"/>
    <n v="124"/>
    <s v="R03"/>
    <d v="2023-10-19T00:00:00"/>
    <n v="42"/>
    <n v="3.7"/>
    <n v="2024"/>
    <s v="Thursday"/>
    <x v="1"/>
    <n v="4"/>
    <s v="Long"/>
    <s v="Low"/>
  </r>
  <r>
    <s v="Call_8125"/>
    <s v="C0014"/>
    <n v="94"/>
    <s v="R03"/>
    <d v="2023-10-19T00:00:00"/>
    <n v="120"/>
    <n v="3.5"/>
    <n v="2024"/>
    <s v="Thursday"/>
    <x v="0"/>
    <n v="4"/>
    <s v="Long"/>
    <s v="High"/>
  </r>
  <r>
    <s v="Call_8126"/>
    <s v="C0015"/>
    <n v="126"/>
    <s v="R04"/>
    <d v="2023-10-20T00:00:00"/>
    <n v="80"/>
    <n v="4.7"/>
    <n v="2024"/>
    <s v="Friday"/>
    <x v="1"/>
    <n v="5"/>
    <s v="Long"/>
    <s v="Medium"/>
  </r>
  <r>
    <s v="Call_8127"/>
    <s v="C0002"/>
    <n v="105"/>
    <s v="R01"/>
    <d v="2023-10-20T00:00:00"/>
    <n v="185"/>
    <n v="3.5"/>
    <n v="2024"/>
    <s v="Friday"/>
    <x v="0"/>
    <n v="4"/>
    <s v="Long"/>
    <s v="Very High"/>
  </r>
  <r>
    <s v="Call_8128"/>
    <s v="C0011"/>
    <n v="60"/>
    <s v="R05"/>
    <d v="2023-10-21T00:00:00"/>
    <n v="135"/>
    <n v="3.9"/>
    <n v="2024"/>
    <s v="Saturday"/>
    <x v="2"/>
    <n v="4"/>
    <s v="Medium"/>
    <s v="High"/>
  </r>
  <r>
    <s v="Call_8129"/>
    <s v="C0011"/>
    <n v="72"/>
    <s v="R01"/>
    <d v="2023-10-21T00:00:00"/>
    <n v="20"/>
    <n v="4.8"/>
    <n v="2024"/>
    <s v="Saturday"/>
    <x v="0"/>
    <n v="5"/>
    <s v="Long"/>
    <s v="Low"/>
  </r>
  <r>
    <s v="Call_8130"/>
    <s v="C0012"/>
    <n v="40"/>
    <s v="R01"/>
    <d v="2023-10-21T00:00:00"/>
    <n v="31"/>
    <n v="4"/>
    <n v="2024"/>
    <s v="Saturday"/>
    <x v="2"/>
    <n v="4"/>
    <s v="Medium"/>
    <s v="Low"/>
  </r>
  <r>
    <s v="Call_8131"/>
    <s v="C0008"/>
    <n v="54"/>
    <s v="R04"/>
    <d v="2023-10-22T00:00:00"/>
    <n v="120"/>
    <n v="4.7"/>
    <n v="2024"/>
    <s v="Sunday"/>
    <x v="2"/>
    <n v="5"/>
    <s v="Medium"/>
    <s v="High"/>
  </r>
  <r>
    <s v="Call_8132"/>
    <s v="C0004"/>
    <n v="81"/>
    <s v="R02"/>
    <d v="2023-10-22T00:00:00"/>
    <n v="117"/>
    <n v="3.6"/>
    <n v="2024"/>
    <s v="Sunday"/>
    <x v="0"/>
    <n v="4"/>
    <s v="Long"/>
    <s v="High"/>
  </r>
  <r>
    <s v="Call_8133"/>
    <s v="C0008"/>
    <n v="76"/>
    <s v="R03"/>
    <d v="2023-10-22T00:00:00"/>
    <n v="80"/>
    <n v="4.5"/>
    <n v="2024"/>
    <s v="Sunday"/>
    <x v="0"/>
    <n v="5"/>
    <s v="Long"/>
    <s v="Medium"/>
  </r>
  <r>
    <s v="Call_8134"/>
    <s v="C0008"/>
    <n v="37"/>
    <s v="R05"/>
    <d v="2023-10-23T00:00:00"/>
    <n v="117"/>
    <n v="4"/>
    <n v="2024"/>
    <s v="Monday"/>
    <x v="2"/>
    <n v="4"/>
    <s v="Medium"/>
    <s v="High"/>
  </r>
  <r>
    <s v="Call_8135"/>
    <s v="C0002"/>
    <n v="96"/>
    <s v="R04"/>
    <d v="2023-10-23T00:00:00"/>
    <n v="60"/>
    <n v="4.5"/>
    <n v="2024"/>
    <s v="Monday"/>
    <x v="0"/>
    <n v="5"/>
    <s v="Long"/>
    <s v="Medium"/>
  </r>
  <r>
    <s v="Call_8136"/>
    <s v="C0011"/>
    <n v="19"/>
    <s v="R03"/>
    <d v="2023-10-24T00:00:00"/>
    <n v="58"/>
    <n v="3.9"/>
    <n v="2024"/>
    <s v="Tuesday"/>
    <x v="3"/>
    <n v="4"/>
    <s v="Short"/>
    <s v="Medium"/>
  </r>
  <r>
    <s v="Call_8137"/>
    <s v="C0012"/>
    <n v="72"/>
    <s v="R05"/>
    <d v="2023-10-24T00:00:00"/>
    <n v="41"/>
    <n v="4.3"/>
    <n v="2024"/>
    <s v="Tuesday"/>
    <x v="0"/>
    <n v="4"/>
    <s v="Long"/>
    <s v="Low"/>
  </r>
  <r>
    <s v="Call_8138"/>
    <s v="C0014"/>
    <n v="73"/>
    <s v="R02"/>
    <d v="2023-10-24T00:00:00"/>
    <n v="180"/>
    <n v="3.6"/>
    <n v="2024"/>
    <s v="Tuesday"/>
    <x v="0"/>
    <n v="4"/>
    <s v="Long"/>
    <s v="Very High"/>
  </r>
  <r>
    <s v="Call_8139"/>
    <s v="C0001"/>
    <n v="87"/>
    <s v="R02"/>
    <d v="2023-10-24T00:00:00"/>
    <n v="42"/>
    <n v="3.6"/>
    <n v="2024"/>
    <s v="Tuesday"/>
    <x v="0"/>
    <n v="4"/>
    <s v="Long"/>
    <s v="Low"/>
  </r>
  <r>
    <s v="Call_8140"/>
    <s v="C0001"/>
    <n v="68"/>
    <s v="R02"/>
    <d v="2023-10-25T00:00:00"/>
    <n v="24"/>
    <n v="4"/>
    <n v="2024"/>
    <s v="Wednesday"/>
    <x v="0"/>
    <n v="4"/>
    <s v="Long"/>
    <s v="Low"/>
  </r>
  <r>
    <s v="Call_8141"/>
    <s v="C0012"/>
    <n v="101"/>
    <s v="R02"/>
    <d v="2023-10-25T00:00:00"/>
    <n v="125"/>
    <n v="4.2"/>
    <n v="2024"/>
    <s v="Wednesday"/>
    <x v="0"/>
    <n v="4"/>
    <s v="Long"/>
    <s v="High"/>
  </r>
  <r>
    <s v="Call_8142"/>
    <s v="C0012"/>
    <n v="107"/>
    <s v="R05"/>
    <d v="2023-10-26T00:00:00"/>
    <n v="78"/>
    <n v="4.3"/>
    <n v="2024"/>
    <s v="Thursday"/>
    <x v="0"/>
    <n v="4"/>
    <s v="Long"/>
    <s v="Medium"/>
  </r>
  <r>
    <s v="Call_8143"/>
    <s v="C0009"/>
    <n v="109"/>
    <s v="R01"/>
    <d v="2023-10-26T00:00:00"/>
    <n v="180"/>
    <n v="3.8"/>
    <n v="2024"/>
    <s v="Thursday"/>
    <x v="0"/>
    <n v="4"/>
    <s v="Long"/>
    <s v="Very High"/>
  </r>
  <r>
    <s v="Call_8144"/>
    <s v="C0013"/>
    <n v="171"/>
    <s v="R05"/>
    <d v="2023-10-26T00:00:00"/>
    <n v="84"/>
    <n v="4.4000000000000004"/>
    <n v="2024"/>
    <s v="Thursday"/>
    <x v="1"/>
    <n v="4"/>
    <s v="Long"/>
    <s v="Medium"/>
  </r>
  <r>
    <s v="Call_8145"/>
    <s v="C0011"/>
    <n v="21"/>
    <s v="R05"/>
    <d v="2023-10-26T00:00:00"/>
    <n v="26"/>
    <n v="4.7"/>
    <n v="2024"/>
    <s v="Thursday"/>
    <x v="3"/>
    <n v="5"/>
    <s v="Short"/>
    <s v="Low"/>
  </r>
  <r>
    <s v="Call_8146"/>
    <s v="C0004"/>
    <n v="94"/>
    <s v="R05"/>
    <d v="2023-10-27T00:00:00"/>
    <n v="140"/>
    <n v="3.6"/>
    <n v="2024"/>
    <s v="Friday"/>
    <x v="0"/>
    <n v="4"/>
    <s v="Long"/>
    <s v="High"/>
  </r>
  <r>
    <s v="Call_8147"/>
    <s v="C0014"/>
    <n v="97"/>
    <s v="R01"/>
    <d v="2023-10-27T00:00:00"/>
    <n v="31"/>
    <n v="2.2000000000000002"/>
    <n v="2024"/>
    <s v="Friday"/>
    <x v="0"/>
    <n v="2"/>
    <s v="Long"/>
    <s v="Low"/>
  </r>
  <r>
    <s v="Call_8148"/>
    <s v="C0002"/>
    <n v="72"/>
    <s v="R01"/>
    <d v="2023-10-27T00:00:00"/>
    <n v="108"/>
    <n v="4.8"/>
    <n v="2024"/>
    <s v="Friday"/>
    <x v="0"/>
    <n v="5"/>
    <s v="Long"/>
    <s v="High"/>
  </r>
  <r>
    <s v="Call_8149"/>
    <s v="C0013"/>
    <n v="143"/>
    <s v="R04"/>
    <d v="2023-10-28T00:00:00"/>
    <n v="58"/>
    <n v="4.3"/>
    <n v="2024"/>
    <s v="Saturday"/>
    <x v="1"/>
    <n v="4"/>
    <s v="Long"/>
    <s v="Medium"/>
  </r>
  <r>
    <s v="Call_8150"/>
    <s v="C0013"/>
    <n v="64"/>
    <s v="R01"/>
    <d v="2023-10-28T00:00:00"/>
    <n v="185"/>
    <n v="2.2000000000000002"/>
    <n v="2024"/>
    <s v="Saturday"/>
    <x v="0"/>
    <n v="2"/>
    <s v="Long"/>
    <s v="Very High"/>
  </r>
  <r>
    <s v="Call_8151"/>
    <s v="C0013"/>
    <n v="69"/>
    <s v="R01"/>
    <d v="2023-10-28T00:00:00"/>
    <n v="40"/>
    <n v="4.8"/>
    <n v="2024"/>
    <s v="Saturday"/>
    <x v="0"/>
    <n v="5"/>
    <s v="Long"/>
    <s v="Low"/>
  </r>
  <r>
    <s v="Call_8152"/>
    <s v="C0013"/>
    <n v="18"/>
    <s v="R03"/>
    <d v="2023-10-28T00:00:00"/>
    <n v="225"/>
    <n v="2.6"/>
    <n v="2024"/>
    <s v="Saturday"/>
    <x v="3"/>
    <n v="3"/>
    <s v="Short"/>
    <s v="Very High"/>
  </r>
  <r>
    <s v="Call_8153"/>
    <s v="C0014"/>
    <n v="100"/>
    <s v="R04"/>
    <d v="2023-10-28T00:00:00"/>
    <n v="150"/>
    <n v="2.6"/>
    <n v="2024"/>
    <s v="Saturday"/>
    <x v="0"/>
    <n v="3"/>
    <s v="Long"/>
    <s v="High"/>
  </r>
  <r>
    <s v="Call_8154"/>
    <s v="C0010"/>
    <n v="110"/>
    <s v="R02"/>
    <d v="2023-10-29T00:00:00"/>
    <n v="88"/>
    <n v="3.4"/>
    <n v="2024"/>
    <s v="Sunday"/>
    <x v="0"/>
    <n v="3"/>
    <s v="Long"/>
    <s v="Medium"/>
  </r>
  <r>
    <s v="Call_8155"/>
    <s v="C0006"/>
    <n v="41"/>
    <s v="R05"/>
    <d v="2023-10-29T00:00:00"/>
    <n v="140"/>
    <n v="3.7"/>
    <n v="2024"/>
    <s v="Sunday"/>
    <x v="2"/>
    <n v="4"/>
    <s v="Medium"/>
    <s v="High"/>
  </r>
  <r>
    <s v="Call_8156"/>
    <s v="C0010"/>
    <n v="147"/>
    <s v="R02"/>
    <d v="2023-10-29T00:00:00"/>
    <n v="68"/>
    <n v="2.1"/>
    <n v="2024"/>
    <s v="Sunday"/>
    <x v="1"/>
    <n v="2"/>
    <s v="Long"/>
    <s v="Medium"/>
  </r>
  <r>
    <s v="Call_8157"/>
    <s v="C0004"/>
    <n v="31"/>
    <s v="R03"/>
    <d v="2023-10-30T00:00:00"/>
    <n v="105"/>
    <n v="3.6"/>
    <n v="2024"/>
    <s v="Monday"/>
    <x v="2"/>
    <n v="4"/>
    <s v="Medium"/>
    <s v="High"/>
  </r>
  <r>
    <s v="Call_8158"/>
    <s v="C0001"/>
    <n v="142"/>
    <s v="R05"/>
    <d v="2023-10-30T00:00:00"/>
    <n v="40"/>
    <n v="3.8"/>
    <n v="2024"/>
    <s v="Monday"/>
    <x v="1"/>
    <n v="4"/>
    <s v="Long"/>
    <s v="Low"/>
  </r>
  <r>
    <s v="Call_8159"/>
    <s v="C0009"/>
    <n v="61"/>
    <s v="R05"/>
    <d v="2023-10-30T00:00:00"/>
    <n v="82"/>
    <n v="3.1"/>
    <n v="2024"/>
    <s v="Monday"/>
    <x v="0"/>
    <n v="3"/>
    <s v="Long"/>
    <s v="Medium"/>
  </r>
  <r>
    <s v="Call_8160"/>
    <s v="C0003"/>
    <n v="86"/>
    <s v="R03"/>
    <d v="2023-10-31T00:00:00"/>
    <n v="90"/>
    <n v="4.4000000000000004"/>
    <n v="2024"/>
    <s v="Tuesday"/>
    <x v="0"/>
    <n v="4"/>
    <s v="Long"/>
    <s v="Medium"/>
  </r>
  <r>
    <s v="Call_8161"/>
    <s v="C0005"/>
    <n v="165"/>
    <s v="R04"/>
    <d v="2023-11-01T00:00:00"/>
    <n v="66"/>
    <n v="4.8"/>
    <n v="2024"/>
    <s v="Wednesday"/>
    <x v="1"/>
    <n v="5"/>
    <s v="Long"/>
    <s v="Medium"/>
  </r>
  <r>
    <s v="Call_8162"/>
    <s v="C0008"/>
    <n v="62"/>
    <s v="R02"/>
    <d v="2023-11-01T00:00:00"/>
    <n v="78"/>
    <n v="3.5"/>
    <n v="2024"/>
    <s v="Wednesday"/>
    <x v="0"/>
    <n v="4"/>
    <s v="Long"/>
    <s v="Medium"/>
  </r>
  <r>
    <s v="Call_8163"/>
    <s v="C0014"/>
    <n v="103"/>
    <s v="R04"/>
    <d v="2023-11-02T00:00:00"/>
    <n v="66"/>
    <n v="4.4000000000000004"/>
    <n v="2024"/>
    <s v="Thursday"/>
    <x v="0"/>
    <n v="4"/>
    <s v="Long"/>
    <s v="Medium"/>
  </r>
  <r>
    <s v="Call_8164"/>
    <s v="C0001"/>
    <n v="56"/>
    <s v="R03"/>
    <d v="2023-11-03T00:00:00"/>
    <n v="160"/>
    <n v="3.8"/>
    <n v="2024"/>
    <s v="Friday"/>
    <x v="2"/>
    <n v="4"/>
    <s v="Medium"/>
    <s v="Very High"/>
  </r>
  <r>
    <s v="Call_8165"/>
    <s v="C0012"/>
    <n v="114"/>
    <s v="R05"/>
    <d v="2023-11-04T00:00:00"/>
    <n v="144"/>
    <n v="3.8"/>
    <n v="2024"/>
    <s v="Saturday"/>
    <x v="0"/>
    <n v="4"/>
    <s v="Long"/>
    <s v="High"/>
  </r>
  <r>
    <s v="Call_8166"/>
    <s v="C0001"/>
    <n v="112"/>
    <s v="R01"/>
    <d v="2023-11-04T00:00:00"/>
    <n v="200"/>
    <n v="4.5999999999999996"/>
    <n v="2024"/>
    <s v="Saturday"/>
    <x v="0"/>
    <n v="5"/>
    <s v="Long"/>
    <s v="Very High"/>
  </r>
  <r>
    <s v="Call_8167"/>
    <s v="C0007"/>
    <n v="52"/>
    <s v="R02"/>
    <d v="2023-11-06T00:00:00"/>
    <n v="220"/>
    <n v="5"/>
    <n v="2024"/>
    <s v="Monday"/>
    <x v="2"/>
    <n v="5"/>
    <s v="Medium"/>
    <s v="Very High"/>
  </r>
  <r>
    <s v="Call_8168"/>
    <s v="C0014"/>
    <n v="105"/>
    <s v="R04"/>
    <d v="2023-11-07T00:00:00"/>
    <n v="112"/>
    <n v="3.2"/>
    <n v="2024"/>
    <s v="Tuesday"/>
    <x v="0"/>
    <n v="3"/>
    <s v="Long"/>
    <s v="High"/>
  </r>
  <r>
    <s v="Call_8169"/>
    <s v="C0005"/>
    <n v="91"/>
    <s v="R03"/>
    <d v="2023-11-07T00:00:00"/>
    <n v="110"/>
    <n v="3.7"/>
    <n v="2024"/>
    <s v="Tuesday"/>
    <x v="0"/>
    <n v="4"/>
    <s v="Long"/>
    <s v="High"/>
  </r>
  <r>
    <s v="Call_8170"/>
    <s v="C0015"/>
    <n v="74"/>
    <s v="R05"/>
    <d v="2023-11-08T00:00:00"/>
    <n v="160"/>
    <n v="2.7"/>
    <n v="2024"/>
    <s v="Wednesday"/>
    <x v="0"/>
    <n v="3"/>
    <s v="Long"/>
    <s v="Very High"/>
  </r>
  <r>
    <s v="Call_8171"/>
    <s v="C0015"/>
    <n v="30"/>
    <s v="R03"/>
    <d v="2023-11-08T00:00:00"/>
    <n v="84"/>
    <n v="4"/>
    <n v="2024"/>
    <s v="Wednesday"/>
    <x v="3"/>
    <n v="4"/>
    <s v="Short"/>
    <s v="Medium"/>
  </r>
  <r>
    <s v="Call_8172"/>
    <s v="C0005"/>
    <n v="56"/>
    <s v="R02"/>
    <d v="2023-11-08T00:00:00"/>
    <n v="124"/>
    <n v="2.6"/>
    <n v="2024"/>
    <s v="Wednesday"/>
    <x v="2"/>
    <n v="3"/>
    <s v="Medium"/>
    <s v="High"/>
  </r>
  <r>
    <s v="Call_8173"/>
    <s v="C0015"/>
    <n v="151"/>
    <s v="R01"/>
    <d v="2023-11-08T00:00:00"/>
    <n v="84"/>
    <n v="4.5999999999999996"/>
    <n v="2024"/>
    <s v="Wednesday"/>
    <x v="1"/>
    <n v="5"/>
    <s v="Long"/>
    <s v="Medium"/>
  </r>
  <r>
    <s v="Call_8174"/>
    <s v="C0004"/>
    <n v="108"/>
    <s v="R04"/>
    <d v="2023-11-09T00:00:00"/>
    <n v="130"/>
    <n v="2.7"/>
    <n v="2024"/>
    <s v="Thursday"/>
    <x v="0"/>
    <n v="3"/>
    <s v="Long"/>
    <s v="High"/>
  </r>
  <r>
    <s v="Call_8175"/>
    <s v="C0012"/>
    <n v="124"/>
    <s v="R05"/>
    <d v="2023-11-09T00:00:00"/>
    <n v="215"/>
    <n v="3.5"/>
    <n v="2024"/>
    <s v="Thursday"/>
    <x v="1"/>
    <n v="4"/>
    <s v="Long"/>
    <s v="Very High"/>
  </r>
  <r>
    <s v="Call_8176"/>
    <s v="C0014"/>
    <n v="110"/>
    <s v="R02"/>
    <d v="2023-11-10T00:00:00"/>
    <n v="132"/>
    <n v="3.6"/>
    <n v="2024"/>
    <s v="Friday"/>
    <x v="0"/>
    <n v="4"/>
    <s v="Long"/>
    <s v="High"/>
  </r>
  <r>
    <s v="Call_8177"/>
    <s v="C0010"/>
    <n v="89"/>
    <s v="R04"/>
    <d v="2023-11-10T00:00:00"/>
    <n v="88"/>
    <n v="4.9000000000000004"/>
    <n v="2024"/>
    <s v="Friday"/>
    <x v="0"/>
    <n v="5"/>
    <s v="Long"/>
    <s v="Medium"/>
  </r>
  <r>
    <s v="Call_8178"/>
    <s v="C0003"/>
    <n v="95"/>
    <s v="R02"/>
    <d v="2023-11-10T00:00:00"/>
    <n v="140"/>
    <n v="3.9"/>
    <n v="2024"/>
    <s v="Friday"/>
    <x v="0"/>
    <n v="4"/>
    <s v="Long"/>
    <s v="High"/>
  </r>
  <r>
    <s v="Call_8179"/>
    <s v="C0015"/>
    <n v="84"/>
    <s v="R04"/>
    <d v="2023-11-11T00:00:00"/>
    <n v="66"/>
    <n v="4.7"/>
    <n v="2024"/>
    <s v="Saturday"/>
    <x v="0"/>
    <n v="5"/>
    <s v="Long"/>
    <s v="Medium"/>
  </r>
  <r>
    <s v="Call_8180"/>
    <s v="C0002"/>
    <n v="89"/>
    <s v="R05"/>
    <d v="2023-11-11T00:00:00"/>
    <n v="23"/>
    <n v="4.5"/>
    <n v="2024"/>
    <s v="Saturday"/>
    <x v="0"/>
    <n v="5"/>
    <s v="Long"/>
    <s v="Low"/>
  </r>
  <r>
    <s v="Call_8181"/>
    <s v="C0010"/>
    <n v="146"/>
    <s v="R05"/>
    <d v="2023-11-12T00:00:00"/>
    <n v="220"/>
    <n v="4.5"/>
    <n v="2024"/>
    <s v="Sunday"/>
    <x v="1"/>
    <n v="5"/>
    <s v="Long"/>
    <s v="Very High"/>
  </r>
  <r>
    <s v="Call_8182"/>
    <s v="C0013"/>
    <n v="62"/>
    <s v="R03"/>
    <d v="2023-11-13T00:00:00"/>
    <n v="175"/>
    <n v="4.4000000000000004"/>
    <n v="2024"/>
    <s v="Monday"/>
    <x v="0"/>
    <n v="4"/>
    <s v="Long"/>
    <s v="Very High"/>
  </r>
  <r>
    <s v="Call_8183"/>
    <s v="C0001"/>
    <n v="82"/>
    <s v="R05"/>
    <d v="2023-11-13T00:00:00"/>
    <n v="172"/>
    <n v="4.0999999999999996"/>
    <n v="2024"/>
    <s v="Monday"/>
    <x v="0"/>
    <n v="4"/>
    <s v="Long"/>
    <s v="Very High"/>
  </r>
  <r>
    <s v="Call_8184"/>
    <s v="C0009"/>
    <n v="91"/>
    <s v="R01"/>
    <d v="2023-11-13T00:00:00"/>
    <n v="108"/>
    <n v="3.8"/>
    <n v="2024"/>
    <s v="Monday"/>
    <x v="0"/>
    <n v="4"/>
    <s v="Long"/>
    <s v="High"/>
  </r>
  <r>
    <s v="Call_8185"/>
    <s v="C0002"/>
    <n v="39"/>
    <s v="R05"/>
    <d v="2023-11-14T00:00:00"/>
    <n v="43"/>
    <n v="4.2"/>
    <n v="2024"/>
    <s v="Tuesday"/>
    <x v="2"/>
    <n v="4"/>
    <s v="Medium"/>
    <s v="Low"/>
  </r>
  <r>
    <s v="Call_8186"/>
    <s v="C0010"/>
    <n v="149"/>
    <s v="R02"/>
    <d v="2023-11-14T00:00:00"/>
    <n v="44"/>
    <n v="2.2000000000000002"/>
    <n v="2024"/>
    <s v="Tuesday"/>
    <x v="1"/>
    <n v="2"/>
    <s v="Long"/>
    <s v="Low"/>
  </r>
  <r>
    <s v="Call_8187"/>
    <s v="C0001"/>
    <n v="138"/>
    <s v="R03"/>
    <d v="2023-11-14T00:00:00"/>
    <n v="105"/>
    <n v="3.9"/>
    <n v="2024"/>
    <s v="Tuesday"/>
    <x v="1"/>
    <n v="4"/>
    <s v="Long"/>
    <s v="High"/>
  </r>
  <r>
    <s v="Call_8188"/>
    <s v="C0013"/>
    <n v="113"/>
    <s v="R02"/>
    <d v="2023-11-15T00:00:00"/>
    <n v="34"/>
    <n v="3.9"/>
    <n v="2024"/>
    <s v="Wednesday"/>
    <x v="0"/>
    <n v="4"/>
    <s v="Long"/>
    <s v="Low"/>
  </r>
  <r>
    <s v="Call_8189"/>
    <s v="C0011"/>
    <n v="88"/>
    <s v="R05"/>
    <d v="2023-11-15T00:00:00"/>
    <n v="220"/>
    <n v="4.0999999999999996"/>
    <n v="2024"/>
    <s v="Wednesday"/>
    <x v="0"/>
    <n v="4"/>
    <s v="Long"/>
    <s v="Very High"/>
  </r>
  <r>
    <s v="Call_8190"/>
    <s v="C0003"/>
    <n v="64"/>
    <s v="R03"/>
    <d v="2023-11-15T00:00:00"/>
    <n v="225"/>
    <n v="4.5999999999999996"/>
    <n v="2024"/>
    <s v="Wednesday"/>
    <x v="0"/>
    <n v="5"/>
    <s v="Long"/>
    <s v="Very High"/>
  </r>
  <r>
    <s v="Call_8191"/>
    <s v="C0005"/>
    <n v="53"/>
    <s v="R03"/>
    <d v="2023-11-16T00:00:00"/>
    <n v="37"/>
    <n v="4.0999999999999996"/>
    <n v="2024"/>
    <s v="Thursday"/>
    <x v="2"/>
    <n v="4"/>
    <s v="Medium"/>
    <s v="Low"/>
  </r>
  <r>
    <s v="Call_8192"/>
    <s v="C0012"/>
    <n v="63"/>
    <s v="R02"/>
    <d v="2023-11-16T00:00:00"/>
    <n v="44"/>
    <n v="5"/>
    <n v="2024"/>
    <s v="Thursday"/>
    <x v="0"/>
    <n v="5"/>
    <s v="Long"/>
    <s v="Low"/>
  </r>
  <r>
    <s v="Call_8193"/>
    <s v="C0007"/>
    <n v="54"/>
    <s v="R02"/>
    <d v="2023-11-17T00:00:00"/>
    <n v="35"/>
    <n v="2.8"/>
    <n v="2024"/>
    <s v="Friday"/>
    <x v="2"/>
    <n v="3"/>
    <s v="Medium"/>
    <s v="Low"/>
  </r>
  <r>
    <s v="Call_8194"/>
    <s v="C0012"/>
    <n v="54"/>
    <s v="R05"/>
    <d v="2023-11-17T00:00:00"/>
    <n v="145"/>
    <n v="2.7"/>
    <n v="2024"/>
    <s v="Friday"/>
    <x v="2"/>
    <n v="3"/>
    <s v="Medium"/>
    <s v="High"/>
  </r>
  <r>
    <s v="Call_8195"/>
    <s v="C0010"/>
    <n v="71"/>
    <s v="R03"/>
    <d v="2023-11-17T00:00:00"/>
    <n v="64"/>
    <n v="3.9"/>
    <n v="2024"/>
    <s v="Friday"/>
    <x v="0"/>
    <n v="4"/>
    <s v="Long"/>
    <s v="Medium"/>
  </r>
  <r>
    <s v="Call_8196"/>
    <s v="C0012"/>
    <n v="93"/>
    <s v="R05"/>
    <d v="2023-11-18T00:00:00"/>
    <n v="185"/>
    <n v="4.3"/>
    <n v="2024"/>
    <s v="Saturday"/>
    <x v="0"/>
    <n v="4"/>
    <s v="Long"/>
    <s v="Very High"/>
  </r>
  <r>
    <s v="Call_8197"/>
    <s v="C0014"/>
    <n v="96"/>
    <s v="R02"/>
    <d v="2023-11-18T00:00:00"/>
    <n v="215"/>
    <n v="2.5"/>
    <n v="2024"/>
    <s v="Saturday"/>
    <x v="0"/>
    <n v="3"/>
    <s v="Long"/>
    <s v="Very High"/>
  </r>
  <r>
    <s v="Call_8198"/>
    <s v="C0002"/>
    <n v="31"/>
    <s v="R01"/>
    <d v="2023-11-18T00:00:00"/>
    <n v="88"/>
    <n v="3.4"/>
    <n v="2024"/>
    <s v="Saturday"/>
    <x v="2"/>
    <n v="3"/>
    <s v="Medium"/>
    <s v="Medium"/>
  </r>
  <r>
    <s v="Call_8199"/>
    <s v="C0012"/>
    <n v="107"/>
    <s v="R03"/>
    <d v="2023-11-18T00:00:00"/>
    <n v="23"/>
    <n v="3.4"/>
    <n v="2024"/>
    <s v="Saturday"/>
    <x v="0"/>
    <n v="3"/>
    <s v="Long"/>
    <s v="Low"/>
  </r>
  <r>
    <s v="Call_8200"/>
    <s v="C0005"/>
    <n v="50"/>
    <s v="R01"/>
    <d v="2023-11-19T00:00:00"/>
    <n v="180"/>
    <n v="1.8"/>
    <n v="2024"/>
    <s v="Sunday"/>
    <x v="2"/>
    <n v="2"/>
    <s v="Medium"/>
    <s v="Very High"/>
  </r>
  <r>
    <s v="Call_8201"/>
    <s v="C0001"/>
    <n v="69"/>
    <s v="R03"/>
    <d v="2023-11-20T00:00:00"/>
    <n v="225"/>
    <n v="3.7"/>
    <n v="2024"/>
    <s v="Monday"/>
    <x v="0"/>
    <n v="4"/>
    <s v="Long"/>
    <s v="Very High"/>
  </r>
  <r>
    <s v="Call_8202"/>
    <s v="C0011"/>
    <n v="26"/>
    <s v="R02"/>
    <d v="2023-11-21T00:00:00"/>
    <n v="74"/>
    <n v="4.0999999999999996"/>
    <n v="2024"/>
    <s v="Tuesday"/>
    <x v="3"/>
    <n v="4"/>
    <s v="Short"/>
    <s v="Medium"/>
  </r>
  <r>
    <s v="Call_8203"/>
    <s v="C0014"/>
    <n v="158"/>
    <s v="R03"/>
    <d v="2023-11-21T00:00:00"/>
    <n v="36"/>
    <n v="3"/>
    <n v="2024"/>
    <s v="Tuesday"/>
    <x v="1"/>
    <n v="3"/>
    <s v="Long"/>
    <s v="Low"/>
  </r>
  <r>
    <s v="Call_8204"/>
    <s v="C0007"/>
    <n v="99"/>
    <s v="R03"/>
    <d v="2023-11-23T00:00:00"/>
    <n v="116"/>
    <n v="3.9"/>
    <n v="2024"/>
    <s v="Thursday"/>
    <x v="0"/>
    <n v="4"/>
    <s v="Long"/>
    <s v="High"/>
  </r>
  <r>
    <s v="Call_8205"/>
    <s v="C0014"/>
    <n v="78"/>
    <s v="R01"/>
    <d v="2023-11-23T00:00:00"/>
    <n v="140"/>
    <n v="4"/>
    <n v="2024"/>
    <s v="Thursday"/>
    <x v="0"/>
    <n v="4"/>
    <s v="Long"/>
    <s v="High"/>
  </r>
  <r>
    <s v="Call_8206"/>
    <s v="C0014"/>
    <n v="102"/>
    <s v="R02"/>
    <d v="2023-11-24T00:00:00"/>
    <n v="104"/>
    <n v="4.5"/>
    <n v="2024"/>
    <s v="Friday"/>
    <x v="0"/>
    <n v="5"/>
    <s v="Long"/>
    <s v="High"/>
  </r>
  <r>
    <s v="Call_8207"/>
    <s v="C0007"/>
    <n v="158"/>
    <s v="R04"/>
    <d v="2023-11-24T00:00:00"/>
    <n v="148"/>
    <n v="4"/>
    <n v="2024"/>
    <s v="Friday"/>
    <x v="1"/>
    <n v="4"/>
    <s v="Long"/>
    <s v="High"/>
  </r>
  <r>
    <s v="Call_8208"/>
    <s v="C0002"/>
    <n v="56"/>
    <s v="R03"/>
    <d v="2023-11-24T00:00:00"/>
    <n v="205"/>
    <n v="4.3"/>
    <n v="2024"/>
    <s v="Friday"/>
    <x v="2"/>
    <n v="4"/>
    <s v="Medium"/>
    <s v="Very High"/>
  </r>
  <r>
    <s v="Call_8209"/>
    <s v="C0004"/>
    <n v="17"/>
    <s v="R05"/>
    <d v="2023-11-24T00:00:00"/>
    <n v="210"/>
    <n v="4.8"/>
    <n v="2024"/>
    <s v="Friday"/>
    <x v="3"/>
    <n v="5"/>
    <s v="Short"/>
    <s v="Very High"/>
  </r>
  <r>
    <s v="Call_8210"/>
    <s v="C0011"/>
    <n v="104"/>
    <s v="R04"/>
    <d v="2023-11-26T00:00:00"/>
    <n v="41"/>
    <n v="4.7"/>
    <n v="2024"/>
    <s v="Sunday"/>
    <x v="0"/>
    <n v="5"/>
    <s v="Long"/>
    <s v="Low"/>
  </r>
  <r>
    <s v="Call_8211"/>
    <s v="C0015"/>
    <n v="96"/>
    <s v="R01"/>
    <d v="2023-11-26T00:00:00"/>
    <n v="136"/>
    <n v="5"/>
    <n v="2024"/>
    <s v="Sunday"/>
    <x v="0"/>
    <n v="5"/>
    <s v="Long"/>
    <s v="High"/>
  </r>
  <r>
    <s v="Call_8212"/>
    <s v="C0009"/>
    <n v="83"/>
    <s v="R02"/>
    <d v="2023-11-27T00:00:00"/>
    <n v="126"/>
    <n v="1.5"/>
    <n v="2024"/>
    <s v="Monday"/>
    <x v="0"/>
    <n v="2"/>
    <s v="Long"/>
    <s v="High"/>
  </r>
  <r>
    <s v="Call_8213"/>
    <s v="C0005"/>
    <n v="80"/>
    <s v="R05"/>
    <d v="2023-11-28T00:00:00"/>
    <n v="148"/>
    <n v="4.0999999999999996"/>
    <n v="2024"/>
    <s v="Tuesday"/>
    <x v="0"/>
    <n v="4"/>
    <s v="Long"/>
    <s v="High"/>
  </r>
  <r>
    <s v="Call_8214"/>
    <s v="C0009"/>
    <n v="152"/>
    <s v="R02"/>
    <d v="2023-11-28T00:00:00"/>
    <n v="125"/>
    <n v="3.9"/>
    <n v="2024"/>
    <s v="Tuesday"/>
    <x v="1"/>
    <n v="4"/>
    <s v="Long"/>
    <s v="High"/>
  </r>
  <r>
    <s v="Call_8215"/>
    <s v="C0010"/>
    <n v="34"/>
    <s v="R01"/>
    <d v="2023-11-28T00:00:00"/>
    <n v="25"/>
    <n v="4.0999999999999996"/>
    <n v="2024"/>
    <s v="Tuesday"/>
    <x v="2"/>
    <n v="4"/>
    <s v="Medium"/>
    <s v="Low"/>
  </r>
  <r>
    <s v="Call_8216"/>
    <s v="C0013"/>
    <n v="2"/>
    <s v="R03"/>
    <d v="2023-11-29T00:00:00"/>
    <n v="62"/>
    <n v="2.8"/>
    <n v="2024"/>
    <s v="Wednesday"/>
    <x v="4"/>
    <n v="3"/>
    <s v="Very Short"/>
    <s v="Medium"/>
  </r>
  <r>
    <s v="Call_8217"/>
    <s v="C0005"/>
    <n v="140"/>
    <s v="R01"/>
    <d v="2023-11-30T00:00:00"/>
    <n v="90"/>
    <n v="4.5999999999999996"/>
    <n v="2024"/>
    <s v="Thursday"/>
    <x v="1"/>
    <n v="5"/>
    <s v="Long"/>
    <s v="Medium"/>
  </r>
  <r>
    <s v="Call_8218"/>
    <s v="C0004"/>
    <n v="126"/>
    <s v="R04"/>
    <d v="2023-12-01T00:00:00"/>
    <n v="33"/>
    <n v="4.8"/>
    <n v="2024"/>
    <s v="Friday"/>
    <x v="1"/>
    <n v="5"/>
    <s v="Long"/>
    <s v="Low"/>
  </r>
  <r>
    <s v="Call_8219"/>
    <s v="C0014"/>
    <n v="79"/>
    <s v="R03"/>
    <d v="2023-12-01T00:00:00"/>
    <n v="115"/>
    <n v="2.2999999999999998"/>
    <n v="2024"/>
    <s v="Friday"/>
    <x v="0"/>
    <n v="2"/>
    <s v="Long"/>
    <s v="High"/>
  </r>
  <r>
    <s v="Call_8220"/>
    <s v="C0004"/>
    <n v="133"/>
    <s v="R04"/>
    <d v="2023-12-01T00:00:00"/>
    <n v="45"/>
    <n v="2.6"/>
    <n v="2024"/>
    <s v="Friday"/>
    <x v="1"/>
    <n v="3"/>
    <s v="Long"/>
    <s v="Low"/>
  </r>
  <r>
    <s v="Call_8221"/>
    <s v="C0010"/>
    <n v="97"/>
    <s v="R05"/>
    <d v="2023-12-01T00:00:00"/>
    <n v="114"/>
    <n v="4.8"/>
    <n v="2024"/>
    <s v="Friday"/>
    <x v="0"/>
    <n v="5"/>
    <s v="Long"/>
    <s v="High"/>
  </r>
  <r>
    <s v="Call_8222"/>
    <s v="C0014"/>
    <n v="102"/>
    <s v="R02"/>
    <d v="2023-12-02T00:00:00"/>
    <n v="72"/>
    <n v="3.7"/>
    <n v="2024"/>
    <s v="Saturday"/>
    <x v="0"/>
    <n v="4"/>
    <s v="Long"/>
    <s v="Medium"/>
  </r>
  <r>
    <s v="Call_8223"/>
    <s v="C0006"/>
    <n v="62"/>
    <s v="R05"/>
    <d v="2023-12-02T00:00:00"/>
    <n v="205"/>
    <n v="4.2"/>
    <n v="2024"/>
    <s v="Saturday"/>
    <x v="0"/>
    <n v="4"/>
    <s v="Long"/>
    <s v="Very High"/>
  </r>
  <r>
    <s v="Call_8224"/>
    <s v="C0004"/>
    <n v="149"/>
    <s v="R02"/>
    <d v="2023-12-03T00:00:00"/>
    <n v="42"/>
    <n v="3.3"/>
    <n v="2024"/>
    <s v="Sunday"/>
    <x v="1"/>
    <n v="3"/>
    <s v="Long"/>
    <s v="Low"/>
  </r>
  <r>
    <s v="Call_8225"/>
    <s v="C0013"/>
    <n v="133"/>
    <s v="R05"/>
    <d v="2023-12-03T00:00:00"/>
    <n v="96"/>
    <n v="4.3"/>
    <n v="2024"/>
    <s v="Sunday"/>
    <x v="1"/>
    <n v="4"/>
    <s v="Long"/>
    <s v="Medium"/>
  </r>
  <r>
    <s v="Call_8226"/>
    <s v="C0014"/>
    <n v="51"/>
    <s v="R03"/>
    <d v="2023-12-03T00:00:00"/>
    <n v="64"/>
    <n v="3.7"/>
    <n v="2024"/>
    <s v="Sunday"/>
    <x v="2"/>
    <n v="4"/>
    <s v="Medium"/>
    <s v="Medium"/>
  </r>
  <r>
    <s v="Call_8227"/>
    <s v="C0006"/>
    <n v="110"/>
    <s v="R05"/>
    <d v="2023-12-04T00:00:00"/>
    <n v="72"/>
    <n v="3.7"/>
    <n v="2024"/>
    <s v="Monday"/>
    <x v="0"/>
    <n v="4"/>
    <s v="Long"/>
    <s v="Medium"/>
  </r>
  <r>
    <s v="Call_8228"/>
    <s v="C0010"/>
    <n v="38"/>
    <s v="R04"/>
    <d v="2023-12-05T00:00:00"/>
    <n v="27"/>
    <n v="3.1"/>
    <n v="2024"/>
    <s v="Tuesday"/>
    <x v="2"/>
    <n v="3"/>
    <s v="Medium"/>
    <s v="Low"/>
  </r>
  <r>
    <s v="Call_8229"/>
    <s v="C0013"/>
    <n v="78"/>
    <s v="R04"/>
    <d v="2023-12-07T00:00:00"/>
    <n v="200"/>
    <n v="2.4"/>
    <n v="2024"/>
    <s v="Thursday"/>
    <x v="0"/>
    <n v="2"/>
    <s v="Long"/>
    <s v="Very High"/>
  </r>
  <r>
    <s v="Call_8230"/>
    <s v="C0010"/>
    <n v="25"/>
    <s v="R02"/>
    <d v="2023-12-08T00:00:00"/>
    <n v="93"/>
    <n v="3.5"/>
    <n v="2024"/>
    <s v="Friday"/>
    <x v="3"/>
    <n v="4"/>
    <s v="Short"/>
    <s v="Medium"/>
  </r>
  <r>
    <s v="Call_8231"/>
    <s v="C0012"/>
    <n v="50"/>
    <s v="R03"/>
    <d v="2023-12-08T00:00:00"/>
    <n v="54"/>
    <n v="4.3"/>
    <n v="2024"/>
    <s v="Friday"/>
    <x v="2"/>
    <n v="4"/>
    <s v="Medium"/>
    <s v="Medium"/>
  </r>
  <r>
    <s v="Call_8232"/>
    <s v="C0010"/>
    <n v="103"/>
    <s v="R02"/>
    <d v="2023-12-09T00:00:00"/>
    <n v="72"/>
    <n v="3.4"/>
    <n v="2024"/>
    <s v="Saturday"/>
    <x v="0"/>
    <n v="3"/>
    <s v="Long"/>
    <s v="Medium"/>
  </r>
  <r>
    <s v="Call_8233"/>
    <s v="C0009"/>
    <n v="63"/>
    <s v="R01"/>
    <d v="2023-12-09T00:00:00"/>
    <n v="82"/>
    <n v="3.7"/>
    <n v="2024"/>
    <s v="Saturday"/>
    <x v="0"/>
    <n v="4"/>
    <s v="Long"/>
    <s v="Medium"/>
  </r>
  <r>
    <s v="Call_8234"/>
    <s v="C0012"/>
    <n v="96"/>
    <s v="R03"/>
    <d v="2023-12-13T00:00:00"/>
    <n v="164"/>
    <n v="4.8"/>
    <n v="2024"/>
    <s v="Wednesday"/>
    <x v="0"/>
    <n v="5"/>
    <s v="Long"/>
    <s v="Very High"/>
  </r>
  <r>
    <s v="Call_8235"/>
    <s v="C0005"/>
    <n v="94"/>
    <s v="R02"/>
    <d v="2023-12-13T00:00:00"/>
    <n v="78"/>
    <n v="3.3"/>
    <n v="2024"/>
    <s v="Wednesday"/>
    <x v="0"/>
    <n v="3"/>
    <s v="Long"/>
    <s v="Medium"/>
  </r>
  <r>
    <s v="Call_8236"/>
    <s v="C0006"/>
    <n v="46"/>
    <s v="R04"/>
    <d v="2023-12-14T00:00:00"/>
    <n v="135"/>
    <n v="4.2"/>
    <n v="2024"/>
    <s v="Thursday"/>
    <x v="2"/>
    <n v="4"/>
    <s v="Medium"/>
    <s v="High"/>
  </r>
  <r>
    <s v="Call_8237"/>
    <s v="C0008"/>
    <n v="127"/>
    <s v="R03"/>
    <d v="2023-12-15T00:00:00"/>
    <n v="145"/>
    <n v="2.6"/>
    <n v="2024"/>
    <s v="Friday"/>
    <x v="1"/>
    <n v="3"/>
    <s v="Long"/>
    <s v="High"/>
  </r>
  <r>
    <s v="Call_8238"/>
    <s v="C0007"/>
    <n v="96"/>
    <s v="R04"/>
    <d v="2023-12-15T00:00:00"/>
    <n v="115"/>
    <n v="4.9000000000000004"/>
    <n v="2024"/>
    <s v="Friday"/>
    <x v="0"/>
    <n v="5"/>
    <s v="Long"/>
    <s v="High"/>
  </r>
  <r>
    <s v="Call_8239"/>
    <s v="C0001"/>
    <n v="151"/>
    <s v="R02"/>
    <d v="2023-12-15T00:00:00"/>
    <n v="117"/>
    <n v="2"/>
    <n v="2024"/>
    <s v="Friday"/>
    <x v="1"/>
    <n v="2"/>
    <s v="Long"/>
    <s v="High"/>
  </r>
  <r>
    <s v="Call_8240"/>
    <s v="C0008"/>
    <n v="158"/>
    <s v="R05"/>
    <d v="2023-12-16T00:00:00"/>
    <n v="36"/>
    <n v="4.7"/>
    <n v="2024"/>
    <s v="Saturday"/>
    <x v="1"/>
    <n v="5"/>
    <s v="Long"/>
    <s v="Low"/>
  </r>
  <r>
    <s v="Call_8241"/>
    <s v="C0005"/>
    <n v="45"/>
    <s v="R05"/>
    <d v="2023-12-16T00:00:00"/>
    <n v="84"/>
    <n v="2.8"/>
    <n v="2024"/>
    <s v="Saturday"/>
    <x v="2"/>
    <n v="3"/>
    <s v="Medium"/>
    <s v="Medium"/>
  </r>
  <r>
    <s v="Call_8242"/>
    <s v="C0002"/>
    <n v="141"/>
    <s v="R05"/>
    <d v="2023-12-16T00:00:00"/>
    <n v="66"/>
    <n v="3.2"/>
    <n v="2024"/>
    <s v="Saturday"/>
    <x v="1"/>
    <n v="3"/>
    <s v="Long"/>
    <s v="Medium"/>
  </r>
  <r>
    <s v="Call_8243"/>
    <s v="C0010"/>
    <n v="147"/>
    <s v="R04"/>
    <d v="2023-12-16T00:00:00"/>
    <n v="76"/>
    <n v="4.7"/>
    <n v="2024"/>
    <s v="Saturday"/>
    <x v="1"/>
    <n v="5"/>
    <s v="Long"/>
    <s v="Medium"/>
  </r>
  <r>
    <s v="Call_8244"/>
    <s v="C0015"/>
    <n v="126"/>
    <s v="R04"/>
    <d v="2023-12-16T00:00:00"/>
    <n v="185"/>
    <n v="4.8"/>
    <n v="2024"/>
    <s v="Saturday"/>
    <x v="1"/>
    <n v="5"/>
    <s v="Long"/>
    <s v="Very High"/>
  </r>
  <r>
    <s v="Call_8245"/>
    <s v="C0005"/>
    <n v="126"/>
    <s v="R01"/>
    <d v="2023-12-17T00:00:00"/>
    <n v="80"/>
    <n v="4.7"/>
    <n v="2024"/>
    <s v="Sunday"/>
    <x v="1"/>
    <n v="5"/>
    <s v="Long"/>
    <s v="Medium"/>
  </r>
  <r>
    <s v="Call_8246"/>
    <s v="C0013"/>
    <n v="32"/>
    <s v="R04"/>
    <d v="2023-12-17T00:00:00"/>
    <n v="148"/>
    <n v="4"/>
    <n v="2024"/>
    <s v="Sunday"/>
    <x v="2"/>
    <n v="4"/>
    <s v="Medium"/>
    <s v="High"/>
  </r>
  <r>
    <s v="Call_8247"/>
    <s v="C0005"/>
    <n v="84"/>
    <s v="R03"/>
    <d v="2023-12-19T00:00:00"/>
    <n v="180"/>
    <n v="4.9000000000000004"/>
    <n v="2024"/>
    <s v="Tuesday"/>
    <x v="0"/>
    <n v="5"/>
    <s v="Long"/>
    <s v="Very High"/>
  </r>
  <r>
    <s v="Call_8248"/>
    <s v="C0009"/>
    <n v="120"/>
    <s v="R01"/>
    <d v="2023-12-20T00:00:00"/>
    <n v="190"/>
    <n v="3.7"/>
    <n v="2024"/>
    <s v="Wednesday"/>
    <x v="0"/>
    <n v="4"/>
    <s v="Long"/>
    <s v="Very High"/>
  </r>
  <r>
    <s v="Call_8249"/>
    <s v="C0011"/>
    <n v="93"/>
    <s v="R04"/>
    <d v="2023-12-20T00:00:00"/>
    <n v="38"/>
    <n v="4.5"/>
    <n v="2024"/>
    <s v="Wednesday"/>
    <x v="0"/>
    <n v="5"/>
    <s v="Long"/>
    <s v="Low"/>
  </r>
  <r>
    <s v="Call_8250"/>
    <s v="C0007"/>
    <n v="76"/>
    <s v="R02"/>
    <d v="2023-12-21T00:00:00"/>
    <n v="82"/>
    <n v="2.1"/>
    <n v="2024"/>
    <s v="Thursday"/>
    <x v="0"/>
    <n v="2"/>
    <s v="Long"/>
    <s v="Medium"/>
  </r>
  <r>
    <s v="Call_8251"/>
    <s v="C0008"/>
    <n v="89"/>
    <s v="R04"/>
    <d v="2023-12-24T00:00:00"/>
    <n v="88"/>
    <n v="2.8"/>
    <n v="2024"/>
    <s v="Sunday"/>
    <x v="0"/>
    <n v="3"/>
    <s v="Long"/>
    <s v="Medium"/>
  </r>
  <r>
    <s v="Call_8252"/>
    <s v="C0014"/>
    <n v="91"/>
    <s v="R03"/>
    <d v="2023-12-24T00:00:00"/>
    <n v="42"/>
    <n v="4.0999999999999996"/>
    <n v="2024"/>
    <s v="Sunday"/>
    <x v="0"/>
    <n v="4"/>
    <s v="Long"/>
    <s v="Low"/>
  </r>
  <r>
    <s v="Call_8253"/>
    <s v="C0006"/>
    <n v="7"/>
    <s v="R05"/>
    <d v="2023-12-25T00:00:00"/>
    <n v="64"/>
    <n v="3.3"/>
    <n v="2024"/>
    <s v="Monday"/>
    <x v="4"/>
    <n v="3"/>
    <s v="Very Short"/>
    <s v="Medium"/>
  </r>
  <r>
    <s v="Call_8254"/>
    <s v="C0013"/>
    <n v="140"/>
    <s v="R05"/>
    <d v="2023-12-25T00:00:00"/>
    <n v="105"/>
    <n v="1.7"/>
    <n v="2024"/>
    <s v="Monday"/>
    <x v="1"/>
    <n v="2"/>
    <s v="Long"/>
    <s v="High"/>
  </r>
  <r>
    <s v="Call_8255"/>
    <s v="C0004"/>
    <n v="58"/>
    <s v="R01"/>
    <d v="2023-12-25T00:00:00"/>
    <n v="25"/>
    <n v="3.6"/>
    <n v="2024"/>
    <s v="Monday"/>
    <x v="2"/>
    <n v="4"/>
    <s v="Medium"/>
    <s v="Low"/>
  </r>
  <r>
    <s v="Call_8256"/>
    <s v="C0003"/>
    <n v="90"/>
    <s v="R02"/>
    <d v="2023-12-26T00:00:00"/>
    <n v="176"/>
    <n v="3.6"/>
    <n v="2024"/>
    <s v="Tuesday"/>
    <x v="0"/>
    <n v="4"/>
    <s v="Long"/>
    <s v="Very High"/>
  </r>
  <r>
    <s v="Call_8257"/>
    <s v="C0003"/>
    <n v="106"/>
    <s v="R04"/>
    <d v="2023-12-27T00:00:00"/>
    <n v="46"/>
    <n v="4.5999999999999996"/>
    <n v="2024"/>
    <s v="Wednesday"/>
    <x v="0"/>
    <n v="5"/>
    <s v="Long"/>
    <s v="Low"/>
  </r>
  <r>
    <s v="Call_8258"/>
    <s v="C0009"/>
    <n v="72"/>
    <s v="R05"/>
    <d v="2023-12-27T00:00:00"/>
    <n v="164"/>
    <n v="4.8"/>
    <n v="2024"/>
    <s v="Wednesday"/>
    <x v="0"/>
    <n v="5"/>
    <s v="Long"/>
    <s v="Very High"/>
  </r>
  <r>
    <s v="Call_8259"/>
    <s v="C0006"/>
    <n v="124"/>
    <s v="R05"/>
    <d v="2023-12-28T00:00:00"/>
    <n v="64"/>
    <n v="4.5"/>
    <n v="2024"/>
    <s v="Thursday"/>
    <x v="1"/>
    <n v="5"/>
    <s v="Long"/>
    <s v="Medium"/>
  </r>
  <r>
    <s v="Call_8260"/>
    <s v="C0002"/>
    <n v="86"/>
    <s v="R03"/>
    <d v="2023-12-28T00:00:00"/>
    <n v="205"/>
    <n v="4.5"/>
    <n v="2024"/>
    <s v="Thursday"/>
    <x v="0"/>
    <n v="5"/>
    <s v="Long"/>
    <s v="Very High"/>
  </r>
  <r>
    <s v="Call_8261"/>
    <s v="C0005"/>
    <n v="164"/>
    <s v="R03"/>
    <d v="2023-12-29T00:00:00"/>
    <n v="100"/>
    <n v="4.5999999999999996"/>
    <n v="2024"/>
    <s v="Friday"/>
    <x v="1"/>
    <n v="5"/>
    <s v="Long"/>
    <s v="Medium"/>
  </r>
  <r>
    <s v="Call_8262"/>
    <s v="C0011"/>
    <n v="40"/>
    <s v="R02"/>
    <d v="2023-12-29T00:00:00"/>
    <n v="111"/>
    <n v="4.5999999999999996"/>
    <n v="2024"/>
    <s v="Friday"/>
    <x v="2"/>
    <n v="5"/>
    <s v="Medium"/>
    <s v="High"/>
  </r>
  <r>
    <s v="Call_8263"/>
    <s v="C0014"/>
    <n v="76"/>
    <s v="R01"/>
    <d v="2023-12-29T00:00:00"/>
    <n v="80"/>
    <n v="3.5"/>
    <n v="2024"/>
    <s v="Friday"/>
    <x v="0"/>
    <n v="4"/>
    <s v="Long"/>
    <s v="Medium"/>
  </r>
  <r>
    <s v="Call_8264"/>
    <s v="C0006"/>
    <n v="95"/>
    <s v="R04"/>
    <d v="2023-12-29T00:00:00"/>
    <n v="50"/>
    <n v="2.9"/>
    <n v="2024"/>
    <s v="Friday"/>
    <x v="0"/>
    <n v="3"/>
    <s v="Long"/>
    <s v="Low"/>
  </r>
  <r>
    <s v="Call_8265"/>
    <s v="C0014"/>
    <n v="113"/>
    <s v="R05"/>
    <d v="2023-12-30T00:00:00"/>
    <n v="165"/>
    <n v="4.7"/>
    <n v="2024"/>
    <s v="Saturday"/>
    <x v="0"/>
    <n v="5"/>
    <s v="Long"/>
    <s v="Very High"/>
  </r>
  <r>
    <s v="Call_8266"/>
    <s v="C0002"/>
    <n v="81"/>
    <s v="R05"/>
    <d v="2023-12-30T00:00:00"/>
    <n v="28"/>
    <n v="3.9"/>
    <n v="2024"/>
    <s v="Saturday"/>
    <x v="0"/>
    <n v="4"/>
    <s v="Long"/>
    <s v="Low"/>
  </r>
  <r>
    <s v="Call_8267"/>
    <s v="C0007"/>
    <n v="127"/>
    <s v="R04"/>
    <d v="2023-12-30T00:00:00"/>
    <n v="215"/>
    <n v="3.8"/>
    <n v="2024"/>
    <s v="Saturday"/>
    <x v="1"/>
    <n v="4"/>
    <s v="Long"/>
    <s v="Very High"/>
  </r>
  <r>
    <s v="Call_8268"/>
    <s v="C0013"/>
    <n v="146"/>
    <s v="R05"/>
    <d v="2023-12-31T00:00:00"/>
    <n v="115"/>
    <n v="2.2999999999999998"/>
    <n v="2024"/>
    <s v="Sunday"/>
    <x v="1"/>
    <n v="2"/>
    <s v="Long"/>
    <s v="High"/>
  </r>
  <r>
    <s v="Call_8269"/>
    <s v="C0010"/>
    <n v="123"/>
    <s v="R05"/>
    <d v="2023-12-31T00:00:00"/>
    <n v="64"/>
    <n v="3.7"/>
    <n v="2024"/>
    <s v="Sunday"/>
    <x v="1"/>
    <n v="4"/>
    <s v="Long"/>
    <s v="Medium"/>
  </r>
  <r>
    <s v="Call_8270"/>
    <s v="C0009"/>
    <n v="114"/>
    <s v="R01"/>
    <d v="2023-12-31T00:00:00"/>
    <n v="40"/>
    <n v="3.9"/>
    <n v="2024"/>
    <s v="Sunday"/>
    <x v="0"/>
    <n v="4"/>
    <s v="Long"/>
    <s v="Low"/>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C3A3235-28EA-4791-BA4A-2B484C966302}"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Duration Bucket">
  <location ref="G21:G30" firstHeaderRow="1" firstDataRow="1" firstDataCol="1"/>
  <pivotFields count="14">
    <pivotField showAll="0"/>
    <pivotField showAll="0"/>
    <pivotField showAll="0"/>
    <pivotField showAll="0"/>
    <pivotField numFmtId="14" showAll="0"/>
    <pivotField numFmtId="164" showAll="0"/>
    <pivotField showAll="0"/>
    <pivotField showAll="0"/>
    <pivotField showAll="0"/>
    <pivotField axis="axisRow" showAll="0">
      <items count="6">
        <item x="0"/>
        <item x="3"/>
        <item x="2"/>
        <item x="1"/>
        <item x="4"/>
        <item t="default"/>
      </items>
    </pivotField>
    <pivotField showAll="0"/>
    <pivotField showAll="0"/>
    <pivotField showAll="0"/>
    <pivotField axis="axisRow" showAll="0">
      <items count="4">
        <item n="Long" x="2"/>
        <item n="Short" x="1"/>
        <item n="Medium" x="0"/>
        <item t="default"/>
      </items>
    </pivotField>
  </pivotFields>
  <rowFields count="2">
    <field x="13"/>
    <field x="9"/>
  </rowFields>
  <rowItems count="9">
    <i>
      <x/>
    </i>
    <i r="1">
      <x/>
    </i>
    <i r="1">
      <x v="3"/>
    </i>
    <i>
      <x v="1"/>
    </i>
    <i r="1">
      <x v="1"/>
    </i>
    <i r="1">
      <x v="4"/>
    </i>
    <i>
      <x v="2"/>
    </i>
    <i r="1">
      <x v="2"/>
    </i>
    <i t="grand">
      <x/>
    </i>
  </rowItems>
  <colItems count="1">
    <i/>
  </colItems>
  <formats count="2">
    <format dxfId="923">
      <pivotArea field="9" type="button" dataOnly="0" labelOnly="1" outline="0" axis="axisRow" fieldPosition="1"/>
    </format>
    <format dxfId="922">
      <pivotArea dataOnly="0" labelOnly="1" grandRow="1" outline="0"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7B8672D-CCDE-4C86-ACFB-5F8EE2D46EDE}" name="PivotTable3" cacheId="4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Representative">
  <location ref="D1:E7" firstHeaderRow="1" firstDataRow="1" firstDataCol="1"/>
  <pivotFields count="3">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i>
    <i>
      <x v="3"/>
    </i>
    <i>
      <x v="4"/>
    </i>
    <i>
      <x v="1"/>
    </i>
    <i>
      <x v="2"/>
    </i>
    <i t="grand">
      <x/>
    </i>
  </rowItems>
  <colItems count="1">
    <i/>
  </colItems>
  <dataFields count="1">
    <dataField name="Avg of Rating" fld="1" subtotal="average" baseField="0" baseItem="0" numFmtId="2"/>
  </dataFields>
  <formats count="6">
    <format dxfId="929">
      <pivotArea dataOnly="0" labelOnly="1" outline="0" axis="axisValues" fieldPosition="0"/>
    </format>
    <format dxfId="928">
      <pivotArea grandRow="1" outline="0" collapsedLevelsAreSubtotals="1" fieldPosition="0"/>
    </format>
    <format dxfId="927">
      <pivotArea dataOnly="0" labelOnly="1" grandRow="1" outline="0" fieldPosition="0"/>
    </format>
    <format dxfId="926">
      <pivotArea field="0" type="button" dataOnly="0" labelOnly="1" outline="0" axis="axisRow" fieldPosition="0"/>
    </format>
    <format dxfId="925">
      <pivotArea outline="0" collapsedLevelsAreSubtotals="1" fieldPosition="0"/>
    </format>
    <format dxfId="924">
      <pivotArea dataOnly="0" fieldPosition="0">
        <references count="1">
          <reference field="0" count="1">
            <x v="0"/>
          </reference>
        </references>
      </pivotArea>
    </format>
  </formats>
  <chartFormats count="5">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0" count="1" selected="0">
            <x v="3"/>
          </reference>
        </references>
      </pivotArea>
    </chartFormat>
    <chartFormat chart="3" format="4">
      <pivotArea type="data" outline="0" fieldPosition="0">
        <references count="2">
          <reference field="4294967294" count="1" selected="0">
            <x v="0"/>
          </reference>
          <reference field="0" count="1" selected="0">
            <x v="4"/>
          </reference>
        </references>
      </pivotArea>
    </chartFormat>
    <chartFormat chart="3" format="5">
      <pivotArea type="data" outline="0" fieldPosition="0">
        <references count="2">
          <reference field="4294967294" count="1" selected="0">
            <x v="0"/>
          </reference>
          <reference field="0" count="1" selected="0">
            <x v="1"/>
          </reference>
        </references>
      </pivotArea>
    </chartFormat>
    <chartFormat chart="3" format="6">
      <pivotArea type="data" outline="0" fieldPosition="0">
        <references count="2">
          <reference field="4294967294" count="1" selected="0">
            <x v="0"/>
          </reference>
          <reference field="0" count="1" selected="0">
            <x v="2"/>
          </reference>
        </references>
      </pivotArea>
    </chartFormat>
  </chartFormats>
  <pivotHierarchies count="28">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caption="Total Sales"/>
    <pivotHierarchy dragToData="1" caption="Sum of Satisfaction Rating"/>
    <pivotHierarchy dragToData="1" caption="Avg of Rating"/>
    <pivotHierarchy dragToData="1" caption="Count of Satisfaction Rating"/>
    <pivotHierarchy dragToData="1"/>
    <pivotHierarchy dragToData="1"/>
    <pivotHierarchy dragToData="1"/>
    <pivotHierarchy dragToData="1"/>
    <pivotHierarchy dragToData="1"/>
    <pivotHierarchy dragToData="1"/>
    <pivotHierarchy dragToData="1"/>
  </pivotHierarchies>
  <pivotTableStyleInfo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all Center Data_DataSource.xlsx!Table_1">
        <x15:activeTabTopLevelEntity name="[Table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53A7060-7A77-4E1E-8946-4876F179B412}" name="PivotTable5" cacheId="4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Duration Category">
  <location ref="G1:H6" firstHeaderRow="1" firstDataRow="1" firstDataCol="1"/>
  <pivotFields count="3">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Count of Duration " fld="1" subtotal="count" baseField="0" baseItem="0"/>
  </dataFields>
  <formats count="6">
    <format dxfId="935">
      <pivotArea dataOnly="0" labelOnly="1" outline="0" axis="axisValues" fieldPosition="0"/>
    </format>
    <format dxfId="934">
      <pivotArea grandRow="1" outline="0" collapsedLevelsAreSubtotals="1" fieldPosition="0"/>
    </format>
    <format dxfId="933">
      <pivotArea dataOnly="0" labelOnly="1" grandRow="1" outline="0" fieldPosition="0"/>
    </format>
    <format dxfId="932">
      <pivotArea outline="0" collapsedLevelsAreSubtotals="1" fieldPosition="0"/>
    </format>
    <format dxfId="931">
      <pivotArea field="0" type="button" dataOnly="0" labelOnly="1" outline="0" axis="axisRow" fieldPosition="0"/>
    </format>
    <format dxfId="930">
      <pivotArea dataOnly="0" fieldPosition="0">
        <references count="1">
          <reference field="0" count="1">
            <x v="0"/>
          </reference>
        </references>
      </pivotArea>
    </format>
  </formats>
  <chartFormats count="5">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0" count="1" selected="0">
            <x v="0"/>
          </reference>
        </references>
      </pivotArea>
    </chartFormat>
    <chartFormat chart="3" format="8">
      <pivotArea type="data" outline="0" fieldPosition="0">
        <references count="2">
          <reference field="4294967294" count="1" selected="0">
            <x v="0"/>
          </reference>
          <reference field="0" count="1" selected="0">
            <x v="1"/>
          </reference>
        </references>
      </pivotArea>
    </chartFormat>
    <chartFormat chart="3" format="9">
      <pivotArea type="data" outline="0" fieldPosition="0">
        <references count="2">
          <reference field="4294967294" count="1" selected="0">
            <x v="0"/>
          </reference>
          <reference field="0" count="1" selected="0">
            <x v="2"/>
          </reference>
        </references>
      </pivotArea>
    </chartFormat>
    <chartFormat chart="3" format="10">
      <pivotArea type="data" outline="0" fieldPosition="0">
        <references count="2">
          <reference field="4294967294" count="1" selected="0">
            <x v="0"/>
          </reference>
          <reference field="0" count="1" selected="0">
            <x v="3"/>
          </reference>
        </references>
      </pivotArea>
    </chartFormat>
  </chartFormats>
  <pivotHierarchies count="28">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caption="Total Sales"/>
    <pivotHierarchy dragToData="1" caption="Sum of Satisfaction Rating"/>
    <pivotHierarchy dragToData="1" caption="Avg of Satisfaction Rating"/>
    <pivotHierarchy dragToData="1" caption="Count of Satisfaction Rating"/>
    <pivotHierarchy dragToData="1" caption="Count of Duration "/>
    <pivotHierarchy dragToData="1"/>
    <pivotHierarchy dragToData="1"/>
    <pivotHierarchy dragToData="1"/>
    <pivotHierarchy dragToData="1"/>
    <pivotHierarchy dragToData="1"/>
    <pivotHierarchy dragToData="1"/>
  </pivotHierarchies>
  <pivotTableStyleInfo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all Center Data_DataSource.xlsx!Table_1">
        <x15:activeTabTopLevelEntity name="[Table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DA9040F-6332-4848-82B7-55F0E3EA32A8}" name="PivotTable17" cacheId="4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Month">
  <location ref="A28:B41" firstHeaderRow="1" firstDataRow="1" firstDataCol="1"/>
  <pivotFields count="3">
    <pivotField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defaultSubtotal="0" defaultAttributeDrillState="1">
      <items count="12">
        <item x="0"/>
        <item x="1"/>
        <item x="2"/>
        <item x="3"/>
        <item x="4"/>
        <item x="5"/>
        <item x="6"/>
        <item x="7"/>
        <item x="8"/>
        <item x="9"/>
        <item x="10"/>
        <item x="11"/>
      </items>
    </pivotField>
  </pivotFields>
  <rowFields count="1">
    <field x="2"/>
  </rowFields>
  <rowItems count="13">
    <i>
      <x/>
    </i>
    <i>
      <x v="1"/>
    </i>
    <i>
      <x v="2"/>
    </i>
    <i>
      <x v="3"/>
    </i>
    <i>
      <x v="4"/>
    </i>
    <i>
      <x v="5"/>
    </i>
    <i>
      <x v="6"/>
    </i>
    <i>
      <x v="7"/>
    </i>
    <i>
      <x v="8"/>
    </i>
    <i>
      <x v="9"/>
    </i>
    <i>
      <x v="10"/>
    </i>
    <i>
      <x v="11"/>
    </i>
    <i t="grand">
      <x/>
    </i>
  </rowItems>
  <colItems count="1">
    <i/>
  </colItems>
  <dataFields count="1">
    <dataField name="Total Sales" fld="1" baseField="0" baseItem="2" numFmtId="165"/>
  </dataFields>
  <formats count="6">
    <format dxfId="941">
      <pivotArea dataOnly="0" labelOnly="1" outline="0" axis="axisValues" fieldPosition="0"/>
    </format>
    <format dxfId="940">
      <pivotArea grandRow="1" outline="0" collapsedLevelsAreSubtotals="1" fieldPosition="0"/>
    </format>
    <format dxfId="939">
      <pivotArea dataOnly="0" labelOnly="1" grandRow="1" outline="0" fieldPosition="0"/>
    </format>
    <format dxfId="938">
      <pivotArea outline="0" collapsedLevelsAreSubtotals="1" fieldPosition="0"/>
    </format>
    <format dxfId="937">
      <pivotArea field="0" type="button" dataOnly="0" labelOnly="1" outline="0"/>
    </format>
    <format dxfId="936">
      <pivotArea field="2" type="button" dataOnly="0" labelOnly="1" outline="0" axis="axisRow" fieldPosition="0"/>
    </format>
  </formats>
  <chartFormats count="2">
    <chartFormat chart="3" format="2"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28">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caption="Total Sales"/>
    <pivotHierarchy dragToData="1" caption="Sum of Satisfaction Rating"/>
    <pivotHierarchy dragToData="1" caption="Avg of Satisfaction Rating"/>
    <pivotHierarchy dragToData="1" caption="Count of Satisfaction Rating"/>
    <pivotHierarchy dragToData="1" caption="Count of Duration "/>
    <pivotHierarchy dragToData="1"/>
    <pivotHierarchy dragToData="1"/>
    <pivotHierarchy dragToData="1"/>
    <pivotHierarchy dragToData="1"/>
    <pivotHierarchy dragToData="1"/>
    <pivotHierarchy dragToData="1"/>
  </pivotHierarchies>
  <pivotTableStyleInfo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all Center Data_DataSource.xlsx!Table_1">
        <x15:activeTabTopLevelEntity name="[Table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70A0133-E013-455F-AA65-8E903C7EDDC8}" name="PivotTable1" cacheId="40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5" rowHeaderCaption="Representative">
  <location ref="A1:B7" firstHeaderRow="1" firstDataRow="1" firstDataCol="1"/>
  <pivotFields count="3">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2"/>
    </i>
    <i>
      <x v="1"/>
    </i>
    <i>
      <x v="4"/>
    </i>
    <i>
      <x/>
    </i>
    <i>
      <x v="3"/>
    </i>
    <i t="grand">
      <x/>
    </i>
  </rowItems>
  <colItems count="1">
    <i/>
  </colItems>
  <dataFields count="1">
    <dataField name="Total Sales" fld="1" baseField="0" baseItem="0" numFmtId="165"/>
  </dataFields>
  <formats count="7">
    <format dxfId="948">
      <pivotArea field="0" type="button" dataOnly="0" labelOnly="1" outline="0" axis="axisRow" fieldPosition="0"/>
    </format>
    <format dxfId="947">
      <pivotArea dataOnly="0" labelOnly="1" outline="0" axis="axisValues" fieldPosition="0"/>
    </format>
    <format dxfId="946">
      <pivotArea grandRow="1" outline="0" collapsedLevelsAreSubtotals="1" fieldPosition="0"/>
    </format>
    <format dxfId="945">
      <pivotArea dataOnly="0" labelOnly="1" grandRow="1" outline="0" fieldPosition="0"/>
    </format>
    <format dxfId="944">
      <pivotArea outline="0" collapsedLevelsAreSubtotals="1" fieldPosition="0"/>
    </format>
    <format dxfId="943">
      <pivotArea collapsedLevelsAreSubtotals="1" fieldPosition="0">
        <references count="1">
          <reference field="0" count="1">
            <x v="2"/>
          </reference>
        </references>
      </pivotArea>
    </format>
    <format dxfId="942">
      <pivotArea dataOnly="0" labelOnly="1" fieldPosition="0">
        <references count="1">
          <reference field="0" count="1">
            <x v="2"/>
          </reference>
        </references>
      </pivotArea>
    </format>
  </formats>
  <chartFormats count="4">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0" count="1" selected="0">
            <x v="1"/>
          </reference>
        </references>
      </pivotArea>
    </chartFormat>
    <chartFormat chart="3" format="4">
      <pivotArea type="data" outline="0" fieldPosition="0">
        <references count="2">
          <reference field="4294967294" count="1" selected="0">
            <x v="0"/>
          </reference>
          <reference field="0" count="1" selected="0">
            <x v="4"/>
          </reference>
        </references>
      </pivotArea>
    </chartFormat>
    <chartFormat chart="3" format="5">
      <pivotArea type="data" outline="0" fieldPosition="0">
        <references count="2">
          <reference field="4294967294" count="1" selected="0">
            <x v="0"/>
          </reference>
          <reference field="0" count="1" selected="0">
            <x v="0"/>
          </reference>
        </references>
      </pivotArea>
    </chartFormat>
  </chartFormats>
  <pivotHierarchies count="28">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caption="Total Sale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all Center Data_DataSource.xlsx!Table_1">
        <x15:activeTabTopLevelEntity name="[Table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1E5CF30-252D-4C06-A2BA-AD43240E66EE}" name="PivotTable13" cacheId="40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Days">
  <location ref="A21:D22"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4">
    <i>
      <x/>
    </i>
    <i i="1">
      <x v="1"/>
    </i>
    <i i="2">
      <x v="2"/>
    </i>
    <i i="3">
      <x v="3"/>
    </i>
  </colItems>
  <dataFields count="4">
    <dataField name="Total Calls" fld="0" subtotal="count" baseField="0" baseItem="0"/>
    <dataField name="Representative" fld="1" subtotal="count" baseField="0" baseItem="1">
      <extLst>
        <ext xmlns:x15="http://schemas.microsoft.com/office/spreadsheetml/2010/11/main" uri="{FABC7310-3BB5-11E1-824E-6D434824019B}">
          <x15:dataField isCountDistinct="1"/>
        </ext>
      </extLst>
    </dataField>
    <dataField name="Total Sales" fld="2" baseField="0" baseItem="1" numFmtId="164"/>
    <dataField name="Total Customers" fld="3" subtotal="count" baseField="0" baseItem="3">
      <extLst>
        <ext xmlns:x15="http://schemas.microsoft.com/office/spreadsheetml/2010/11/main" uri="{FABC7310-3BB5-11E1-824E-6D434824019B}">
          <x15:dataField isCountDistinct="1"/>
        </ext>
      </extLst>
    </dataField>
  </dataFields>
  <formats count="7">
    <format dxfId="955">
      <pivotArea dataOnly="0" labelOnly="1" outline="0" axis="axisValues" fieldPosition="0"/>
    </format>
    <format dxfId="954">
      <pivotArea grandRow="1" outline="0" collapsedLevelsAreSubtotals="1" fieldPosition="0"/>
    </format>
    <format dxfId="953">
      <pivotArea dataOnly="0" labelOnly="1" grandRow="1" outline="0" fieldPosition="0"/>
    </format>
    <format dxfId="952">
      <pivotArea outline="0" collapsedLevelsAreSubtotals="1" fieldPosition="0"/>
    </format>
    <format dxfId="951">
      <pivotArea outline="0" collapsedLevelsAreSubtotals="1" fieldPosition="0">
        <references count="1">
          <reference field="4294967294" count="1" selected="0">
            <x v="2"/>
          </reference>
        </references>
      </pivotArea>
    </format>
    <format dxfId="950">
      <pivotArea dataOnly="0" labelOnly="1" outline="0" fieldPosition="0">
        <references count="1">
          <reference field="4294967294" count="3">
            <x v="0"/>
            <x v="1"/>
            <x v="2"/>
          </reference>
        </references>
      </pivotArea>
    </format>
    <format dxfId="949">
      <pivotArea dataOnly="0" outline="0" fieldPosition="0">
        <references count="1">
          <reference field="4294967294" count="1">
            <x v="3"/>
          </reference>
        </references>
      </pivotArea>
    </format>
  </formats>
  <pivotHierarchies count="28">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caption="Total Sales"/>
    <pivotHierarchy dragToData="1" caption="Sum of Satisfaction Rating"/>
    <pivotHierarchy dragToData="1" caption="Avg of Satisfaction Rating"/>
    <pivotHierarchy dragToData="1" caption="Count of Satisfaction Rating"/>
    <pivotHierarchy dragToData="1" caption="Count of Duration "/>
    <pivotHierarchy dragToData="1" caption="Total Calls"/>
    <pivotHierarchy dragToData="1"/>
    <pivotHierarchy dragToData="1" caption="Representative"/>
    <pivotHierarchy dragToData="1"/>
    <pivotHierarchy dragToData="1" caption="Total Customers"/>
    <pivotHierarchy dragToData="1"/>
  </pivotHierarchies>
  <pivotTableStyleInfo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all Center Data_DataSource.xlsx!Table_1">
        <x15:activeTabTopLevelEntity name="[Table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F65F595-57AB-4763-A26E-90B2FBF33380}" name="PivotTable9" cacheId="4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Representative">
  <location ref="D10:E16" firstHeaderRow="1" firstDataRow="1" firstDataCol="1"/>
  <pivotFields count="3">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1"/>
    </i>
    <i>
      <x v="2"/>
    </i>
    <i>
      <x v="4"/>
    </i>
    <i>
      <x/>
    </i>
    <i>
      <x v="3"/>
    </i>
    <i t="grand">
      <x/>
    </i>
  </rowItems>
  <colItems count="1">
    <i/>
  </colItems>
  <dataFields count="1">
    <dataField name="Count of Call number" fld="1" subtotal="count" baseField="0" baseItem="0"/>
  </dataFields>
  <formats count="6">
    <format dxfId="961">
      <pivotArea dataOnly="0" labelOnly="1" outline="0" axis="axisValues" fieldPosition="0"/>
    </format>
    <format dxfId="960">
      <pivotArea grandRow="1" outline="0" collapsedLevelsAreSubtotals="1" fieldPosition="0"/>
    </format>
    <format dxfId="959">
      <pivotArea dataOnly="0" labelOnly="1" grandRow="1" outline="0" fieldPosition="0"/>
    </format>
    <format dxfId="958">
      <pivotArea outline="0" collapsedLevelsAreSubtotals="1" fieldPosition="0"/>
    </format>
    <format dxfId="957">
      <pivotArea field="0" type="button" dataOnly="0" labelOnly="1" outline="0" axis="axisRow" fieldPosition="0"/>
    </format>
    <format dxfId="956">
      <pivotArea dataOnly="0" fieldPosition="0">
        <references count="1">
          <reference field="0" count="1">
            <x v="1"/>
          </reference>
        </references>
      </pivotArea>
    </format>
  </formats>
  <chartFormats count="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28">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caption="Total Sales"/>
    <pivotHierarchy dragToData="1" caption="Sum of Satisfaction Rating"/>
    <pivotHierarchy dragToData="1" caption="Avg of Satisfaction Rating"/>
    <pivotHierarchy dragToData="1" caption="Count of Satisfaction Rating"/>
    <pivotHierarchy dragToData="1" caption="Count of Duration "/>
    <pivotHierarchy dragToData="1"/>
    <pivotHierarchy dragToData="1"/>
    <pivotHierarchy dragToData="1"/>
    <pivotHierarchy dragToData="1"/>
    <pivotHierarchy dragToData="1"/>
    <pivotHierarchy dragToData="1"/>
  </pivotHierarchies>
  <pivotTableStyleInfo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all Center Data_DataSource.xlsx!Table_1">
        <x15:activeTabTopLevelEntity name="[Table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D85F594-2F4A-4134-8EA5-408DBD87A214}" name="PivotTable7" cacheId="4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Days">
  <location ref="A10:B18" firstHeaderRow="1" firstDataRow="1" firstDataCol="1"/>
  <pivotFields count="2">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8">
    <i>
      <x v="2"/>
    </i>
    <i>
      <x v="6"/>
    </i>
    <i>
      <x v="3"/>
    </i>
    <i>
      <x v="5"/>
    </i>
    <i>
      <x/>
    </i>
    <i>
      <x v="1"/>
    </i>
    <i>
      <x v="4"/>
    </i>
    <i t="grand">
      <x/>
    </i>
  </rowItems>
  <colItems count="1">
    <i/>
  </colItems>
  <dataFields count="1">
    <dataField name="Total Sales" fld="1" baseField="0" baseItem="2" numFmtId="165"/>
  </dataFields>
  <formats count="7">
    <format dxfId="968">
      <pivotArea dataOnly="0" labelOnly="1" outline="0" axis="axisValues" fieldPosition="0"/>
    </format>
    <format dxfId="967">
      <pivotArea grandRow="1" outline="0" collapsedLevelsAreSubtotals="1" fieldPosition="0"/>
    </format>
    <format dxfId="966">
      <pivotArea dataOnly="0" labelOnly="1" grandRow="1" outline="0" fieldPosition="0"/>
    </format>
    <format dxfId="965">
      <pivotArea outline="0" collapsedLevelsAreSubtotals="1" fieldPosition="0"/>
    </format>
    <format dxfId="964">
      <pivotArea field="0" type="button" dataOnly="0" labelOnly="1" outline="0" axis="axisRow" fieldPosition="0"/>
    </format>
    <format dxfId="963">
      <pivotArea collapsedLevelsAreSubtotals="1" fieldPosition="0">
        <references count="1">
          <reference field="0" count="1">
            <x v="2"/>
          </reference>
        </references>
      </pivotArea>
    </format>
    <format dxfId="962">
      <pivotArea dataOnly="0" labelOnly="1" fieldPosition="0">
        <references count="1">
          <reference field="0" count="1">
            <x v="2"/>
          </reference>
        </references>
      </pivotArea>
    </format>
  </formats>
  <chartFormats count="6">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0" count="1" selected="0">
            <x v="5"/>
          </reference>
        </references>
      </pivotArea>
    </chartFormat>
    <chartFormat chart="3" format="4">
      <pivotArea type="data" outline="0" fieldPosition="0">
        <references count="2">
          <reference field="4294967294" count="1" selected="0">
            <x v="0"/>
          </reference>
          <reference field="0" count="1" selected="0">
            <x v="1"/>
          </reference>
        </references>
      </pivotArea>
    </chartFormat>
    <chartFormat chart="3" format="5">
      <pivotArea type="data" outline="0" fieldPosition="0">
        <references count="2">
          <reference field="4294967294" count="1" selected="0">
            <x v="0"/>
          </reference>
          <reference field="0" count="1" selected="0">
            <x v="0"/>
          </reference>
        </references>
      </pivotArea>
    </chartFormat>
    <chartFormat chart="3" format="6">
      <pivotArea type="data" outline="0" fieldPosition="0">
        <references count="2">
          <reference field="4294967294" count="1" selected="0">
            <x v="0"/>
          </reference>
          <reference field="0" count="1" selected="0">
            <x v="3"/>
          </reference>
        </references>
      </pivotArea>
    </chartFormat>
    <chartFormat chart="3" format="7">
      <pivotArea type="data" outline="0" fieldPosition="0">
        <references count="2">
          <reference field="4294967294" count="1" selected="0">
            <x v="0"/>
          </reference>
          <reference field="0" count="1" selected="0">
            <x v="6"/>
          </reference>
        </references>
      </pivotArea>
    </chartFormat>
  </chartFormats>
  <pivotHierarchies count="28">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caption="Total Sales"/>
    <pivotHierarchy dragToData="1" caption="Sum of Satisfaction Rating"/>
    <pivotHierarchy dragToData="1" caption="Avg of Satisfaction Rating"/>
    <pivotHierarchy dragToData="1" caption="Count of Satisfaction Rating"/>
    <pivotHierarchy dragToData="1" caption="Count of Duration "/>
    <pivotHierarchy dragToData="1"/>
    <pivotHierarchy dragToData="1"/>
    <pivotHierarchy dragToData="1"/>
    <pivotHierarchy dragToData="1"/>
    <pivotHierarchy dragToData="1"/>
    <pivotHierarchy dragToData="1"/>
  </pivotHierarchies>
  <pivotTableStyleInfo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all Center Data_DataSource.xlsx!Table_1">
        <x15:activeTabTopLevelEntity name="[Table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9F522E1-A738-4EE4-9A68-D92EFB3FE183}" name="PivotTable11" cacheId="40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rowHeaderCaption="Days">
  <location ref="G10:H18" firstHeaderRow="1" firstDataRow="1" firstDataCol="1"/>
  <pivotFields count="3">
    <pivotField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s>
  <rowFields count="1">
    <field x="2"/>
  </rowFields>
  <rowItems count="8">
    <i>
      <x v="2"/>
    </i>
    <i>
      <x v="6"/>
    </i>
    <i>
      <x v="3"/>
    </i>
    <i>
      <x/>
    </i>
    <i>
      <x v="5"/>
    </i>
    <i>
      <x v="1"/>
    </i>
    <i>
      <x v="4"/>
    </i>
    <i t="grand">
      <x/>
    </i>
  </rowItems>
  <colItems count="1">
    <i/>
  </colItems>
  <dataFields count="1">
    <dataField name="Count of Calls" fld="1" subtotal="count" baseField="2" baseItem="2"/>
  </dataFields>
  <formats count="8">
    <format dxfId="976">
      <pivotArea dataOnly="0" labelOnly="1" outline="0" axis="axisValues" fieldPosition="0"/>
    </format>
    <format dxfId="975">
      <pivotArea grandRow="1" outline="0" collapsedLevelsAreSubtotals="1" fieldPosition="0"/>
    </format>
    <format dxfId="974">
      <pivotArea dataOnly="0" labelOnly="1" grandRow="1" outline="0" fieldPosition="0"/>
    </format>
    <format dxfId="973">
      <pivotArea outline="0" collapsedLevelsAreSubtotals="1" fieldPosition="0"/>
    </format>
    <format dxfId="972">
      <pivotArea field="0" type="button" dataOnly="0" labelOnly="1" outline="0"/>
    </format>
    <format dxfId="971">
      <pivotArea field="2" type="button" dataOnly="0" labelOnly="1" outline="0" axis="axisRow" fieldPosition="0"/>
    </format>
    <format dxfId="970">
      <pivotArea collapsedLevelsAreSubtotals="1" fieldPosition="0">
        <references count="1">
          <reference field="2" count="1">
            <x v="2"/>
          </reference>
        </references>
      </pivotArea>
    </format>
    <format dxfId="969">
      <pivotArea dataOnly="0" labelOnly="1" fieldPosition="0">
        <references count="1">
          <reference field="2" count="1">
            <x v="2"/>
          </reference>
        </references>
      </pivotArea>
    </format>
  </formats>
  <chartFormats count="18">
    <chartFormat chart="3" format="9" series="1">
      <pivotArea type="data" outline="0" fieldPosition="0">
        <references count="1">
          <reference field="4294967294" count="1" selected="0">
            <x v="0"/>
          </reference>
        </references>
      </pivotArea>
    </chartFormat>
    <chartFormat chart="3" format="10">
      <pivotArea type="data" outline="0" fieldPosition="0">
        <references count="2">
          <reference field="4294967294" count="1" selected="0">
            <x v="0"/>
          </reference>
          <reference field="2" count="1" selected="0">
            <x v="2"/>
          </reference>
        </references>
      </pivotArea>
    </chartFormat>
    <chartFormat chart="3" format="11">
      <pivotArea type="data" outline="0" fieldPosition="0">
        <references count="2">
          <reference field="4294967294" count="1" selected="0">
            <x v="0"/>
          </reference>
          <reference field="2" count="1" selected="0">
            <x v="6"/>
          </reference>
        </references>
      </pivotArea>
    </chartFormat>
    <chartFormat chart="3" format="12">
      <pivotArea type="data" outline="0" fieldPosition="0">
        <references count="2">
          <reference field="4294967294" count="1" selected="0">
            <x v="0"/>
          </reference>
          <reference field="2" count="1" selected="0">
            <x v="3"/>
          </reference>
        </references>
      </pivotArea>
    </chartFormat>
    <chartFormat chart="3" format="13">
      <pivotArea type="data" outline="0" fieldPosition="0">
        <references count="2">
          <reference field="4294967294" count="1" selected="0">
            <x v="0"/>
          </reference>
          <reference field="2" count="1" selected="0">
            <x v="0"/>
          </reference>
        </references>
      </pivotArea>
    </chartFormat>
    <chartFormat chart="3" format="14">
      <pivotArea type="data" outline="0" fieldPosition="0">
        <references count="2">
          <reference field="4294967294" count="1" selected="0">
            <x v="0"/>
          </reference>
          <reference field="2" count="1" selected="0">
            <x v="5"/>
          </reference>
        </references>
      </pivotArea>
    </chartFormat>
    <chartFormat chart="3" format="15">
      <pivotArea type="data" outline="0" fieldPosition="0">
        <references count="2">
          <reference field="4294967294" count="1" selected="0">
            <x v="0"/>
          </reference>
          <reference field="2" count="1" selected="0">
            <x v="1"/>
          </reference>
        </references>
      </pivotArea>
    </chartFormat>
    <chartFormat chart="3" format="16">
      <pivotArea type="data" outline="0" fieldPosition="0">
        <references count="2">
          <reference field="4294967294" count="1" selected="0">
            <x v="0"/>
          </reference>
          <reference field="2" count="1" selected="0">
            <x v="4"/>
          </reference>
        </references>
      </pivotArea>
    </chartFormat>
    <chartFormat chart="5" format="1"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14" format="4" series="1">
      <pivotArea type="data" outline="0" fieldPosition="0">
        <references count="1">
          <reference field="4294967294" count="1" selected="0">
            <x v="0"/>
          </reference>
        </references>
      </pivotArea>
    </chartFormat>
    <chartFormat chart="15" format="5" series="1">
      <pivotArea type="data" outline="0" fieldPosition="0">
        <references count="1">
          <reference field="4294967294" count="1" selected="0">
            <x v="0"/>
          </reference>
        </references>
      </pivotArea>
    </chartFormat>
    <chartFormat chart="16" format="6" series="1">
      <pivotArea type="data" outline="0" fieldPosition="0">
        <references count="1">
          <reference field="4294967294" count="1" selected="0">
            <x v="0"/>
          </reference>
        </references>
      </pivotArea>
    </chartFormat>
    <chartFormat chart="17" format="6"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s>
  <pivotHierarchies count="28">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caption="Total Sales"/>
    <pivotHierarchy dragToData="1" caption="Sum of Satisfaction Rating"/>
    <pivotHierarchy dragToData="1" caption="Avg of Satisfaction Rating"/>
    <pivotHierarchy dragToData="1" caption="Count of Satisfaction Rating"/>
    <pivotHierarchy dragToData="1" caption="Count of Duration "/>
    <pivotHierarchy dragToData="1" caption="Count of Calls"/>
    <pivotHierarchy dragToData="1"/>
    <pivotHierarchy dragToData="1"/>
    <pivotHierarchy dragToData="1"/>
    <pivotHierarchy dragToData="1"/>
    <pivotHierarchy dragToData="1"/>
  </pivotHierarchies>
  <pivotTableStyleInfo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all Center Data_DataSource.xlsx!Table_1">
        <x15:activeTabTopLevelEntity name="[Table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8FE2FA8-BEEA-4B77-9D58-A5A849790A99}" name="PivotTable2" cacheId="4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epresentative">
  <location ref="A1:B7"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Total Sales" fld="1" baseField="0" baseItem="0" numFmtId="165"/>
  </dataFields>
  <formats count="5">
    <format dxfId="917">
      <pivotArea field="0" type="button" dataOnly="0" labelOnly="1" outline="0" axis="axisRow" fieldPosition="0"/>
    </format>
    <format dxfId="916">
      <pivotArea dataOnly="0" labelOnly="1" outline="0" axis="axisValues" fieldPosition="0"/>
    </format>
    <format dxfId="915">
      <pivotArea grandRow="1" outline="0" collapsedLevelsAreSubtotals="1" fieldPosition="0"/>
    </format>
    <format dxfId="914">
      <pivotArea dataOnly="0" labelOnly="1" grandRow="1" outline="0" fieldPosition="0"/>
    </format>
    <format dxfId="913">
      <pivotArea outline="0" collapsedLevelsAreSubtotals="1" fieldPosition="0"/>
    </format>
  </formats>
  <pivotHierarchies count="28">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caption="Total Sale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all Center Data_DataSource.xlsx!Table_1">
        <x15:activeTabTopLevelEntity name="[Table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13EE1E6-4F41-4F62-8292-FD5FEAEDDA77}" name="PivotTable4" cacheId="4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epresentative">
  <location ref="A1:B7" firstHeaderRow="1" firstDataRow="1" firstDataCol="1"/>
  <pivotFields count="3">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i>
    <i>
      <x v="3"/>
    </i>
    <i>
      <x v="4"/>
    </i>
    <i>
      <x v="1"/>
    </i>
    <i>
      <x v="2"/>
    </i>
    <i t="grand">
      <x/>
    </i>
  </rowItems>
  <colItems count="1">
    <i/>
  </colItems>
  <dataFields count="1">
    <dataField name="Avg of Satisfaction Rating" fld="1" subtotal="average" baseField="0" baseItem="0" numFmtId="2"/>
  </dataFields>
  <formats count="5">
    <format dxfId="912">
      <pivotArea dataOnly="0" labelOnly="1" outline="0" axis="axisValues" fieldPosition="0"/>
    </format>
    <format dxfId="911">
      <pivotArea grandRow="1" outline="0" collapsedLevelsAreSubtotals="1" fieldPosition="0"/>
    </format>
    <format dxfId="910">
      <pivotArea dataOnly="0" labelOnly="1" grandRow="1" outline="0" fieldPosition="0"/>
    </format>
    <format dxfId="909">
      <pivotArea field="0" type="button" dataOnly="0" labelOnly="1" outline="0" axis="axisRow" fieldPosition="0"/>
    </format>
    <format dxfId="908">
      <pivotArea outline="0" collapsedLevelsAreSubtotals="1" fieldPosition="0"/>
    </format>
  </formats>
  <pivotHierarchies count="28">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caption="Total Sales"/>
    <pivotHierarchy dragToData="1" caption="Sum of Satisfaction Rating"/>
    <pivotHierarchy dragToData="1" caption="Avg of Satisfaction Rating"/>
    <pivotHierarchy dragToData="1" caption="Count of Satisfaction Rating"/>
    <pivotHierarchy dragToData="1"/>
    <pivotHierarchy dragToData="1"/>
    <pivotHierarchy dragToData="1"/>
    <pivotHierarchy dragToData="1"/>
    <pivotHierarchy dragToData="1"/>
    <pivotHierarchy dragToData="1"/>
    <pivotHierarchy dragToData="1"/>
  </pivotHierarchies>
  <pivotTableStyleInfo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all Center Data_DataSource.xlsx!Table_1">
        <x15:activeTabTopLevelEntity name="[Table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99ACDF4-C2B8-49F0-9E6E-4435D5ED3426}" name="PivotTable6" cacheId="4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epresentative">
  <location ref="A1:B6" firstHeaderRow="1" firstDataRow="1" firstDataCol="1"/>
  <pivotFields count="3">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Count of Duration " fld="1" subtotal="count" baseField="0" baseItem="0"/>
  </dataFields>
  <formats count="5">
    <format dxfId="907">
      <pivotArea dataOnly="0" labelOnly="1" outline="0" axis="axisValues" fieldPosition="0"/>
    </format>
    <format dxfId="906">
      <pivotArea grandRow="1" outline="0" collapsedLevelsAreSubtotals="1" fieldPosition="0"/>
    </format>
    <format dxfId="905">
      <pivotArea dataOnly="0" labelOnly="1" grandRow="1" outline="0" fieldPosition="0"/>
    </format>
    <format dxfId="904">
      <pivotArea outline="0" collapsedLevelsAreSubtotals="1" fieldPosition="0"/>
    </format>
    <format dxfId="903">
      <pivotArea field="0" type="button" dataOnly="0" labelOnly="1" outline="0" axis="axisRow" fieldPosition="0"/>
    </format>
  </formats>
  <pivotHierarchies count="28">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caption="Total Sales"/>
    <pivotHierarchy dragToData="1" caption="Sum of Satisfaction Rating"/>
    <pivotHierarchy dragToData="1" caption="Avg of Satisfaction Rating"/>
    <pivotHierarchy dragToData="1" caption="Count of Satisfaction Rating"/>
    <pivotHierarchy dragToData="1" caption="Count of Duration "/>
    <pivotHierarchy dragToData="1"/>
    <pivotHierarchy dragToData="1"/>
    <pivotHierarchy dragToData="1"/>
    <pivotHierarchy dragToData="1"/>
    <pivotHierarchy dragToData="1"/>
    <pivotHierarchy dragToData="1"/>
  </pivotHierarchies>
  <pivotTableStyleInfo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all Center Data_DataSource.xlsx!Table_1">
        <x15:activeTabTopLevelEntity name="[Table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ECB65577-03C5-4B47-8BF6-B728AF5718C9}" name="PivotTable8" cacheId="4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Days">
  <location ref="A1:B9" firstHeaderRow="1" firstDataRow="1" firstDataCol="1"/>
  <pivotFields count="2">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8">
    <i>
      <x v="2"/>
    </i>
    <i>
      <x v="6"/>
    </i>
    <i>
      <x v="3"/>
    </i>
    <i>
      <x v="5"/>
    </i>
    <i>
      <x/>
    </i>
    <i>
      <x v="1"/>
    </i>
    <i>
      <x v="4"/>
    </i>
    <i t="grand">
      <x/>
    </i>
  </rowItems>
  <colItems count="1">
    <i/>
  </colItems>
  <dataFields count="1">
    <dataField name="Total Sales" fld="1" baseField="0" baseItem="2" numFmtId="165"/>
  </dataFields>
  <formats count="5">
    <format dxfId="902">
      <pivotArea dataOnly="0" labelOnly="1" outline="0" axis="axisValues" fieldPosition="0"/>
    </format>
    <format dxfId="901">
      <pivotArea grandRow="1" outline="0" collapsedLevelsAreSubtotals="1" fieldPosition="0"/>
    </format>
    <format dxfId="900">
      <pivotArea dataOnly="0" labelOnly="1" grandRow="1" outline="0" fieldPosition="0"/>
    </format>
    <format dxfId="899">
      <pivotArea outline="0" collapsedLevelsAreSubtotals="1" fieldPosition="0"/>
    </format>
    <format dxfId="898">
      <pivotArea field="0" type="button" dataOnly="0" labelOnly="1" outline="0" axis="axisRow" fieldPosition="0"/>
    </format>
  </formats>
  <pivotHierarchies count="28">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caption="Total Sales"/>
    <pivotHierarchy dragToData="1" caption="Sum of Satisfaction Rating"/>
    <pivotHierarchy dragToData="1" caption="Avg of Satisfaction Rating"/>
    <pivotHierarchy dragToData="1" caption="Count of Satisfaction Rating"/>
    <pivotHierarchy dragToData="1" caption="Count of Duration "/>
    <pivotHierarchy dragToData="1"/>
    <pivotHierarchy dragToData="1"/>
    <pivotHierarchy dragToData="1"/>
    <pivotHierarchy dragToData="1"/>
    <pivotHierarchy dragToData="1"/>
    <pivotHierarchy dragToData="1"/>
  </pivotHierarchies>
  <pivotTableStyleInfo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all Center Data_DataSource.xlsx!Table_1">
        <x15:activeTabTopLevelEntity name="[Table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D1D9E920-6555-449C-8D26-C4C47D4D166D}" name="PivotTable10" cacheId="43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epresentative">
  <location ref="A1:B7" firstHeaderRow="1" firstDataRow="1" firstDataCol="1"/>
  <pivotFields count="3">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1"/>
    </i>
    <i>
      <x v="2"/>
    </i>
    <i>
      <x v="4"/>
    </i>
    <i>
      <x/>
    </i>
    <i>
      <x v="3"/>
    </i>
    <i t="grand">
      <x/>
    </i>
  </rowItems>
  <colItems count="1">
    <i/>
  </colItems>
  <dataFields count="1">
    <dataField name="Count of Call number" fld="1" subtotal="count" baseField="0" baseItem="0"/>
  </dataFields>
  <formats count="6">
    <format dxfId="897">
      <pivotArea dataOnly="0" labelOnly="1" outline="0" axis="axisValues" fieldPosition="0"/>
    </format>
    <format dxfId="896">
      <pivotArea grandRow="1" outline="0" collapsedLevelsAreSubtotals="1" fieldPosition="0"/>
    </format>
    <format dxfId="895">
      <pivotArea dataOnly="0" labelOnly="1" grandRow="1" outline="0" fieldPosition="0"/>
    </format>
    <format dxfId="894">
      <pivotArea outline="0" collapsedLevelsAreSubtotals="1" fieldPosition="0"/>
    </format>
    <format dxfId="893">
      <pivotArea field="0" type="button" dataOnly="0" labelOnly="1" outline="0" axis="axisRow" fieldPosition="0"/>
    </format>
    <format dxfId="892">
      <pivotArea dataOnly="0" fieldPosition="0">
        <references count="1">
          <reference field="0" count="1">
            <x v="1"/>
          </reference>
        </references>
      </pivotArea>
    </format>
  </formats>
  <pivotHierarchies count="28">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caption="Total Sales"/>
    <pivotHierarchy dragToData="1" caption="Sum of Satisfaction Rating"/>
    <pivotHierarchy dragToData="1" caption="Avg of Satisfaction Rating"/>
    <pivotHierarchy dragToData="1" caption="Count of Satisfaction Rating"/>
    <pivotHierarchy dragToData="1" caption="Count of Duration "/>
    <pivotHierarchy dragToData="1"/>
    <pivotHierarchy dragToData="1"/>
    <pivotHierarchy dragToData="1"/>
    <pivotHierarchy dragToData="1"/>
    <pivotHierarchy dragToData="1"/>
    <pivotHierarchy dragToData="1"/>
  </pivotHierarchies>
  <pivotTableStyleInfo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all Center Data_DataSource.xlsx!Table_1">
        <x15:activeTabTopLevelEntity name="[Table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6D9D2BD4-7172-4092-8548-DF86AB5871F9}" name="PivotTable12" cacheId="4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Days">
  <location ref="A1:B9" firstHeaderRow="1" firstDataRow="1" firstDataCol="1"/>
  <pivotFields count="3">
    <pivotField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s>
  <rowFields count="1">
    <field x="2"/>
  </rowFields>
  <rowItems count="8">
    <i>
      <x v="2"/>
    </i>
    <i>
      <x v="6"/>
    </i>
    <i>
      <x v="3"/>
    </i>
    <i>
      <x/>
    </i>
    <i>
      <x v="5"/>
    </i>
    <i>
      <x v="1"/>
    </i>
    <i>
      <x v="4"/>
    </i>
    <i t="grand">
      <x/>
    </i>
  </rowItems>
  <colItems count="1">
    <i/>
  </colItems>
  <dataFields count="1">
    <dataField name="Count of Calls" fld="1" subtotal="count" baseField="2" baseItem="2"/>
  </dataFields>
  <formats count="8">
    <format dxfId="891">
      <pivotArea dataOnly="0" labelOnly="1" outline="0" axis="axisValues" fieldPosition="0"/>
    </format>
    <format dxfId="890">
      <pivotArea grandRow="1" outline="0" collapsedLevelsAreSubtotals="1" fieldPosition="0"/>
    </format>
    <format dxfId="889">
      <pivotArea dataOnly="0" labelOnly="1" grandRow="1" outline="0" fieldPosition="0"/>
    </format>
    <format dxfId="888">
      <pivotArea outline="0" collapsedLevelsAreSubtotals="1" fieldPosition="0"/>
    </format>
    <format dxfId="887">
      <pivotArea field="0" type="button" dataOnly="0" labelOnly="1" outline="0"/>
    </format>
    <format dxfId="886">
      <pivotArea field="2" type="button" dataOnly="0" labelOnly="1" outline="0" axis="axisRow" fieldPosition="0"/>
    </format>
    <format dxfId="885">
      <pivotArea collapsedLevelsAreSubtotals="1" fieldPosition="0">
        <references count="1">
          <reference field="2" count="1">
            <x v="2"/>
          </reference>
        </references>
      </pivotArea>
    </format>
    <format dxfId="884">
      <pivotArea dataOnly="0" labelOnly="1" fieldPosition="0">
        <references count="1">
          <reference field="2" count="1">
            <x v="2"/>
          </reference>
        </references>
      </pivotArea>
    </format>
  </formats>
  <pivotHierarchies count="28">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caption="Total Sales"/>
    <pivotHierarchy dragToData="1" caption="Sum of Satisfaction Rating"/>
    <pivotHierarchy dragToData="1" caption="Avg of Satisfaction Rating"/>
    <pivotHierarchy dragToData="1" caption="Count of Satisfaction Rating"/>
    <pivotHierarchy dragToData="1" caption="Count of Duration "/>
    <pivotHierarchy dragToData="1" caption="Count of Calls"/>
    <pivotHierarchy dragToData="1"/>
    <pivotHierarchy dragToData="1"/>
    <pivotHierarchy dragToData="1"/>
    <pivotHierarchy dragToData="1"/>
    <pivotHierarchy dragToData="1"/>
  </pivotHierarchies>
  <pivotTableStyleInfo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all Center Data_DataSource.xlsx!Table_1">
        <x15:activeTabTopLevelEntity name="[Table_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of_Call__Month" xr10:uid="{00739630-FCFF-45A4-95BE-06FBA2EB38CF}" sourceName="[Table_1].[Date of Call (Month)]">
  <pivotTables>
    <pivotTable tabId="9" name="PivotTable1"/>
    <pivotTable tabId="9" name="PivotTable11"/>
    <pivotTable tabId="9" name="PivotTable13"/>
    <pivotTable tabId="9" name="PivotTable3"/>
    <pivotTable tabId="9" name="PivotTable5"/>
    <pivotTable tabId="9" name="PivotTable7"/>
    <pivotTable tabId="9" name="PivotTable9"/>
    <pivotTable tabId="2" name="PivotTable2"/>
    <pivotTable tabId="3" name="PivotTable4"/>
    <pivotTable tabId="4" name="PivotTable6"/>
    <pivotTable tabId="5" name="PivotTable8"/>
    <pivotTable tabId="6" name="PivotTable10"/>
    <pivotTable tabId="8" name="PivotTable12"/>
    <pivotTable tabId="9" name="PivotTable17"/>
  </pivotTables>
  <data>
    <olap pivotCacheId="1877370835">
      <levels count="2">
        <level uniqueName="[Table_1].[Date of Call (Month)].[(All)]" sourceCaption="(All)" count="0"/>
        <level uniqueName="[Table_1].[Date of Call (Month)].[Date of Call (Month)]" sourceCaption="Date of Call (Month)" count="12">
          <ranges>
            <range startItem="0">
              <i n="[Table_1].[Date of Call (Month)].&amp;[Jan]" c="Jan"/>
              <i n="[Table_1].[Date of Call (Month)].&amp;[Feb]" c="Feb"/>
              <i n="[Table_1].[Date of Call (Month)].&amp;[Mar]" c="Mar"/>
              <i n="[Table_1].[Date of Call (Month)].&amp;[Apr]" c="Apr"/>
              <i n="[Table_1].[Date of Call (Month)].&amp;[May]" c="May"/>
              <i n="[Table_1].[Date of Call (Month)].&amp;[Jun]" c="Jun"/>
              <i n="[Table_1].[Date of Call (Month)].&amp;[Jul]" c="Jul"/>
              <i n="[Table_1].[Date of Call (Month)].&amp;[Aug]" c="Aug"/>
              <i n="[Table_1].[Date of Call (Month)].&amp;[Sep]" c="Sep"/>
              <i n="[Table_1].[Date of Call (Month)].&amp;[Oct]" c="Oct"/>
              <i n="[Table_1].[Date of Call (Month)].&amp;[Nov]" c="Nov"/>
              <i n="[Table_1].[Date of Call (Month)].&amp;[Dec]" c="Dec"/>
            </range>
          </ranges>
        </level>
      </levels>
      <selections count="1">
        <selection n="[Table_1].[Date of Call (Month)].[All]"/>
      </selections>
    </olap>
  </data>
  <extLst>
    <x:ext xmlns:x15="http://schemas.microsoft.com/office/spreadsheetml/2010/11/main" uri="{470722E0-AACD-4C17-9CDC-17EF765DBC7E}">
      <x15:slicerCacheHideItemsWithNoData count="1">
        <x15:slicerCacheOlapLevelName uniqueName="[Table_1].[Date of Call (Month)].[Date of Call (Month)]" count="0"/>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_of_week" xr10:uid="{AF73112A-1637-4BA0-8871-8EEDDC2C1207}" sourceName="[Table_1].[Day of week]">
  <pivotTables>
    <pivotTable tabId="9" name="PivotTable1"/>
    <pivotTable tabId="9" name="PivotTable11"/>
    <pivotTable tabId="9" name="PivotTable13"/>
    <pivotTable tabId="9" name="PivotTable17"/>
    <pivotTable tabId="9" name="PivotTable3"/>
    <pivotTable tabId="9" name="PivotTable5"/>
    <pivotTable tabId="9" name="PivotTable7"/>
    <pivotTable tabId="9" name="PivotTable9"/>
    <pivotTable tabId="2" name="PivotTable2"/>
    <pivotTable tabId="3" name="PivotTable4"/>
    <pivotTable tabId="4" name="PivotTable6"/>
    <pivotTable tabId="5" name="PivotTable8"/>
    <pivotTable tabId="6" name="PivotTable10"/>
    <pivotTable tabId="8" name="PivotTable12"/>
  </pivotTables>
  <data>
    <olap pivotCacheId="1764938494">
      <levels count="2">
        <level uniqueName="[Table_1].[Day of week].[(All)]" sourceCaption="(All)" count="0"/>
        <level uniqueName="[Table_1].[Day of week].[Day of week]" sourceCaption="Day of week" count="7">
          <ranges>
            <range startItem="0">
              <i n="[Table_1].[Day of week].&amp;[Friday]" c="Friday"/>
              <i n="[Table_1].[Day of week].&amp;[Monday]" c="Monday"/>
              <i n="[Table_1].[Day of week].&amp;[Saturday]" c="Saturday"/>
              <i n="[Table_1].[Day of week].&amp;[Sunday]" c="Sunday"/>
              <i n="[Table_1].[Day of week].&amp;[Thursday]" c="Thursday"/>
              <i n="[Table_1].[Day of week].&amp;[Tuesday]" c="Tuesday"/>
              <i n="[Table_1].[Day of week].&amp;[Wednesday]" c="Wednesday"/>
            </range>
          </ranges>
        </level>
      </levels>
      <selections count="1">
        <selection n="[Table_1].[Day of week].[All]"/>
      </selections>
    </olap>
  </data>
  <extLst>
    <x:ext xmlns:x15="http://schemas.microsoft.com/office/spreadsheetml/2010/11/main" uri="{470722E0-AACD-4C17-9CDC-17EF765DBC7E}">
      <x15:slicerCacheHideItemsWithNoData count="1">
        <x15:slicerCacheOlapLevelName uniqueName="[Table_1].[Day of week].[Day of week]" count="0"/>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of Call (Month)" xr10:uid="{345FAD41-F0AF-4786-B60F-86EC408BCF34}" cache="Slicer_Date_of_Call__Month" caption="Date of Call (Month)" columnCount="2" showCaption="0" level="1" style="me" rowHeight="254906"/>
  <slicer name="Day of week" xr10:uid="{6D9C0F50-34A5-46AA-8AC4-401F5304C081}" cache="Slicer_Day_of_week" caption="Day of week" showCaption="0" level="1" style="me" rowHeight="25490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allData" displayName="CallData" ref="A1:M1001">
  <tableColumns count="13">
    <tableColumn id="1" xr3:uid="{00000000-0010-0000-0000-000001000000}" name="Call number"/>
    <tableColumn id="2" xr3:uid="{00000000-0010-0000-0000-000002000000}" name="Customer ID"/>
    <tableColumn id="3" xr3:uid="{00000000-0010-0000-0000-000003000000}" name="Duration"/>
    <tableColumn id="4" xr3:uid="{00000000-0010-0000-0000-000004000000}" name="Representative"/>
    <tableColumn id="5" xr3:uid="{00000000-0010-0000-0000-000005000000}" name="Date of Call" dataDxfId="921"/>
    <tableColumn id="6" xr3:uid="{00000000-0010-0000-0000-000006000000}" name="Purchase Amount" dataDxfId="920"/>
    <tableColumn id="7" xr3:uid="{00000000-0010-0000-0000-000007000000}" name="Satisfaction Rating"/>
    <tableColumn id="8" xr3:uid="{00000000-0010-0000-0000-000008000000}" name="Financial Year"/>
    <tableColumn id="9" xr3:uid="{00000000-0010-0000-0000-000009000000}" name="Day of week"/>
    <tableColumn id="10" xr3:uid="{00000000-0010-0000-0000-00000A000000}" name="Duration Bucket"/>
    <tableColumn id="11" xr3:uid="{00000000-0010-0000-0000-00000B000000}" name="Rating rounded"/>
    <tableColumn id="12" xr3:uid="{63D64010-15DF-434B-A76A-B82CE576A84A}" name="Duration Category" dataDxfId="919">
      <calculatedColumnFormula array="1">_xlfn.IFS(C2&lt;=15,"Very Short",C2&lt;=30,"Short",C2&lt;=60,"Medium",C2&gt;60,"Long")</calculatedColumnFormula>
    </tableColumn>
    <tableColumn id="13" xr3:uid="{409E19DE-3B2D-4B5B-8181-975716255C4C}" name="Purchase Category" dataDxfId="918">
      <calculatedColumnFormula array="1">_xlfn.IFS(F2&lt;=50,"Low",F2&lt;=100,"Medium",F2&lt;=150,"High",F2&gt;150,"Very High")</calculatedColumnFormula>
    </tableColumn>
  </tableColumns>
  <tableStyleInfo name="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E67C8"/>
      </a:accent1>
      <a:accent2>
        <a:srgbClr val="5ECCF3"/>
      </a:accent2>
      <a:accent3>
        <a:srgbClr val="A7EA52"/>
      </a:accent3>
      <a:accent4>
        <a:srgbClr val="5DCEAF"/>
      </a:accent4>
      <a:accent5>
        <a:srgbClr val="FF8021"/>
      </a:accent5>
      <a:accent6>
        <a:srgbClr val="F14124"/>
      </a:accent6>
      <a:hlink>
        <a:srgbClr val="56C7AA"/>
      </a:hlink>
      <a:folHlink>
        <a:srgbClr val="56C7AA"/>
      </a:folHlink>
    </a:clrScheme>
    <a:fontScheme name="Sheets">
      <a:majorFont>
        <a:latin typeface="Aptos"/>
        <a:ea typeface="Aptos"/>
        <a:cs typeface="Aptos"/>
      </a:majorFont>
      <a:minorFont>
        <a:latin typeface="Aptos"/>
        <a:ea typeface="Aptos"/>
        <a:cs typeface="Aptos"/>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2.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3.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14.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1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01"/>
  <sheetViews>
    <sheetView zoomScale="91" zoomScaleNormal="70" workbookViewId="0">
      <selection activeCell="E10" sqref="A2:M1001"/>
    </sheetView>
  </sheetViews>
  <sheetFormatPr defaultColWidth="12.640625" defaultRowHeight="15" customHeight="1" x14ac:dyDescent="0.4"/>
  <cols>
    <col min="1" max="1" width="14.640625" customWidth="1"/>
    <col min="2" max="2" width="12.85546875" customWidth="1"/>
    <col min="3" max="3" width="16.640625" customWidth="1"/>
    <col min="4" max="4" width="15" customWidth="1"/>
    <col min="5" max="5" width="16.140625" style="14" customWidth="1"/>
    <col min="6" max="6" width="17.2109375" customWidth="1"/>
    <col min="7" max="7" width="27.85546875" customWidth="1"/>
    <col min="8" max="8" width="17.2109375" customWidth="1"/>
    <col min="9" max="9" width="22.5" customWidth="1"/>
    <col min="10" max="10" width="18.140625" customWidth="1"/>
    <col min="11" max="11" width="15.5" customWidth="1"/>
    <col min="12" max="12" width="15.5" bestFit="1" customWidth="1"/>
    <col min="13" max="13" width="16.2109375" bestFit="1" customWidth="1"/>
    <col min="14" max="15" width="7.5" customWidth="1"/>
    <col min="16" max="16" width="14.640625" customWidth="1"/>
    <col min="17" max="18" width="8.640625" customWidth="1"/>
    <col min="19" max="19" width="10.640625" customWidth="1"/>
    <col min="20" max="25" width="8.640625" customWidth="1"/>
  </cols>
  <sheetData>
    <row r="1" spans="1:13" ht="14.25" customHeight="1" x14ac:dyDescent="0.4">
      <c r="A1" s="1" t="s">
        <v>0</v>
      </c>
      <c r="B1" s="1" t="s">
        <v>1</v>
      </c>
      <c r="C1" s="2" t="s">
        <v>2</v>
      </c>
      <c r="D1" s="3" t="s">
        <v>3</v>
      </c>
      <c r="E1" s="13" t="s">
        <v>4</v>
      </c>
      <c r="F1" s="1" t="s">
        <v>5</v>
      </c>
      <c r="G1" s="1" t="s">
        <v>6</v>
      </c>
      <c r="H1" s="4" t="s">
        <v>7</v>
      </c>
      <c r="I1" s="4" t="s">
        <v>8</v>
      </c>
      <c r="J1" s="4" t="s">
        <v>9</v>
      </c>
      <c r="K1" s="5" t="s">
        <v>10</v>
      </c>
      <c r="L1" s="16" t="s">
        <v>1036</v>
      </c>
      <c r="M1" s="16" t="s">
        <v>1037</v>
      </c>
    </row>
    <row r="2" spans="1:13" ht="14.25" customHeight="1" x14ac:dyDescent="0.4">
      <c r="A2" s="6" t="s">
        <v>11</v>
      </c>
      <c r="B2" s="6" t="s">
        <v>12</v>
      </c>
      <c r="C2" s="6">
        <v>116</v>
      </c>
      <c r="D2" s="7" t="s">
        <v>13</v>
      </c>
      <c r="E2" s="11">
        <v>44927</v>
      </c>
      <c r="F2" s="10">
        <v>128</v>
      </c>
      <c r="G2" s="6">
        <v>4.9000000000000004</v>
      </c>
      <c r="H2" s="6">
        <f>IF(MONTH(Data!$E2)&lt;=6, YEAR(Data!$E2), YEAR(Data!$E2)+1)</f>
        <v>2023</v>
      </c>
      <c r="I2" s="6" t="str">
        <f>TEXT(Data!$E2,"DDDD")</f>
        <v>Sunday</v>
      </c>
      <c r="J2" s="6" t="s">
        <v>14</v>
      </c>
      <c r="K2" s="6">
        <f>ROUND(Data!$G2,0)</f>
        <v>5</v>
      </c>
      <c r="L2" t="str" cm="1">
        <f t="array" ref="L2">_xlfn.IFS(C2&lt;=15,"Very Short",C2&lt;=30,"Short",C2&lt;=60,"Medium",C2&gt;60,"Long")</f>
        <v>Long</v>
      </c>
      <c r="M2" t="str" cm="1">
        <f t="array" ref="M2">_xlfn.IFS(F2&lt;=50,"Low",F2&lt;=100,"Medium",F2&lt;=150,"High",F2&gt;150,"Very High")</f>
        <v>High</v>
      </c>
    </row>
    <row r="3" spans="1:13" ht="14.25" customHeight="1" x14ac:dyDescent="0.4">
      <c r="A3" s="6" t="s">
        <v>15</v>
      </c>
      <c r="B3" s="6" t="s">
        <v>16</v>
      </c>
      <c r="C3" s="8">
        <v>119</v>
      </c>
      <c r="D3" s="7" t="s">
        <v>13</v>
      </c>
      <c r="E3" s="11">
        <v>44927</v>
      </c>
      <c r="F3" s="10">
        <v>135</v>
      </c>
      <c r="G3" s="6">
        <v>2.9</v>
      </c>
      <c r="H3" s="6">
        <f>IF(MONTH(Data!$E3)&lt;=6, YEAR(Data!$E3), YEAR(Data!$E3)+1)</f>
        <v>2023</v>
      </c>
      <c r="I3" s="6" t="str">
        <f>TEXT(Data!$E3,"DDDD")</f>
        <v>Sunday</v>
      </c>
      <c r="J3" s="6" t="s">
        <v>14</v>
      </c>
      <c r="K3" s="6">
        <f>ROUND(Data!$G3,0)</f>
        <v>3</v>
      </c>
      <c r="L3" t="str" cm="1">
        <f t="array" ref="L3">_xlfn.IFS(C3&lt;=15,"Very Short",C3&lt;=30,"Short",C3&lt;=60,"Medium",C3&gt;60,"Long")</f>
        <v>Long</v>
      </c>
      <c r="M3" t="str" cm="1">
        <f t="array" ref="M3">_xlfn.IFS(F3&lt;=50,"Low",F3&lt;=100,"Medium",F3&lt;=150,"High",F3&gt;150,"Very High")</f>
        <v>High</v>
      </c>
    </row>
    <row r="4" spans="1:13" ht="14.25" customHeight="1" x14ac:dyDescent="0.4">
      <c r="A4" s="6" t="s">
        <v>17</v>
      </c>
      <c r="B4" s="6" t="s">
        <v>18</v>
      </c>
      <c r="C4" s="6">
        <v>68</v>
      </c>
      <c r="D4" s="7" t="s">
        <v>19</v>
      </c>
      <c r="E4" s="11">
        <v>44927</v>
      </c>
      <c r="F4" s="10">
        <v>66</v>
      </c>
      <c r="G4" s="6">
        <v>4.7</v>
      </c>
      <c r="H4" s="6">
        <f>IF(MONTH(Data!$E4)&lt;=6, YEAR(Data!$E4), YEAR(Data!$E4)+1)</f>
        <v>2023</v>
      </c>
      <c r="I4" s="6" t="str">
        <f>TEXT(Data!$E4,"DDDD")</f>
        <v>Sunday</v>
      </c>
      <c r="J4" s="6" t="s">
        <v>14</v>
      </c>
      <c r="K4" s="6">
        <f>ROUND(Data!$G4,0)</f>
        <v>5</v>
      </c>
      <c r="L4" t="str" cm="1">
        <f t="array" ref="L4">_xlfn.IFS(C4&lt;=15,"Very Short",C4&lt;=30,"Short",C4&lt;=60,"Medium",C4&gt;60,"Long")</f>
        <v>Long</v>
      </c>
      <c r="M4" t="str" cm="1">
        <f t="array" ref="M4">_xlfn.IFS(F4&lt;=50,"Low",F4&lt;=100,"Medium",F4&lt;=150,"High",F4&gt;150,"Very High")</f>
        <v>Medium</v>
      </c>
    </row>
    <row r="5" spans="1:13" ht="14.25" customHeight="1" x14ac:dyDescent="0.4">
      <c r="A5" s="6" t="s">
        <v>20</v>
      </c>
      <c r="B5" s="6" t="s">
        <v>21</v>
      </c>
      <c r="C5" s="6">
        <v>119</v>
      </c>
      <c r="D5" s="7" t="s">
        <v>19</v>
      </c>
      <c r="E5" s="11">
        <v>44927</v>
      </c>
      <c r="F5" s="10">
        <v>22</v>
      </c>
      <c r="G5" s="6">
        <v>2.9</v>
      </c>
      <c r="H5" s="6">
        <f>IF(MONTH(Data!$E5)&lt;=6, YEAR(Data!$E5), YEAR(Data!$E5)+1)</f>
        <v>2023</v>
      </c>
      <c r="I5" s="6" t="str">
        <f>TEXT(Data!$E5,"DDDD")</f>
        <v>Sunday</v>
      </c>
      <c r="J5" s="6" t="s">
        <v>14</v>
      </c>
      <c r="K5" s="6">
        <f>ROUND(Data!$G5,0)</f>
        <v>3</v>
      </c>
      <c r="L5" t="str" cm="1">
        <f t="array" ref="L5">_xlfn.IFS(C5&lt;=15,"Very Short",C5&lt;=30,"Short",C5&lt;=60,"Medium",C5&gt;60,"Long")</f>
        <v>Long</v>
      </c>
      <c r="M5" t="str" cm="1">
        <f t="array" ref="M5">_xlfn.IFS(F5&lt;=50,"Low",F5&lt;=100,"Medium",F5&lt;=150,"High",F5&gt;150,"Very High")</f>
        <v>Low</v>
      </c>
    </row>
    <row r="6" spans="1:13" ht="14.25" customHeight="1" x14ac:dyDescent="0.4">
      <c r="A6" s="6" t="s">
        <v>22</v>
      </c>
      <c r="B6" s="6" t="s">
        <v>23</v>
      </c>
      <c r="C6" s="6">
        <v>128</v>
      </c>
      <c r="D6" s="7" t="s">
        <v>24</v>
      </c>
      <c r="E6" s="11">
        <v>44928</v>
      </c>
      <c r="F6" s="10">
        <v>31</v>
      </c>
      <c r="G6" s="6">
        <v>2.8</v>
      </c>
      <c r="H6" s="6">
        <f>IF(MONTH(Data!$E6)&lt;=6, YEAR(Data!$E6), YEAR(Data!$E6)+1)</f>
        <v>2023</v>
      </c>
      <c r="I6" s="6" t="str">
        <f>TEXT(Data!$E6,"DDDD")</f>
        <v>Monday</v>
      </c>
      <c r="J6" s="6" t="s">
        <v>25</v>
      </c>
      <c r="K6" s="6">
        <f>ROUND(Data!$G6,0)</f>
        <v>3</v>
      </c>
      <c r="L6" t="str" cm="1">
        <f t="array" ref="L6">_xlfn.IFS(C6&lt;=15,"Very Short",C6&lt;=30,"Short",C6&lt;=60,"Medium",C6&gt;60,"Long")</f>
        <v>Long</v>
      </c>
      <c r="M6" t="str" cm="1">
        <f t="array" ref="M6">_xlfn.IFS(F6&lt;=50,"Low",F6&lt;=100,"Medium",F6&lt;=150,"High",F6&gt;150,"Very High")</f>
        <v>Low</v>
      </c>
    </row>
    <row r="7" spans="1:13" ht="14.25" customHeight="1" x14ac:dyDescent="0.4">
      <c r="A7" s="6" t="s">
        <v>26</v>
      </c>
      <c r="B7" s="6" t="s">
        <v>23</v>
      </c>
      <c r="C7" s="6">
        <v>49</v>
      </c>
      <c r="D7" s="7" t="s">
        <v>19</v>
      </c>
      <c r="E7" s="11">
        <v>44929</v>
      </c>
      <c r="F7" s="10">
        <v>135</v>
      </c>
      <c r="G7" s="6">
        <v>4.8</v>
      </c>
      <c r="H7" s="6">
        <f>IF(MONTH(Data!$E7)&lt;=6, YEAR(Data!$E7), YEAR(Data!$E7)+1)</f>
        <v>2023</v>
      </c>
      <c r="I7" s="6" t="str">
        <f>TEXT(Data!$E7,"DDDD")</f>
        <v>Tuesday</v>
      </c>
      <c r="J7" s="6" t="s">
        <v>27</v>
      </c>
      <c r="K7" s="6">
        <f>ROUND(Data!$G7,0)</f>
        <v>5</v>
      </c>
      <c r="L7" t="str" cm="1">
        <f t="array" ref="L7">_xlfn.IFS(C7&lt;=15,"Very Short",C7&lt;=30,"Short",C7&lt;=60,"Medium",C7&gt;60,"Long")</f>
        <v>Medium</v>
      </c>
      <c r="M7" t="str" cm="1">
        <f t="array" ref="M7">_xlfn.IFS(F7&lt;=50,"Low",F7&lt;=100,"Medium",F7&lt;=150,"High",F7&gt;150,"Very High")</f>
        <v>High</v>
      </c>
    </row>
    <row r="8" spans="1:13" ht="14.25" customHeight="1" x14ac:dyDescent="0.4">
      <c r="A8" s="6" t="s">
        <v>28</v>
      </c>
      <c r="B8" s="6" t="s">
        <v>29</v>
      </c>
      <c r="C8" s="6">
        <v>84</v>
      </c>
      <c r="D8" s="7" t="s">
        <v>13</v>
      </c>
      <c r="E8" s="11">
        <v>44929</v>
      </c>
      <c r="F8" s="10">
        <v>60</v>
      </c>
      <c r="G8" s="6">
        <v>4.7</v>
      </c>
      <c r="H8" s="6">
        <f>IF(MONTH(Data!$E8)&lt;=6, YEAR(Data!$E8), YEAR(Data!$E8)+1)</f>
        <v>2023</v>
      </c>
      <c r="I8" s="6" t="str">
        <f>TEXT(Data!$E8,"DDDD")</f>
        <v>Tuesday</v>
      </c>
      <c r="J8" s="6" t="s">
        <v>14</v>
      </c>
      <c r="K8" s="6">
        <f>ROUND(Data!$G8,0)</f>
        <v>5</v>
      </c>
      <c r="L8" t="str" cm="1">
        <f t="array" ref="L8">_xlfn.IFS(C8&lt;=15,"Very Short",C8&lt;=30,"Short",C8&lt;=60,"Medium",C8&gt;60,"Long")</f>
        <v>Long</v>
      </c>
      <c r="M8" t="str" cm="1">
        <f t="array" ref="M8">_xlfn.IFS(F8&lt;=50,"Low",F8&lt;=100,"Medium",F8&lt;=150,"High",F8&gt;150,"Very High")</f>
        <v>Medium</v>
      </c>
    </row>
    <row r="9" spans="1:13" ht="14.25" customHeight="1" x14ac:dyDescent="0.4">
      <c r="A9" s="6" t="s">
        <v>30</v>
      </c>
      <c r="B9" s="6" t="s">
        <v>12</v>
      </c>
      <c r="C9" s="6">
        <v>103</v>
      </c>
      <c r="D9" s="7" t="s">
        <v>31</v>
      </c>
      <c r="E9" s="11">
        <v>44929</v>
      </c>
      <c r="F9" s="10">
        <v>148</v>
      </c>
      <c r="G9" s="6">
        <v>4.4000000000000004</v>
      </c>
      <c r="H9" s="6">
        <f>IF(MONTH(Data!$E9)&lt;=6, YEAR(Data!$E9), YEAR(Data!$E9)+1)</f>
        <v>2023</v>
      </c>
      <c r="I9" s="6" t="str">
        <f>TEXT(Data!$E9,"DDDD")</f>
        <v>Tuesday</v>
      </c>
      <c r="J9" s="6" t="s">
        <v>14</v>
      </c>
      <c r="K9" s="6">
        <f>ROUND(Data!$G9,0)</f>
        <v>4</v>
      </c>
      <c r="L9" t="str" cm="1">
        <f t="array" ref="L9">_xlfn.IFS(C9&lt;=15,"Very Short",C9&lt;=30,"Short",C9&lt;=60,"Medium",C9&gt;60,"Long")</f>
        <v>Long</v>
      </c>
      <c r="M9" t="str" cm="1">
        <f t="array" ref="M9">_xlfn.IFS(F9&lt;=50,"Low",F9&lt;=100,"Medium",F9&lt;=150,"High",F9&gt;150,"Very High")</f>
        <v>High</v>
      </c>
    </row>
    <row r="10" spans="1:13" ht="14.25" customHeight="1" x14ac:dyDescent="0.4">
      <c r="A10" s="6" t="s">
        <v>32</v>
      </c>
      <c r="B10" s="6" t="s">
        <v>18</v>
      </c>
      <c r="C10" s="6">
        <v>31</v>
      </c>
      <c r="D10" s="7" t="s">
        <v>19</v>
      </c>
      <c r="E10" s="11">
        <v>44929</v>
      </c>
      <c r="F10" s="10">
        <v>135</v>
      </c>
      <c r="G10" s="6">
        <v>3.6</v>
      </c>
      <c r="H10" s="6">
        <f>IF(MONTH(Data!$E10)&lt;=6, YEAR(Data!$E10), YEAR(Data!$E10)+1)</f>
        <v>2023</v>
      </c>
      <c r="I10" s="6" t="str">
        <f>TEXT(Data!$E10,"DDDD")</f>
        <v>Tuesday</v>
      </c>
      <c r="J10" s="8" t="s">
        <v>27</v>
      </c>
      <c r="K10" s="6">
        <f>ROUND(Data!$G10,0)</f>
        <v>4</v>
      </c>
      <c r="L10" t="str" cm="1">
        <f t="array" ref="L10">_xlfn.IFS(C10&lt;=15,"Very Short",C10&lt;=30,"Short",C10&lt;=60,"Medium",C10&gt;60,"Long")</f>
        <v>Medium</v>
      </c>
      <c r="M10" t="str" cm="1">
        <f t="array" ref="M10">_xlfn.IFS(F10&lt;=50,"Low",F10&lt;=100,"Medium",F10&lt;=150,"High",F10&gt;150,"Very High")</f>
        <v>High</v>
      </c>
    </row>
    <row r="11" spans="1:13" ht="14.25" customHeight="1" x14ac:dyDescent="0.4">
      <c r="A11" s="6" t="s">
        <v>33</v>
      </c>
      <c r="B11" s="6" t="s">
        <v>34</v>
      </c>
      <c r="C11" s="6">
        <v>44</v>
      </c>
      <c r="D11" s="7" t="s">
        <v>35</v>
      </c>
      <c r="E11" s="11">
        <v>44929</v>
      </c>
      <c r="F11" s="10">
        <v>105</v>
      </c>
      <c r="G11" s="6">
        <v>2.9</v>
      </c>
      <c r="H11" s="6">
        <f>IF(MONTH(Data!$E11)&lt;=6, YEAR(Data!$E11), YEAR(Data!$E11)+1)</f>
        <v>2023</v>
      </c>
      <c r="I11" s="6" t="str">
        <f>TEXT(Data!$E11,"DDDD")</f>
        <v>Tuesday</v>
      </c>
      <c r="J11" s="6" t="s">
        <v>27</v>
      </c>
      <c r="K11" s="6">
        <f>ROUND(Data!$G11,0)</f>
        <v>3</v>
      </c>
      <c r="L11" t="str" cm="1">
        <f t="array" ref="L11">_xlfn.IFS(C11&lt;=15,"Very Short",C11&lt;=30,"Short",C11&lt;=60,"Medium",C11&gt;60,"Long")</f>
        <v>Medium</v>
      </c>
      <c r="M11" t="str" cm="1">
        <f t="array" ref="M11">_xlfn.IFS(F11&lt;=50,"Low",F11&lt;=100,"Medium",F11&lt;=150,"High",F11&gt;150,"Very High")</f>
        <v>High</v>
      </c>
    </row>
    <row r="12" spans="1:13" ht="14.25" customHeight="1" x14ac:dyDescent="0.4">
      <c r="A12" s="6" t="s">
        <v>36</v>
      </c>
      <c r="B12" s="6" t="s">
        <v>23</v>
      </c>
      <c r="C12" s="6">
        <v>102</v>
      </c>
      <c r="D12" s="7" t="s">
        <v>19</v>
      </c>
      <c r="E12" s="12">
        <v>44929</v>
      </c>
      <c r="F12" s="10">
        <v>69</v>
      </c>
      <c r="G12" s="6">
        <v>4.9000000000000004</v>
      </c>
      <c r="H12" s="6">
        <f>IF(MONTH(Data!$E12)&lt;=6, YEAR(Data!$E12), YEAR(Data!$E12)+1)</f>
        <v>2023</v>
      </c>
      <c r="I12" s="6" t="str">
        <f>TEXT(Data!$E12,"DDDD")</f>
        <v>Tuesday</v>
      </c>
      <c r="J12" s="6" t="s">
        <v>14</v>
      </c>
      <c r="K12" s="6">
        <f>ROUND(Data!$G12,0)</f>
        <v>5</v>
      </c>
      <c r="L12" t="str" cm="1">
        <f t="array" ref="L12">_xlfn.IFS(C12&lt;=15,"Very Short",C12&lt;=30,"Short",C12&lt;=60,"Medium",C12&gt;60,"Long")</f>
        <v>Long</v>
      </c>
      <c r="M12" t="str" cm="1">
        <f t="array" ref="M12">_xlfn.IFS(F12&lt;=50,"Low",F12&lt;=100,"Medium",F12&lt;=150,"High",F12&gt;150,"Very High")</f>
        <v>Medium</v>
      </c>
    </row>
    <row r="13" spans="1:13" ht="14.25" customHeight="1" x14ac:dyDescent="0.4">
      <c r="A13" s="6" t="s">
        <v>37</v>
      </c>
      <c r="B13" s="6" t="s">
        <v>38</v>
      </c>
      <c r="C13" s="6">
        <v>135</v>
      </c>
      <c r="D13" s="7" t="s">
        <v>13</v>
      </c>
      <c r="E13" s="11">
        <v>44929</v>
      </c>
      <c r="F13" s="10">
        <v>46</v>
      </c>
      <c r="G13" s="6">
        <v>3.4</v>
      </c>
      <c r="H13" s="6">
        <f>IF(MONTH(Data!$E13)&lt;=6, YEAR(Data!$E13), YEAR(Data!$E13)+1)</f>
        <v>2023</v>
      </c>
      <c r="I13" s="6" t="str">
        <f>TEXT(Data!$E13,"DDDD")</f>
        <v>Tuesday</v>
      </c>
      <c r="J13" s="6" t="s">
        <v>25</v>
      </c>
      <c r="K13" s="6">
        <f>ROUND(Data!$G13,0)</f>
        <v>3</v>
      </c>
      <c r="L13" t="str" cm="1">
        <f t="array" ref="L13">_xlfn.IFS(C13&lt;=15,"Very Short",C13&lt;=30,"Short",C13&lt;=60,"Medium",C13&gt;60,"Long")</f>
        <v>Long</v>
      </c>
      <c r="M13" t="str" cm="1">
        <f t="array" ref="M13">_xlfn.IFS(F13&lt;=50,"Low",F13&lt;=100,"Medium",F13&lt;=150,"High",F13&gt;150,"Very High")</f>
        <v>Low</v>
      </c>
    </row>
    <row r="14" spans="1:13" ht="14.25" customHeight="1" x14ac:dyDescent="0.4">
      <c r="A14" s="6" t="s">
        <v>39</v>
      </c>
      <c r="B14" s="6" t="s">
        <v>40</v>
      </c>
      <c r="C14" s="6">
        <v>98</v>
      </c>
      <c r="D14" s="7" t="s">
        <v>19</v>
      </c>
      <c r="E14" s="11">
        <v>44930</v>
      </c>
      <c r="F14" s="10">
        <v>108</v>
      </c>
      <c r="G14" s="6">
        <v>3.5</v>
      </c>
      <c r="H14" s="6">
        <f>IF(MONTH(Data!$E14)&lt;=6, YEAR(Data!$E14), YEAR(Data!$E14)+1)</f>
        <v>2023</v>
      </c>
      <c r="I14" s="6" t="str">
        <f>TEXT(Data!$E14,"DDDD")</f>
        <v>Wednesday</v>
      </c>
      <c r="J14" s="6" t="s">
        <v>14</v>
      </c>
      <c r="K14" s="6">
        <f>ROUND(Data!$G14,0)</f>
        <v>4</v>
      </c>
      <c r="L14" t="str" cm="1">
        <f t="array" ref="L14">_xlfn.IFS(C14&lt;=15,"Very Short",C14&lt;=30,"Short",C14&lt;=60,"Medium",C14&gt;60,"Long")</f>
        <v>Long</v>
      </c>
      <c r="M14" t="str" cm="1">
        <f t="array" ref="M14">_xlfn.IFS(F14&lt;=50,"Low",F14&lt;=100,"Medium",F14&lt;=150,"High",F14&gt;150,"Very High")</f>
        <v>High</v>
      </c>
    </row>
    <row r="15" spans="1:13" ht="14.25" customHeight="1" x14ac:dyDescent="0.4">
      <c r="A15" s="6" t="s">
        <v>41</v>
      </c>
      <c r="B15" s="6" t="s">
        <v>34</v>
      </c>
      <c r="C15" s="6">
        <v>139</v>
      </c>
      <c r="D15" s="7" t="s">
        <v>19</v>
      </c>
      <c r="E15" s="11">
        <v>44930</v>
      </c>
      <c r="F15" s="10">
        <v>96</v>
      </c>
      <c r="G15" s="6">
        <v>4</v>
      </c>
      <c r="H15" s="6">
        <f>IF(MONTH(Data!$E15)&lt;=6, YEAR(Data!$E15), YEAR(Data!$E15)+1)</f>
        <v>2023</v>
      </c>
      <c r="I15" s="6" t="str">
        <f>TEXT(Data!$E15,"DDDD")</f>
        <v>Wednesday</v>
      </c>
      <c r="J15" s="6" t="s">
        <v>25</v>
      </c>
      <c r="K15" s="6">
        <f>ROUND(Data!$G15,0)</f>
        <v>4</v>
      </c>
      <c r="L15" t="str" cm="1">
        <f t="array" ref="L15">_xlfn.IFS(C15&lt;=15,"Very Short",C15&lt;=30,"Short",C15&lt;=60,"Medium",C15&gt;60,"Long")</f>
        <v>Long</v>
      </c>
      <c r="M15" t="str" cm="1">
        <f t="array" ref="M15">_xlfn.IFS(F15&lt;=50,"Low",F15&lt;=100,"Medium",F15&lt;=150,"High",F15&gt;150,"Very High")</f>
        <v>Medium</v>
      </c>
    </row>
    <row r="16" spans="1:13" ht="14.25" customHeight="1" x14ac:dyDescent="0.4">
      <c r="A16" s="6" t="s">
        <v>42</v>
      </c>
      <c r="B16" s="6" t="s">
        <v>38</v>
      </c>
      <c r="C16" s="6">
        <v>48</v>
      </c>
      <c r="D16" s="7" t="s">
        <v>24</v>
      </c>
      <c r="E16" s="11">
        <v>44930</v>
      </c>
      <c r="F16" s="10">
        <v>68</v>
      </c>
      <c r="G16" s="6">
        <v>4.9000000000000004</v>
      </c>
      <c r="H16" s="6">
        <f>IF(MONTH(Data!$E16)&lt;=6, YEAR(Data!$E16), YEAR(Data!$E16)+1)</f>
        <v>2023</v>
      </c>
      <c r="I16" s="6" t="str">
        <f>TEXT(Data!$E16,"DDDD")</f>
        <v>Wednesday</v>
      </c>
      <c r="J16" s="6" t="s">
        <v>27</v>
      </c>
      <c r="K16" s="6">
        <f>ROUND(Data!$G16,0)</f>
        <v>5</v>
      </c>
      <c r="L16" t="str" cm="1">
        <f t="array" ref="L16">_xlfn.IFS(C16&lt;=15,"Very Short",C16&lt;=30,"Short",C16&lt;=60,"Medium",C16&gt;60,"Long")</f>
        <v>Medium</v>
      </c>
      <c r="M16" t="str" cm="1">
        <f t="array" ref="M16">_xlfn.IFS(F16&lt;=50,"Low",F16&lt;=100,"Medium",F16&lt;=150,"High",F16&gt;150,"Very High")</f>
        <v>Medium</v>
      </c>
    </row>
    <row r="17" spans="1:13" ht="14.25" customHeight="1" x14ac:dyDescent="0.4">
      <c r="A17" s="6" t="s">
        <v>43</v>
      </c>
      <c r="B17" s="6" t="s">
        <v>34</v>
      </c>
      <c r="C17" s="6">
        <v>176</v>
      </c>
      <c r="D17" s="7" t="s">
        <v>13</v>
      </c>
      <c r="E17" s="11">
        <v>44931</v>
      </c>
      <c r="F17" s="10">
        <v>24</v>
      </c>
      <c r="G17" s="6">
        <v>4.8</v>
      </c>
      <c r="H17" s="6">
        <f>IF(MONTH(Data!$E17)&lt;=6, YEAR(Data!$E17), YEAR(Data!$E17)+1)</f>
        <v>2023</v>
      </c>
      <c r="I17" s="6" t="str">
        <f>TEXT(Data!$E17,"DDDD")</f>
        <v>Thursday</v>
      </c>
      <c r="J17" s="6" t="s">
        <v>25</v>
      </c>
      <c r="K17" s="6">
        <f>ROUND(Data!$G17,0)</f>
        <v>5</v>
      </c>
      <c r="L17" t="str" cm="1">
        <f t="array" ref="L17">_xlfn.IFS(C17&lt;=15,"Very Short",C17&lt;=30,"Short",C17&lt;=60,"Medium",C17&gt;60,"Long")</f>
        <v>Long</v>
      </c>
      <c r="M17" t="str" cm="1">
        <f t="array" ref="M17">_xlfn.IFS(F17&lt;=50,"Low",F17&lt;=100,"Medium",F17&lt;=150,"High",F17&gt;150,"Very High")</f>
        <v>Low</v>
      </c>
    </row>
    <row r="18" spans="1:13" ht="14.25" customHeight="1" x14ac:dyDescent="0.4">
      <c r="A18" s="6" t="s">
        <v>44</v>
      </c>
      <c r="B18" s="6" t="s">
        <v>34</v>
      </c>
      <c r="C18" s="6">
        <v>99</v>
      </c>
      <c r="D18" s="7" t="s">
        <v>24</v>
      </c>
      <c r="E18" s="11">
        <v>44931</v>
      </c>
      <c r="F18" s="10">
        <v>195</v>
      </c>
      <c r="G18" s="6">
        <v>3.9</v>
      </c>
      <c r="H18" s="6">
        <f>IF(MONTH(Data!$E18)&lt;=6, YEAR(Data!$E18), YEAR(Data!$E18)+1)</f>
        <v>2023</v>
      </c>
      <c r="I18" s="6" t="str">
        <f>TEXT(Data!$E18,"DDDD")</f>
        <v>Thursday</v>
      </c>
      <c r="J18" s="6" t="s">
        <v>14</v>
      </c>
      <c r="K18" s="6">
        <f>ROUND(Data!$G18,0)</f>
        <v>4</v>
      </c>
      <c r="L18" t="str" cm="1">
        <f t="array" ref="L18">_xlfn.IFS(C18&lt;=15,"Very Short",C18&lt;=30,"Short",C18&lt;=60,"Medium",C18&gt;60,"Long")</f>
        <v>Long</v>
      </c>
      <c r="M18" t="str" cm="1">
        <f t="array" ref="M18">_xlfn.IFS(F18&lt;=50,"Low",F18&lt;=100,"Medium",F18&lt;=150,"High",F18&gt;150,"Very High")</f>
        <v>Very High</v>
      </c>
    </row>
    <row r="19" spans="1:13" ht="14.25" customHeight="1" x14ac:dyDescent="0.4">
      <c r="A19" s="6" t="s">
        <v>45</v>
      </c>
      <c r="B19" s="6" t="s">
        <v>46</v>
      </c>
      <c r="C19" s="6">
        <v>28</v>
      </c>
      <c r="D19" s="7" t="s">
        <v>35</v>
      </c>
      <c r="E19" s="11">
        <v>44931</v>
      </c>
      <c r="F19" s="10">
        <v>28</v>
      </c>
      <c r="G19" s="6">
        <v>3.8</v>
      </c>
      <c r="H19" s="6">
        <f>IF(MONTH(Data!$E19)&lt;=6, YEAR(Data!$E19), YEAR(Data!$E19)+1)</f>
        <v>2023</v>
      </c>
      <c r="I19" s="6" t="str">
        <f>TEXT(Data!$E19,"DDDD")</f>
        <v>Thursday</v>
      </c>
      <c r="J19" s="6" t="s">
        <v>47</v>
      </c>
      <c r="K19" s="6">
        <f>ROUND(Data!$G19,0)</f>
        <v>4</v>
      </c>
      <c r="L19" t="str" cm="1">
        <f t="array" ref="L19">_xlfn.IFS(C19&lt;=15,"Very Short",C19&lt;=30,"Short",C19&lt;=60,"Medium",C19&gt;60,"Long")</f>
        <v>Short</v>
      </c>
      <c r="M19" t="str" cm="1">
        <f t="array" ref="M19">_xlfn.IFS(F19&lt;=50,"Low",F19&lt;=100,"Medium",F19&lt;=150,"High",F19&gt;150,"Very High")</f>
        <v>Low</v>
      </c>
    </row>
    <row r="20" spans="1:13" ht="14.25" customHeight="1" x14ac:dyDescent="0.4">
      <c r="A20" s="6" t="s">
        <v>48</v>
      </c>
      <c r="B20" s="6" t="s">
        <v>29</v>
      </c>
      <c r="C20" s="6">
        <v>54</v>
      </c>
      <c r="D20" s="7" t="s">
        <v>19</v>
      </c>
      <c r="E20" s="11">
        <v>44931</v>
      </c>
      <c r="F20" s="10">
        <v>170</v>
      </c>
      <c r="G20" s="6">
        <v>4.3</v>
      </c>
      <c r="H20" s="6">
        <f>IF(MONTH(Data!$E20)&lt;=6, YEAR(Data!$E20), YEAR(Data!$E20)+1)</f>
        <v>2023</v>
      </c>
      <c r="I20" s="6" t="str">
        <f>TEXT(Data!$E20,"DDDD")</f>
        <v>Thursday</v>
      </c>
      <c r="J20" s="6" t="s">
        <v>27</v>
      </c>
      <c r="K20" s="6">
        <f>ROUND(Data!$G20,0)</f>
        <v>4</v>
      </c>
      <c r="L20" t="str" cm="1">
        <f t="array" ref="L20">_xlfn.IFS(C20&lt;=15,"Very Short",C20&lt;=30,"Short",C20&lt;=60,"Medium",C20&gt;60,"Long")</f>
        <v>Medium</v>
      </c>
      <c r="M20" t="str" cm="1">
        <f t="array" ref="M20">_xlfn.IFS(F20&lt;=50,"Low",F20&lt;=100,"Medium",F20&lt;=150,"High",F20&gt;150,"Very High")</f>
        <v>Very High</v>
      </c>
    </row>
    <row r="21" spans="1:13" ht="14.25" customHeight="1" x14ac:dyDescent="0.4">
      <c r="A21" s="6" t="s">
        <v>49</v>
      </c>
      <c r="B21" s="6" t="s">
        <v>50</v>
      </c>
      <c r="C21" s="6">
        <v>48</v>
      </c>
      <c r="D21" s="7" t="s">
        <v>13</v>
      </c>
      <c r="E21" s="11">
        <v>44932</v>
      </c>
      <c r="F21" s="10">
        <v>30</v>
      </c>
      <c r="G21" s="6">
        <v>4.4000000000000004</v>
      </c>
      <c r="H21" s="6">
        <f>IF(MONTH(Data!$E21)&lt;=6, YEAR(Data!$E21), YEAR(Data!$E21)+1)</f>
        <v>2023</v>
      </c>
      <c r="I21" s="6" t="str">
        <f>TEXT(Data!$E21,"DDDD")</f>
        <v>Friday</v>
      </c>
      <c r="J21" s="6" t="s">
        <v>27</v>
      </c>
      <c r="K21" s="6">
        <f>ROUND(Data!$G21,0)</f>
        <v>4</v>
      </c>
      <c r="L21" t="str" cm="1">
        <f t="array" ref="L21">_xlfn.IFS(C21&lt;=15,"Very Short",C21&lt;=30,"Short",C21&lt;=60,"Medium",C21&gt;60,"Long")</f>
        <v>Medium</v>
      </c>
      <c r="M21" t="str" cm="1">
        <f t="array" ref="M21">_xlfn.IFS(F21&lt;=50,"Low",F21&lt;=100,"Medium",F21&lt;=150,"High",F21&gt;150,"Very High")</f>
        <v>Low</v>
      </c>
    </row>
    <row r="22" spans="1:13" ht="14.25" customHeight="1" x14ac:dyDescent="0.4">
      <c r="A22" s="6" t="s">
        <v>51</v>
      </c>
      <c r="B22" s="6" t="s">
        <v>16</v>
      </c>
      <c r="C22" s="6">
        <v>128</v>
      </c>
      <c r="D22" s="7" t="s">
        <v>13</v>
      </c>
      <c r="E22" s="11">
        <v>44932</v>
      </c>
      <c r="F22" s="10">
        <v>72</v>
      </c>
      <c r="G22" s="6">
        <v>5</v>
      </c>
      <c r="H22" s="6">
        <f>IF(MONTH(Data!$E22)&lt;=6, YEAR(Data!$E22), YEAR(Data!$E22)+1)</f>
        <v>2023</v>
      </c>
      <c r="I22" s="6" t="str">
        <f>TEXT(Data!$E22,"DDDD")</f>
        <v>Friday</v>
      </c>
      <c r="J22" s="6" t="s">
        <v>25</v>
      </c>
      <c r="K22" s="6">
        <f>ROUND(Data!$G22,0)</f>
        <v>5</v>
      </c>
      <c r="L22" t="str" cm="1">
        <f t="array" ref="L22">_xlfn.IFS(C22&lt;=15,"Very Short",C22&lt;=30,"Short",C22&lt;=60,"Medium",C22&gt;60,"Long")</f>
        <v>Long</v>
      </c>
      <c r="M22" t="str" cm="1">
        <f t="array" ref="M22">_xlfn.IFS(F22&lt;=50,"Low",F22&lt;=100,"Medium",F22&lt;=150,"High",F22&gt;150,"Very High")</f>
        <v>Medium</v>
      </c>
    </row>
    <row r="23" spans="1:13" ht="14.25" customHeight="1" x14ac:dyDescent="0.4">
      <c r="A23" s="6" t="s">
        <v>52</v>
      </c>
      <c r="B23" s="6" t="s">
        <v>16</v>
      </c>
      <c r="C23" s="6">
        <v>38</v>
      </c>
      <c r="D23" s="7" t="s">
        <v>31</v>
      </c>
      <c r="E23" s="11">
        <v>44933</v>
      </c>
      <c r="F23" s="10">
        <v>92</v>
      </c>
      <c r="G23" s="6">
        <v>4.9000000000000004</v>
      </c>
      <c r="H23" s="6">
        <f>IF(MONTH(Data!$E23)&lt;=6, YEAR(Data!$E23), YEAR(Data!$E23)+1)</f>
        <v>2023</v>
      </c>
      <c r="I23" s="6" t="str">
        <f>TEXT(Data!$E23,"DDDD")</f>
        <v>Saturday</v>
      </c>
      <c r="J23" s="6" t="s">
        <v>27</v>
      </c>
      <c r="K23" s="6">
        <f>ROUND(Data!$G23,0)</f>
        <v>5</v>
      </c>
      <c r="L23" t="str" cm="1">
        <f t="array" ref="L23">_xlfn.IFS(C23&lt;=15,"Very Short",C23&lt;=30,"Short",C23&lt;=60,"Medium",C23&gt;60,"Long")</f>
        <v>Medium</v>
      </c>
      <c r="M23" t="str" cm="1">
        <f t="array" ref="M23">_xlfn.IFS(F23&lt;=50,"Low",F23&lt;=100,"Medium",F23&lt;=150,"High",F23&gt;150,"Very High")</f>
        <v>Medium</v>
      </c>
    </row>
    <row r="24" spans="1:13" ht="14.25" customHeight="1" x14ac:dyDescent="0.4">
      <c r="A24" s="6" t="s">
        <v>53</v>
      </c>
      <c r="B24" s="6" t="s">
        <v>12</v>
      </c>
      <c r="C24" s="6">
        <v>67</v>
      </c>
      <c r="D24" s="7" t="s">
        <v>31</v>
      </c>
      <c r="E24" s="11">
        <v>44934</v>
      </c>
      <c r="F24" s="10">
        <v>165</v>
      </c>
      <c r="G24" s="6">
        <v>4.5</v>
      </c>
      <c r="H24" s="6">
        <f>IF(MONTH(Data!$E24)&lt;=6, YEAR(Data!$E24), YEAR(Data!$E24)+1)</f>
        <v>2023</v>
      </c>
      <c r="I24" s="6" t="str">
        <f>TEXT(Data!$E24,"DDDD")</f>
        <v>Sunday</v>
      </c>
      <c r="J24" s="6" t="s">
        <v>14</v>
      </c>
      <c r="K24" s="6">
        <f>ROUND(Data!$G24,0)</f>
        <v>5</v>
      </c>
      <c r="L24" t="str" cm="1">
        <f t="array" ref="L24">_xlfn.IFS(C24&lt;=15,"Very Short",C24&lt;=30,"Short",C24&lt;=60,"Medium",C24&gt;60,"Long")</f>
        <v>Long</v>
      </c>
      <c r="M24" t="str" cm="1">
        <f t="array" ref="M24">_xlfn.IFS(F24&lt;=50,"Low",F24&lt;=100,"Medium",F24&lt;=150,"High",F24&gt;150,"Very High")</f>
        <v>Very High</v>
      </c>
    </row>
    <row r="25" spans="1:13" ht="14.25" customHeight="1" x14ac:dyDescent="0.4">
      <c r="A25" s="6" t="s">
        <v>54</v>
      </c>
      <c r="B25" s="6" t="s">
        <v>55</v>
      </c>
      <c r="C25" s="6">
        <v>58</v>
      </c>
      <c r="D25" s="7" t="s">
        <v>19</v>
      </c>
      <c r="E25" s="11">
        <v>44934</v>
      </c>
      <c r="F25" s="10">
        <v>140</v>
      </c>
      <c r="G25" s="6">
        <v>2.1</v>
      </c>
      <c r="H25" s="6">
        <f>IF(MONTH(Data!$E25)&lt;=6, YEAR(Data!$E25), YEAR(Data!$E25)+1)</f>
        <v>2023</v>
      </c>
      <c r="I25" s="6" t="str">
        <f>TEXT(Data!$E25,"DDDD")</f>
        <v>Sunday</v>
      </c>
      <c r="J25" s="6" t="s">
        <v>27</v>
      </c>
      <c r="K25" s="6">
        <f>ROUND(Data!$G25,0)</f>
        <v>2</v>
      </c>
      <c r="L25" t="str" cm="1">
        <f t="array" ref="L25">_xlfn.IFS(C25&lt;=15,"Very Short",C25&lt;=30,"Short",C25&lt;=60,"Medium",C25&gt;60,"Long")</f>
        <v>Medium</v>
      </c>
      <c r="M25" t="str" cm="1">
        <f t="array" ref="M25">_xlfn.IFS(F25&lt;=50,"Low",F25&lt;=100,"Medium",F25&lt;=150,"High",F25&gt;150,"Very High")</f>
        <v>High</v>
      </c>
    </row>
    <row r="26" spans="1:13" ht="14.25" customHeight="1" x14ac:dyDescent="0.4">
      <c r="A26" s="6" t="s">
        <v>56</v>
      </c>
      <c r="B26" s="6" t="s">
        <v>34</v>
      </c>
      <c r="C26" s="6">
        <v>54</v>
      </c>
      <c r="D26" s="7" t="s">
        <v>24</v>
      </c>
      <c r="E26" s="11">
        <v>44934</v>
      </c>
      <c r="F26" s="10">
        <v>111</v>
      </c>
      <c r="G26" s="6">
        <v>3.3</v>
      </c>
      <c r="H26" s="6">
        <f>IF(MONTH(Data!$E26)&lt;=6, YEAR(Data!$E26), YEAR(Data!$E26)+1)</f>
        <v>2023</v>
      </c>
      <c r="I26" s="6" t="str">
        <f>TEXT(Data!$E26,"DDDD")</f>
        <v>Sunday</v>
      </c>
      <c r="J26" s="6" t="s">
        <v>27</v>
      </c>
      <c r="K26" s="6">
        <f>ROUND(Data!$G26,0)</f>
        <v>3</v>
      </c>
      <c r="L26" t="str" cm="1">
        <f t="array" ref="L26">_xlfn.IFS(C26&lt;=15,"Very Short",C26&lt;=30,"Short",C26&lt;=60,"Medium",C26&gt;60,"Long")</f>
        <v>Medium</v>
      </c>
      <c r="M26" t="str" cm="1">
        <f t="array" ref="M26">_xlfn.IFS(F26&lt;=50,"Low",F26&lt;=100,"Medium",F26&lt;=150,"High",F26&gt;150,"Very High")</f>
        <v>High</v>
      </c>
    </row>
    <row r="27" spans="1:13" ht="14.25" customHeight="1" x14ac:dyDescent="0.4">
      <c r="A27" s="6" t="s">
        <v>57</v>
      </c>
      <c r="B27" s="6" t="s">
        <v>58</v>
      </c>
      <c r="C27" s="6">
        <v>28</v>
      </c>
      <c r="D27" s="7" t="s">
        <v>13</v>
      </c>
      <c r="E27" s="11">
        <v>44935</v>
      </c>
      <c r="F27" s="10">
        <v>63</v>
      </c>
      <c r="G27" s="6">
        <v>4.0999999999999996</v>
      </c>
      <c r="H27" s="6">
        <f>IF(MONTH(Data!$E27)&lt;=6, YEAR(Data!$E27), YEAR(Data!$E27)+1)</f>
        <v>2023</v>
      </c>
      <c r="I27" s="6" t="str">
        <f>TEXT(Data!$E27,"DDDD")</f>
        <v>Monday</v>
      </c>
      <c r="J27" s="6" t="s">
        <v>47</v>
      </c>
      <c r="K27" s="6">
        <f>ROUND(Data!$G27,0)</f>
        <v>4</v>
      </c>
      <c r="L27" t="str" cm="1">
        <f t="array" ref="L27">_xlfn.IFS(C27&lt;=15,"Very Short",C27&lt;=30,"Short",C27&lt;=60,"Medium",C27&gt;60,"Long")</f>
        <v>Short</v>
      </c>
      <c r="M27" t="str" cm="1">
        <f t="array" ref="M27">_xlfn.IFS(F27&lt;=50,"Low",F27&lt;=100,"Medium",F27&lt;=150,"High",F27&gt;150,"Very High")</f>
        <v>Medium</v>
      </c>
    </row>
    <row r="28" spans="1:13" ht="14.25" customHeight="1" x14ac:dyDescent="0.4">
      <c r="A28" s="6" t="s">
        <v>59</v>
      </c>
      <c r="B28" s="6" t="s">
        <v>40</v>
      </c>
      <c r="C28" s="6">
        <v>73</v>
      </c>
      <c r="D28" s="7" t="s">
        <v>13</v>
      </c>
      <c r="E28" s="11">
        <v>44935</v>
      </c>
      <c r="F28" s="10">
        <v>80</v>
      </c>
      <c r="G28" s="6">
        <v>4.2</v>
      </c>
      <c r="H28" s="6">
        <f>IF(MONTH(Data!$E28)&lt;=6, YEAR(Data!$E28), YEAR(Data!$E28)+1)</f>
        <v>2023</v>
      </c>
      <c r="I28" s="6" t="str">
        <f>TEXT(Data!$E28,"DDDD")</f>
        <v>Monday</v>
      </c>
      <c r="J28" s="6" t="s">
        <v>14</v>
      </c>
      <c r="K28" s="6">
        <f>ROUND(Data!$G28,0)</f>
        <v>4</v>
      </c>
      <c r="L28" t="str" cm="1">
        <f t="array" ref="L28">_xlfn.IFS(C28&lt;=15,"Very Short",C28&lt;=30,"Short",C28&lt;=60,"Medium",C28&gt;60,"Long")</f>
        <v>Long</v>
      </c>
      <c r="M28" t="str" cm="1">
        <f t="array" ref="M28">_xlfn.IFS(F28&lt;=50,"Low",F28&lt;=100,"Medium",F28&lt;=150,"High",F28&gt;150,"Very High")</f>
        <v>Medium</v>
      </c>
    </row>
    <row r="29" spans="1:13" ht="14.25" customHeight="1" x14ac:dyDescent="0.4">
      <c r="A29" s="6" t="s">
        <v>60</v>
      </c>
      <c r="B29" s="6" t="s">
        <v>23</v>
      </c>
      <c r="C29" s="6">
        <v>81</v>
      </c>
      <c r="D29" s="7" t="s">
        <v>13</v>
      </c>
      <c r="E29" s="11">
        <v>44936</v>
      </c>
      <c r="F29" s="10">
        <v>50</v>
      </c>
      <c r="G29" s="6">
        <v>4.5999999999999996</v>
      </c>
      <c r="H29" s="6">
        <f>IF(MONTH(Data!$E29)&lt;=6, YEAR(Data!$E29), YEAR(Data!$E29)+1)</f>
        <v>2023</v>
      </c>
      <c r="I29" s="6" t="str">
        <f>TEXT(Data!$E29,"DDDD")</f>
        <v>Tuesday</v>
      </c>
      <c r="J29" s="6" t="s">
        <v>14</v>
      </c>
      <c r="K29" s="6">
        <f>ROUND(Data!$G29,0)</f>
        <v>5</v>
      </c>
      <c r="L29" t="str" cm="1">
        <f t="array" ref="L29">_xlfn.IFS(C29&lt;=15,"Very Short",C29&lt;=30,"Short",C29&lt;=60,"Medium",C29&gt;60,"Long")</f>
        <v>Long</v>
      </c>
      <c r="M29" t="str" cm="1">
        <f t="array" ref="M29">_xlfn.IFS(F29&lt;=50,"Low",F29&lt;=100,"Medium",F29&lt;=150,"High",F29&gt;150,"Very High")</f>
        <v>Low</v>
      </c>
    </row>
    <row r="30" spans="1:13" ht="14.25" customHeight="1" x14ac:dyDescent="0.4">
      <c r="A30" s="6" t="s">
        <v>61</v>
      </c>
      <c r="B30" s="6" t="s">
        <v>46</v>
      </c>
      <c r="C30" s="6">
        <v>31</v>
      </c>
      <c r="D30" s="7" t="s">
        <v>31</v>
      </c>
      <c r="E30" s="11">
        <v>44936</v>
      </c>
      <c r="F30" s="10">
        <v>123</v>
      </c>
      <c r="G30" s="6">
        <v>2.9</v>
      </c>
      <c r="H30" s="6">
        <f>IF(MONTH(Data!$E30)&lt;=6, YEAR(Data!$E30), YEAR(Data!$E30)+1)</f>
        <v>2023</v>
      </c>
      <c r="I30" s="6" t="str">
        <f>TEXT(Data!$E30,"DDDD")</f>
        <v>Tuesday</v>
      </c>
      <c r="J30" s="6" t="s">
        <v>27</v>
      </c>
      <c r="K30" s="6">
        <f>ROUND(Data!$G30,0)</f>
        <v>3</v>
      </c>
      <c r="L30" t="str" cm="1">
        <f t="array" ref="L30">_xlfn.IFS(C30&lt;=15,"Very Short",C30&lt;=30,"Short",C30&lt;=60,"Medium",C30&gt;60,"Long")</f>
        <v>Medium</v>
      </c>
      <c r="M30" t="str" cm="1">
        <f t="array" ref="M30">_xlfn.IFS(F30&lt;=50,"Low",F30&lt;=100,"Medium",F30&lt;=150,"High",F30&gt;150,"Very High")</f>
        <v>High</v>
      </c>
    </row>
    <row r="31" spans="1:13" ht="14.25" customHeight="1" x14ac:dyDescent="0.4">
      <c r="A31" s="6" t="s">
        <v>62</v>
      </c>
      <c r="B31" s="6" t="s">
        <v>55</v>
      </c>
      <c r="C31" s="6">
        <v>155</v>
      </c>
      <c r="D31" s="7" t="s">
        <v>24</v>
      </c>
      <c r="E31" s="11">
        <v>44936</v>
      </c>
      <c r="F31" s="10">
        <v>110</v>
      </c>
      <c r="G31" s="6">
        <v>4.8</v>
      </c>
      <c r="H31" s="6">
        <f>IF(MONTH(Data!$E31)&lt;=6, YEAR(Data!$E31), YEAR(Data!$E31)+1)</f>
        <v>2023</v>
      </c>
      <c r="I31" s="6" t="str">
        <f>TEXT(Data!$E31,"DDDD")</f>
        <v>Tuesday</v>
      </c>
      <c r="J31" s="6" t="s">
        <v>25</v>
      </c>
      <c r="K31" s="6">
        <f>ROUND(Data!$G31,0)</f>
        <v>5</v>
      </c>
      <c r="L31" t="str" cm="1">
        <f t="array" ref="L31">_xlfn.IFS(C31&lt;=15,"Very Short",C31&lt;=30,"Short",C31&lt;=60,"Medium",C31&gt;60,"Long")</f>
        <v>Long</v>
      </c>
      <c r="M31" t="str" cm="1">
        <f t="array" ref="M31">_xlfn.IFS(F31&lt;=50,"Low",F31&lt;=100,"Medium",F31&lt;=150,"High",F31&gt;150,"Very High")</f>
        <v>High</v>
      </c>
    </row>
    <row r="32" spans="1:13" ht="14.25" customHeight="1" x14ac:dyDescent="0.4">
      <c r="A32" s="6" t="s">
        <v>63</v>
      </c>
      <c r="B32" s="6" t="s">
        <v>46</v>
      </c>
      <c r="C32" s="6">
        <v>80</v>
      </c>
      <c r="D32" s="7" t="s">
        <v>13</v>
      </c>
      <c r="E32" s="11">
        <v>44936</v>
      </c>
      <c r="F32" s="10">
        <v>140</v>
      </c>
      <c r="G32" s="6">
        <v>4.2</v>
      </c>
      <c r="H32" s="6">
        <f>IF(MONTH(Data!$E32)&lt;=6, YEAR(Data!$E32), YEAR(Data!$E32)+1)</f>
        <v>2023</v>
      </c>
      <c r="I32" s="6" t="str">
        <f>TEXT(Data!$E32,"DDDD")</f>
        <v>Tuesday</v>
      </c>
      <c r="J32" s="6" t="s">
        <v>14</v>
      </c>
      <c r="K32" s="6">
        <f>ROUND(Data!$G32,0)</f>
        <v>4</v>
      </c>
      <c r="L32" t="str" cm="1">
        <f t="array" ref="L32">_xlfn.IFS(C32&lt;=15,"Very Short",C32&lt;=30,"Short",C32&lt;=60,"Medium",C32&gt;60,"Long")</f>
        <v>Long</v>
      </c>
      <c r="M32" t="str" cm="1">
        <f t="array" ref="M32">_xlfn.IFS(F32&lt;=50,"Low",F32&lt;=100,"Medium",F32&lt;=150,"High",F32&gt;150,"Very High")</f>
        <v>High</v>
      </c>
    </row>
    <row r="33" spans="1:13" ht="14.25" customHeight="1" x14ac:dyDescent="0.4">
      <c r="A33" s="6" t="s">
        <v>64</v>
      </c>
      <c r="B33" s="6" t="s">
        <v>23</v>
      </c>
      <c r="C33" s="6">
        <v>82</v>
      </c>
      <c r="D33" s="7" t="s">
        <v>13</v>
      </c>
      <c r="E33" s="11">
        <v>44938</v>
      </c>
      <c r="F33" s="10">
        <v>42</v>
      </c>
      <c r="G33" s="6">
        <v>3.7</v>
      </c>
      <c r="H33" s="6">
        <f>IF(MONTH(Data!$E33)&lt;=6, YEAR(Data!$E33), YEAR(Data!$E33)+1)</f>
        <v>2023</v>
      </c>
      <c r="I33" s="6" t="str">
        <f>TEXT(Data!$E33,"DDDD")</f>
        <v>Thursday</v>
      </c>
      <c r="J33" s="6" t="s">
        <v>14</v>
      </c>
      <c r="K33" s="6">
        <f>ROUND(Data!$G33,0)</f>
        <v>4</v>
      </c>
      <c r="L33" t="str" cm="1">
        <f t="array" ref="L33">_xlfn.IFS(C33&lt;=15,"Very Short",C33&lt;=30,"Short",C33&lt;=60,"Medium",C33&gt;60,"Long")</f>
        <v>Long</v>
      </c>
      <c r="M33" t="str" cm="1">
        <f t="array" ref="M33">_xlfn.IFS(F33&lt;=50,"Low",F33&lt;=100,"Medium",F33&lt;=150,"High",F33&gt;150,"Very High")</f>
        <v>Low</v>
      </c>
    </row>
    <row r="34" spans="1:13" ht="14.25" customHeight="1" x14ac:dyDescent="0.4">
      <c r="A34" s="6" t="s">
        <v>65</v>
      </c>
      <c r="B34" s="6" t="s">
        <v>23</v>
      </c>
      <c r="C34" s="6">
        <v>29</v>
      </c>
      <c r="D34" s="7" t="s">
        <v>24</v>
      </c>
      <c r="E34" s="11">
        <v>44938</v>
      </c>
      <c r="F34" s="10">
        <v>170</v>
      </c>
      <c r="G34" s="6">
        <v>5</v>
      </c>
      <c r="H34" s="6">
        <f>IF(MONTH(Data!$E34)&lt;=6, YEAR(Data!$E34), YEAR(Data!$E34)+1)</f>
        <v>2023</v>
      </c>
      <c r="I34" s="6" t="str">
        <f>TEXT(Data!$E34,"DDDD")</f>
        <v>Thursday</v>
      </c>
      <c r="J34" s="6" t="s">
        <v>47</v>
      </c>
      <c r="K34" s="6">
        <f>ROUND(Data!$G34,0)</f>
        <v>5</v>
      </c>
      <c r="L34" t="str" cm="1">
        <f t="array" ref="L34">_xlfn.IFS(C34&lt;=15,"Very Short",C34&lt;=30,"Short",C34&lt;=60,"Medium",C34&gt;60,"Long")</f>
        <v>Short</v>
      </c>
      <c r="M34" t="str" cm="1">
        <f t="array" ref="M34">_xlfn.IFS(F34&lt;=50,"Low",F34&lt;=100,"Medium",F34&lt;=150,"High",F34&gt;150,"Very High")</f>
        <v>Very High</v>
      </c>
    </row>
    <row r="35" spans="1:13" ht="14.25" customHeight="1" x14ac:dyDescent="0.4">
      <c r="A35" s="6" t="s">
        <v>66</v>
      </c>
      <c r="B35" s="6" t="s">
        <v>50</v>
      </c>
      <c r="C35" s="6">
        <v>160</v>
      </c>
      <c r="D35" s="7" t="s">
        <v>19</v>
      </c>
      <c r="E35" s="11">
        <v>44940</v>
      </c>
      <c r="F35" s="10">
        <v>105</v>
      </c>
      <c r="G35" s="6">
        <v>5</v>
      </c>
      <c r="H35" s="6">
        <f>IF(MONTH(Data!$E35)&lt;=6, YEAR(Data!$E35), YEAR(Data!$E35)+1)</f>
        <v>2023</v>
      </c>
      <c r="I35" s="6" t="str">
        <f>TEXT(Data!$E35,"DDDD")</f>
        <v>Saturday</v>
      </c>
      <c r="J35" s="6" t="s">
        <v>25</v>
      </c>
      <c r="K35" s="6">
        <f>ROUND(Data!$G35,0)</f>
        <v>5</v>
      </c>
      <c r="L35" t="str" cm="1">
        <f t="array" ref="L35">_xlfn.IFS(C35&lt;=15,"Very Short",C35&lt;=30,"Short",C35&lt;=60,"Medium",C35&gt;60,"Long")</f>
        <v>Long</v>
      </c>
      <c r="M35" t="str" cm="1">
        <f t="array" ref="M35">_xlfn.IFS(F35&lt;=50,"Low",F35&lt;=100,"Medium",F35&lt;=150,"High",F35&gt;150,"Very High")</f>
        <v>High</v>
      </c>
    </row>
    <row r="36" spans="1:13" ht="14.25" customHeight="1" x14ac:dyDescent="0.4">
      <c r="A36" s="6" t="s">
        <v>67</v>
      </c>
      <c r="B36" s="6" t="s">
        <v>68</v>
      </c>
      <c r="C36" s="6">
        <v>105</v>
      </c>
      <c r="D36" s="7" t="s">
        <v>13</v>
      </c>
      <c r="E36" s="11">
        <v>44941</v>
      </c>
      <c r="F36" s="10">
        <v>125</v>
      </c>
      <c r="G36" s="6">
        <v>4.8</v>
      </c>
      <c r="H36" s="6">
        <f>IF(MONTH(Data!$E36)&lt;=6, YEAR(Data!$E36), YEAR(Data!$E36)+1)</f>
        <v>2023</v>
      </c>
      <c r="I36" s="6" t="str">
        <f>TEXT(Data!$E36,"DDDD")</f>
        <v>Sunday</v>
      </c>
      <c r="J36" s="6" t="s">
        <v>14</v>
      </c>
      <c r="K36" s="6">
        <f>ROUND(Data!$G36,0)</f>
        <v>5</v>
      </c>
      <c r="L36" t="str" cm="1">
        <f t="array" ref="L36">_xlfn.IFS(C36&lt;=15,"Very Short",C36&lt;=30,"Short",C36&lt;=60,"Medium",C36&gt;60,"Long")</f>
        <v>Long</v>
      </c>
      <c r="M36" t="str" cm="1">
        <f t="array" ref="M36">_xlfn.IFS(F36&lt;=50,"Low",F36&lt;=100,"Medium",F36&lt;=150,"High",F36&gt;150,"Very High")</f>
        <v>High</v>
      </c>
    </row>
    <row r="37" spans="1:13" ht="14.25" customHeight="1" x14ac:dyDescent="0.4">
      <c r="A37" s="6" t="s">
        <v>69</v>
      </c>
      <c r="B37" s="6" t="s">
        <v>46</v>
      </c>
      <c r="C37" s="6">
        <v>75</v>
      </c>
      <c r="D37" s="7" t="s">
        <v>35</v>
      </c>
      <c r="E37" s="11">
        <v>44941</v>
      </c>
      <c r="F37" s="10">
        <v>26</v>
      </c>
      <c r="G37" s="6">
        <v>2.4</v>
      </c>
      <c r="H37" s="6">
        <f>IF(MONTH(Data!$E37)&lt;=6, YEAR(Data!$E37), YEAR(Data!$E37)+1)</f>
        <v>2023</v>
      </c>
      <c r="I37" s="6" t="str">
        <f>TEXT(Data!$E37,"DDDD")</f>
        <v>Sunday</v>
      </c>
      <c r="J37" s="6" t="s">
        <v>14</v>
      </c>
      <c r="K37" s="6">
        <f>ROUND(Data!$G37,0)</f>
        <v>2</v>
      </c>
      <c r="L37" t="str" cm="1">
        <f t="array" ref="L37">_xlfn.IFS(C37&lt;=15,"Very Short",C37&lt;=30,"Short",C37&lt;=60,"Medium",C37&gt;60,"Long")</f>
        <v>Long</v>
      </c>
      <c r="M37" t="str" cm="1">
        <f t="array" ref="M37">_xlfn.IFS(F37&lt;=50,"Low",F37&lt;=100,"Medium",F37&lt;=150,"High",F37&gt;150,"Very High")</f>
        <v>Low</v>
      </c>
    </row>
    <row r="38" spans="1:13" ht="14.25" customHeight="1" x14ac:dyDescent="0.4">
      <c r="A38" s="6" t="s">
        <v>70</v>
      </c>
      <c r="B38" s="6" t="s">
        <v>55</v>
      </c>
      <c r="C38" s="6">
        <v>94</v>
      </c>
      <c r="D38" s="7" t="s">
        <v>35</v>
      </c>
      <c r="E38" s="11">
        <v>44942</v>
      </c>
      <c r="F38" s="10">
        <v>120</v>
      </c>
      <c r="G38" s="6">
        <v>3.1</v>
      </c>
      <c r="H38" s="6">
        <f>IF(MONTH(Data!$E38)&lt;=6, YEAR(Data!$E38), YEAR(Data!$E38)+1)</f>
        <v>2023</v>
      </c>
      <c r="I38" s="6" t="str">
        <f>TEXT(Data!$E38,"DDDD")</f>
        <v>Monday</v>
      </c>
      <c r="J38" s="6" t="s">
        <v>14</v>
      </c>
      <c r="K38" s="6">
        <f>ROUND(Data!$G38,0)</f>
        <v>3</v>
      </c>
      <c r="L38" t="str" cm="1">
        <f t="array" ref="L38">_xlfn.IFS(C38&lt;=15,"Very Short",C38&lt;=30,"Short",C38&lt;=60,"Medium",C38&gt;60,"Long")</f>
        <v>Long</v>
      </c>
      <c r="M38" t="str" cm="1">
        <f t="array" ref="M38">_xlfn.IFS(F38&lt;=50,"Low",F38&lt;=100,"Medium",F38&lt;=150,"High",F38&gt;150,"Very High")</f>
        <v>High</v>
      </c>
    </row>
    <row r="39" spans="1:13" ht="14.25" customHeight="1" x14ac:dyDescent="0.4">
      <c r="A39" s="6" t="s">
        <v>71</v>
      </c>
      <c r="B39" s="6" t="s">
        <v>16</v>
      </c>
      <c r="C39" s="6">
        <v>90</v>
      </c>
      <c r="D39" s="7" t="s">
        <v>19</v>
      </c>
      <c r="E39" s="11">
        <v>44942</v>
      </c>
      <c r="F39" s="10">
        <v>132</v>
      </c>
      <c r="G39" s="6">
        <v>3.2</v>
      </c>
      <c r="H39" s="6">
        <f>IF(MONTH(Data!$E39)&lt;=6, YEAR(Data!$E39), YEAR(Data!$E39)+1)</f>
        <v>2023</v>
      </c>
      <c r="I39" s="6" t="str">
        <f>TEXT(Data!$E39,"DDDD")</f>
        <v>Monday</v>
      </c>
      <c r="J39" s="6" t="s">
        <v>14</v>
      </c>
      <c r="K39" s="6">
        <f>ROUND(Data!$G39,0)</f>
        <v>3</v>
      </c>
      <c r="L39" t="str" cm="1">
        <f t="array" ref="L39">_xlfn.IFS(C39&lt;=15,"Very Short",C39&lt;=30,"Short",C39&lt;=60,"Medium",C39&gt;60,"Long")</f>
        <v>Long</v>
      </c>
      <c r="M39" t="str" cm="1">
        <f t="array" ref="M39">_xlfn.IFS(F39&lt;=50,"Low",F39&lt;=100,"Medium",F39&lt;=150,"High",F39&gt;150,"Very High")</f>
        <v>High</v>
      </c>
    </row>
    <row r="40" spans="1:13" ht="14.25" customHeight="1" x14ac:dyDescent="0.4">
      <c r="A40" s="6" t="s">
        <v>72</v>
      </c>
      <c r="B40" s="6" t="s">
        <v>55</v>
      </c>
      <c r="C40" s="6">
        <v>81</v>
      </c>
      <c r="D40" s="7" t="s">
        <v>31</v>
      </c>
      <c r="E40" s="11">
        <v>44943</v>
      </c>
      <c r="F40" s="10">
        <v>86</v>
      </c>
      <c r="G40" s="6">
        <v>2.4</v>
      </c>
      <c r="H40" s="6">
        <f>IF(MONTH(Data!$E40)&lt;=6, YEAR(Data!$E40), YEAR(Data!$E40)+1)</f>
        <v>2023</v>
      </c>
      <c r="I40" s="6" t="str">
        <f>TEXT(Data!$E40,"DDDD")</f>
        <v>Tuesday</v>
      </c>
      <c r="J40" s="6" t="s">
        <v>14</v>
      </c>
      <c r="K40" s="6">
        <f>ROUND(Data!$G40,0)</f>
        <v>2</v>
      </c>
      <c r="L40" t="str" cm="1">
        <f t="array" ref="L40">_xlfn.IFS(C40&lt;=15,"Very Short",C40&lt;=30,"Short",C40&lt;=60,"Medium",C40&gt;60,"Long")</f>
        <v>Long</v>
      </c>
      <c r="M40" t="str" cm="1">
        <f t="array" ref="M40">_xlfn.IFS(F40&lt;=50,"Low",F40&lt;=100,"Medium",F40&lt;=150,"High",F40&gt;150,"Very High")</f>
        <v>Medium</v>
      </c>
    </row>
    <row r="41" spans="1:13" ht="14.25" customHeight="1" x14ac:dyDescent="0.4">
      <c r="A41" s="6" t="s">
        <v>73</v>
      </c>
      <c r="B41" s="6" t="s">
        <v>46</v>
      </c>
      <c r="C41" s="6">
        <v>106</v>
      </c>
      <c r="D41" s="7" t="s">
        <v>13</v>
      </c>
      <c r="E41" s="11">
        <v>44943</v>
      </c>
      <c r="F41" s="10">
        <v>108</v>
      </c>
      <c r="G41" s="6">
        <v>5</v>
      </c>
      <c r="H41" s="6">
        <f>IF(MONTH(Data!$E41)&lt;=6, YEAR(Data!$E41), YEAR(Data!$E41)+1)</f>
        <v>2023</v>
      </c>
      <c r="I41" s="6" t="str">
        <f>TEXT(Data!$E41,"DDDD")</f>
        <v>Tuesday</v>
      </c>
      <c r="J41" s="6" t="s">
        <v>14</v>
      </c>
      <c r="K41" s="6">
        <f>ROUND(Data!$G41,0)</f>
        <v>5</v>
      </c>
      <c r="L41" t="str" cm="1">
        <f t="array" ref="L41">_xlfn.IFS(C41&lt;=15,"Very Short",C41&lt;=30,"Short",C41&lt;=60,"Medium",C41&gt;60,"Long")</f>
        <v>Long</v>
      </c>
      <c r="M41" t="str" cm="1">
        <f t="array" ref="M41">_xlfn.IFS(F41&lt;=50,"Low",F41&lt;=100,"Medium",F41&lt;=150,"High",F41&gt;150,"Very High")</f>
        <v>High</v>
      </c>
    </row>
    <row r="42" spans="1:13" ht="14.25" customHeight="1" x14ac:dyDescent="0.4">
      <c r="A42" s="6" t="s">
        <v>74</v>
      </c>
      <c r="B42" s="6" t="s">
        <v>16</v>
      </c>
      <c r="C42" s="6">
        <v>74</v>
      </c>
      <c r="D42" s="7" t="s">
        <v>31</v>
      </c>
      <c r="E42" s="11">
        <v>44943</v>
      </c>
      <c r="F42" s="10">
        <v>96</v>
      </c>
      <c r="G42" s="6">
        <v>4.7</v>
      </c>
      <c r="H42" s="6">
        <f>IF(MONTH(Data!$E42)&lt;=6, YEAR(Data!$E42), YEAR(Data!$E42)+1)</f>
        <v>2023</v>
      </c>
      <c r="I42" s="6" t="str">
        <f>TEXT(Data!$E42,"DDDD")</f>
        <v>Tuesday</v>
      </c>
      <c r="J42" s="6" t="s">
        <v>14</v>
      </c>
      <c r="K42" s="6">
        <f>ROUND(Data!$G42,0)</f>
        <v>5</v>
      </c>
      <c r="L42" t="str" cm="1">
        <f t="array" ref="L42">_xlfn.IFS(C42&lt;=15,"Very Short",C42&lt;=30,"Short",C42&lt;=60,"Medium",C42&gt;60,"Long")</f>
        <v>Long</v>
      </c>
      <c r="M42" t="str" cm="1">
        <f t="array" ref="M42">_xlfn.IFS(F42&lt;=50,"Low",F42&lt;=100,"Medium",F42&lt;=150,"High",F42&gt;150,"Very High")</f>
        <v>Medium</v>
      </c>
    </row>
    <row r="43" spans="1:13" ht="14.25" customHeight="1" x14ac:dyDescent="0.4">
      <c r="A43" s="6" t="s">
        <v>75</v>
      </c>
      <c r="B43" s="6" t="s">
        <v>34</v>
      </c>
      <c r="C43" s="6">
        <v>105</v>
      </c>
      <c r="D43" s="7" t="s">
        <v>19</v>
      </c>
      <c r="E43" s="11">
        <v>44944</v>
      </c>
      <c r="F43" s="10">
        <v>80</v>
      </c>
      <c r="G43" s="6">
        <v>4.7</v>
      </c>
      <c r="H43" s="6">
        <f>IF(MONTH(Data!$E43)&lt;=6, YEAR(Data!$E43), YEAR(Data!$E43)+1)</f>
        <v>2023</v>
      </c>
      <c r="I43" s="6" t="str">
        <f>TEXT(Data!$E43,"DDDD")</f>
        <v>Wednesday</v>
      </c>
      <c r="J43" s="6" t="s">
        <v>14</v>
      </c>
      <c r="K43" s="6">
        <f>ROUND(Data!$G43,0)</f>
        <v>5</v>
      </c>
      <c r="L43" t="str" cm="1">
        <f t="array" ref="L43">_xlfn.IFS(C43&lt;=15,"Very Short",C43&lt;=30,"Short",C43&lt;=60,"Medium",C43&gt;60,"Long")</f>
        <v>Long</v>
      </c>
      <c r="M43" t="str" cm="1">
        <f t="array" ref="M43">_xlfn.IFS(F43&lt;=50,"Low",F43&lt;=100,"Medium",F43&lt;=150,"High",F43&gt;150,"Very High")</f>
        <v>Medium</v>
      </c>
    </row>
    <row r="44" spans="1:13" ht="14.25" customHeight="1" x14ac:dyDescent="0.4">
      <c r="A44" s="6" t="s">
        <v>76</v>
      </c>
      <c r="B44" s="6" t="s">
        <v>46</v>
      </c>
      <c r="C44" s="6">
        <v>89</v>
      </c>
      <c r="D44" s="7" t="s">
        <v>13</v>
      </c>
      <c r="E44" s="11">
        <v>44944</v>
      </c>
      <c r="F44" s="10">
        <v>155</v>
      </c>
      <c r="G44" s="6">
        <v>4.0999999999999996</v>
      </c>
      <c r="H44" s="6">
        <f>IF(MONTH(Data!$E44)&lt;=6, YEAR(Data!$E44), YEAR(Data!$E44)+1)</f>
        <v>2023</v>
      </c>
      <c r="I44" s="6" t="str">
        <f>TEXT(Data!$E44,"DDDD")</f>
        <v>Wednesday</v>
      </c>
      <c r="J44" s="6" t="s">
        <v>14</v>
      </c>
      <c r="K44" s="6">
        <f>ROUND(Data!$G44,0)</f>
        <v>4</v>
      </c>
      <c r="L44" t="str" cm="1">
        <f t="array" ref="L44">_xlfn.IFS(C44&lt;=15,"Very Short",C44&lt;=30,"Short",C44&lt;=60,"Medium",C44&gt;60,"Long")</f>
        <v>Long</v>
      </c>
      <c r="M44" t="str" cm="1">
        <f t="array" ref="M44">_xlfn.IFS(F44&lt;=50,"Low",F44&lt;=100,"Medium",F44&lt;=150,"High",F44&gt;150,"Very High")</f>
        <v>Very High</v>
      </c>
    </row>
    <row r="45" spans="1:13" ht="14.25" customHeight="1" x14ac:dyDescent="0.4">
      <c r="A45" s="6" t="s">
        <v>77</v>
      </c>
      <c r="B45" s="6" t="s">
        <v>38</v>
      </c>
      <c r="C45" s="6">
        <v>132</v>
      </c>
      <c r="D45" s="7" t="s">
        <v>35</v>
      </c>
      <c r="E45" s="11">
        <v>44944</v>
      </c>
      <c r="F45" s="10">
        <v>168</v>
      </c>
      <c r="G45" s="6">
        <v>4.0999999999999996</v>
      </c>
      <c r="H45" s="6">
        <f>IF(MONTH(Data!$E45)&lt;=6, YEAR(Data!$E45), YEAR(Data!$E45)+1)</f>
        <v>2023</v>
      </c>
      <c r="I45" s="6" t="str">
        <f>TEXT(Data!$E45,"DDDD")</f>
        <v>Wednesday</v>
      </c>
      <c r="J45" s="6" t="s">
        <v>25</v>
      </c>
      <c r="K45" s="6">
        <f>ROUND(Data!$G45,0)</f>
        <v>4</v>
      </c>
      <c r="L45" t="str" cm="1">
        <f t="array" ref="L45">_xlfn.IFS(C45&lt;=15,"Very Short",C45&lt;=30,"Short",C45&lt;=60,"Medium",C45&gt;60,"Long")</f>
        <v>Long</v>
      </c>
      <c r="M45" t="str" cm="1">
        <f t="array" ref="M45">_xlfn.IFS(F45&lt;=50,"Low",F45&lt;=100,"Medium",F45&lt;=150,"High",F45&gt;150,"Very High")</f>
        <v>Very High</v>
      </c>
    </row>
    <row r="46" spans="1:13" ht="14.25" customHeight="1" x14ac:dyDescent="0.4">
      <c r="A46" s="6" t="s">
        <v>78</v>
      </c>
      <c r="B46" s="6" t="s">
        <v>68</v>
      </c>
      <c r="C46" s="6">
        <v>105</v>
      </c>
      <c r="D46" s="7" t="s">
        <v>24</v>
      </c>
      <c r="E46" s="11">
        <v>44944</v>
      </c>
      <c r="F46" s="10">
        <v>56</v>
      </c>
      <c r="G46" s="6">
        <v>3.6</v>
      </c>
      <c r="H46" s="6">
        <f>IF(MONTH(Data!$E46)&lt;=6, YEAR(Data!$E46), YEAR(Data!$E46)+1)</f>
        <v>2023</v>
      </c>
      <c r="I46" s="6" t="str">
        <f>TEXT(Data!$E46,"DDDD")</f>
        <v>Wednesday</v>
      </c>
      <c r="J46" s="6" t="s">
        <v>14</v>
      </c>
      <c r="K46" s="6">
        <f>ROUND(Data!$G46,0)</f>
        <v>4</v>
      </c>
      <c r="L46" t="str" cm="1">
        <f t="array" ref="L46">_xlfn.IFS(C46&lt;=15,"Very Short",C46&lt;=30,"Short",C46&lt;=60,"Medium",C46&gt;60,"Long")</f>
        <v>Long</v>
      </c>
      <c r="M46" t="str" cm="1">
        <f t="array" ref="M46">_xlfn.IFS(F46&lt;=50,"Low",F46&lt;=100,"Medium",F46&lt;=150,"High",F46&gt;150,"Very High")</f>
        <v>Medium</v>
      </c>
    </row>
    <row r="47" spans="1:13" ht="14.25" customHeight="1" x14ac:dyDescent="0.4">
      <c r="A47" s="6" t="s">
        <v>79</v>
      </c>
      <c r="B47" s="6" t="s">
        <v>23</v>
      </c>
      <c r="C47" s="6">
        <v>13</v>
      </c>
      <c r="D47" s="7" t="s">
        <v>35</v>
      </c>
      <c r="E47" s="11">
        <v>44945</v>
      </c>
      <c r="F47" s="10">
        <v>32</v>
      </c>
      <c r="G47" s="6">
        <v>4.4000000000000004</v>
      </c>
      <c r="H47" s="6">
        <f>IF(MONTH(Data!$E47)&lt;=6, YEAR(Data!$E47), YEAR(Data!$E47)+1)</f>
        <v>2023</v>
      </c>
      <c r="I47" s="6" t="str">
        <f>TEXT(Data!$E47,"DDDD")</f>
        <v>Thursday</v>
      </c>
      <c r="J47" s="6" t="s">
        <v>47</v>
      </c>
      <c r="K47" s="6">
        <f>ROUND(Data!$G47,0)</f>
        <v>4</v>
      </c>
      <c r="L47" t="str" cm="1">
        <f t="array" ref="L47">_xlfn.IFS(C47&lt;=15,"Very Short",C47&lt;=30,"Short",C47&lt;=60,"Medium",C47&gt;60,"Long")</f>
        <v>Very Short</v>
      </c>
      <c r="M47" t="str" cm="1">
        <f t="array" ref="M47">_xlfn.IFS(F47&lt;=50,"Low",F47&lt;=100,"Medium",F47&lt;=150,"High",F47&gt;150,"Very High")</f>
        <v>Low</v>
      </c>
    </row>
    <row r="48" spans="1:13" ht="14.25" customHeight="1" x14ac:dyDescent="0.4">
      <c r="A48" s="6" t="s">
        <v>80</v>
      </c>
      <c r="B48" s="6" t="s">
        <v>21</v>
      </c>
      <c r="C48" s="6">
        <v>131</v>
      </c>
      <c r="D48" s="7" t="s">
        <v>24</v>
      </c>
      <c r="E48" s="11">
        <v>44945</v>
      </c>
      <c r="F48" s="10">
        <v>78</v>
      </c>
      <c r="G48" s="6">
        <v>4.4000000000000004</v>
      </c>
      <c r="H48" s="6">
        <f>IF(MONTH(Data!$E48)&lt;=6, YEAR(Data!$E48), YEAR(Data!$E48)+1)</f>
        <v>2023</v>
      </c>
      <c r="I48" s="6" t="str">
        <f>TEXT(Data!$E48,"DDDD")</f>
        <v>Thursday</v>
      </c>
      <c r="J48" s="6" t="s">
        <v>25</v>
      </c>
      <c r="K48" s="6">
        <f>ROUND(Data!$G48,0)</f>
        <v>4</v>
      </c>
      <c r="L48" t="str" cm="1">
        <f t="array" ref="L48">_xlfn.IFS(C48&lt;=15,"Very Short",C48&lt;=30,"Short",C48&lt;=60,"Medium",C48&gt;60,"Long")</f>
        <v>Long</v>
      </c>
      <c r="M48" t="str" cm="1">
        <f t="array" ref="M48">_xlfn.IFS(F48&lt;=50,"Low",F48&lt;=100,"Medium",F48&lt;=150,"High",F48&gt;150,"Very High")</f>
        <v>Medium</v>
      </c>
    </row>
    <row r="49" spans="1:13" ht="14.25" customHeight="1" x14ac:dyDescent="0.4">
      <c r="A49" s="6" t="s">
        <v>81</v>
      </c>
      <c r="B49" s="6" t="s">
        <v>16</v>
      </c>
      <c r="C49" s="6">
        <v>104</v>
      </c>
      <c r="D49" s="7" t="s">
        <v>13</v>
      </c>
      <c r="E49" s="11">
        <v>44945</v>
      </c>
      <c r="F49" s="10">
        <v>86</v>
      </c>
      <c r="G49" s="6">
        <v>4</v>
      </c>
      <c r="H49" s="6">
        <f>IF(MONTH(Data!$E49)&lt;=6, YEAR(Data!$E49), YEAR(Data!$E49)+1)</f>
        <v>2023</v>
      </c>
      <c r="I49" s="6" t="str">
        <f>TEXT(Data!$E49,"DDDD")</f>
        <v>Thursday</v>
      </c>
      <c r="J49" s="6" t="s">
        <v>14</v>
      </c>
      <c r="K49" s="6">
        <f>ROUND(Data!$G49,0)</f>
        <v>4</v>
      </c>
      <c r="L49" t="str" cm="1">
        <f t="array" ref="L49">_xlfn.IFS(C49&lt;=15,"Very Short",C49&lt;=30,"Short",C49&lt;=60,"Medium",C49&gt;60,"Long")</f>
        <v>Long</v>
      </c>
      <c r="M49" t="str" cm="1">
        <f t="array" ref="M49">_xlfn.IFS(F49&lt;=50,"Low",F49&lt;=100,"Medium",F49&lt;=150,"High",F49&gt;150,"Very High")</f>
        <v>Medium</v>
      </c>
    </row>
    <row r="50" spans="1:13" ht="14.25" customHeight="1" x14ac:dyDescent="0.4">
      <c r="A50" s="6" t="s">
        <v>82</v>
      </c>
      <c r="B50" s="6" t="s">
        <v>12</v>
      </c>
      <c r="C50" s="6">
        <v>90</v>
      </c>
      <c r="D50" s="7" t="s">
        <v>19</v>
      </c>
      <c r="E50" s="11">
        <v>44946</v>
      </c>
      <c r="F50" s="10">
        <v>64</v>
      </c>
      <c r="G50" s="6">
        <v>3.8</v>
      </c>
      <c r="H50" s="6">
        <f>IF(MONTH(Data!$E50)&lt;=6, YEAR(Data!$E50), YEAR(Data!$E50)+1)</f>
        <v>2023</v>
      </c>
      <c r="I50" s="6" t="str">
        <f>TEXT(Data!$E50,"DDDD")</f>
        <v>Friday</v>
      </c>
      <c r="J50" s="6" t="s">
        <v>14</v>
      </c>
      <c r="K50" s="6">
        <f>ROUND(Data!$G50,0)</f>
        <v>4</v>
      </c>
      <c r="L50" t="str" cm="1">
        <f t="array" ref="L50">_xlfn.IFS(C50&lt;=15,"Very Short",C50&lt;=30,"Short",C50&lt;=60,"Medium",C50&gt;60,"Long")</f>
        <v>Long</v>
      </c>
      <c r="M50" t="str" cm="1">
        <f t="array" ref="M50">_xlfn.IFS(F50&lt;=50,"Low",F50&lt;=100,"Medium",F50&lt;=150,"High",F50&gt;150,"Very High")</f>
        <v>Medium</v>
      </c>
    </row>
    <row r="51" spans="1:13" ht="14.25" customHeight="1" x14ac:dyDescent="0.4">
      <c r="A51" s="6" t="s">
        <v>83</v>
      </c>
      <c r="B51" s="6" t="s">
        <v>58</v>
      </c>
      <c r="C51" s="6">
        <v>37</v>
      </c>
      <c r="D51" s="7" t="s">
        <v>19</v>
      </c>
      <c r="E51" s="11">
        <v>44946</v>
      </c>
      <c r="F51" s="10">
        <v>96</v>
      </c>
      <c r="G51" s="6">
        <v>3.6</v>
      </c>
      <c r="H51" s="6">
        <f>IF(MONTH(Data!$E51)&lt;=6, YEAR(Data!$E51), YEAR(Data!$E51)+1)</f>
        <v>2023</v>
      </c>
      <c r="I51" s="6" t="str">
        <f>TEXT(Data!$E51,"DDDD")</f>
        <v>Friday</v>
      </c>
      <c r="J51" s="6" t="s">
        <v>27</v>
      </c>
      <c r="K51" s="6">
        <f>ROUND(Data!$G51,0)</f>
        <v>4</v>
      </c>
      <c r="L51" t="str" cm="1">
        <f t="array" ref="L51">_xlfn.IFS(C51&lt;=15,"Very Short",C51&lt;=30,"Short",C51&lt;=60,"Medium",C51&gt;60,"Long")</f>
        <v>Medium</v>
      </c>
      <c r="M51" t="str" cm="1">
        <f t="array" ref="M51">_xlfn.IFS(F51&lt;=50,"Low",F51&lt;=100,"Medium",F51&lt;=150,"High",F51&gt;150,"Very High")</f>
        <v>Medium</v>
      </c>
    </row>
    <row r="52" spans="1:13" ht="14.25" customHeight="1" x14ac:dyDescent="0.4">
      <c r="A52" s="6" t="s">
        <v>84</v>
      </c>
      <c r="B52" s="6" t="s">
        <v>40</v>
      </c>
      <c r="C52" s="6">
        <v>149</v>
      </c>
      <c r="D52" s="7" t="s">
        <v>24</v>
      </c>
      <c r="E52" s="11">
        <v>44946</v>
      </c>
      <c r="F52" s="10">
        <v>72</v>
      </c>
      <c r="G52" s="6">
        <v>4.3</v>
      </c>
      <c r="H52" s="6">
        <f>IF(MONTH(Data!$E52)&lt;=6, YEAR(Data!$E52), YEAR(Data!$E52)+1)</f>
        <v>2023</v>
      </c>
      <c r="I52" s="6" t="str">
        <f>TEXT(Data!$E52,"DDDD")</f>
        <v>Friday</v>
      </c>
      <c r="J52" s="6" t="s">
        <v>25</v>
      </c>
      <c r="K52" s="6">
        <f>ROUND(Data!$G52,0)</f>
        <v>4</v>
      </c>
      <c r="L52" t="str" cm="1">
        <f t="array" ref="L52">_xlfn.IFS(C52&lt;=15,"Very Short",C52&lt;=30,"Short",C52&lt;=60,"Medium",C52&gt;60,"Long")</f>
        <v>Long</v>
      </c>
      <c r="M52" t="str" cm="1">
        <f t="array" ref="M52">_xlfn.IFS(F52&lt;=50,"Low",F52&lt;=100,"Medium",F52&lt;=150,"High",F52&gt;150,"Very High")</f>
        <v>Medium</v>
      </c>
    </row>
    <row r="53" spans="1:13" ht="14.25" customHeight="1" x14ac:dyDescent="0.4">
      <c r="A53" s="6" t="s">
        <v>85</v>
      </c>
      <c r="B53" s="6" t="s">
        <v>38</v>
      </c>
      <c r="C53" s="6">
        <v>100</v>
      </c>
      <c r="D53" s="7" t="s">
        <v>31</v>
      </c>
      <c r="E53" s="11">
        <v>44947</v>
      </c>
      <c r="F53" s="10">
        <v>135</v>
      </c>
      <c r="G53" s="6">
        <v>3.8</v>
      </c>
      <c r="H53" s="6">
        <f>IF(MONTH(Data!$E53)&lt;=6, YEAR(Data!$E53), YEAR(Data!$E53)+1)</f>
        <v>2023</v>
      </c>
      <c r="I53" s="6" t="str">
        <f>TEXT(Data!$E53,"DDDD")</f>
        <v>Saturday</v>
      </c>
      <c r="J53" s="6" t="s">
        <v>14</v>
      </c>
      <c r="K53" s="6">
        <f>ROUND(Data!$G53,0)</f>
        <v>4</v>
      </c>
      <c r="L53" t="str" cm="1">
        <f t="array" ref="L53">_xlfn.IFS(C53&lt;=15,"Very Short",C53&lt;=30,"Short",C53&lt;=60,"Medium",C53&gt;60,"Long")</f>
        <v>Long</v>
      </c>
      <c r="M53" t="str" cm="1">
        <f t="array" ref="M53">_xlfn.IFS(F53&lt;=50,"Low",F53&lt;=100,"Medium",F53&lt;=150,"High",F53&gt;150,"Very High")</f>
        <v>High</v>
      </c>
    </row>
    <row r="54" spans="1:13" ht="14.25" customHeight="1" x14ac:dyDescent="0.4">
      <c r="A54" s="6" t="s">
        <v>86</v>
      </c>
      <c r="B54" s="6" t="s">
        <v>38</v>
      </c>
      <c r="C54" s="6">
        <v>79</v>
      </c>
      <c r="D54" s="7" t="s">
        <v>35</v>
      </c>
      <c r="E54" s="11">
        <v>44947</v>
      </c>
      <c r="F54" s="10">
        <v>140</v>
      </c>
      <c r="G54" s="6">
        <v>4.5</v>
      </c>
      <c r="H54" s="6">
        <f>IF(MONTH(Data!$E54)&lt;=6, YEAR(Data!$E54), YEAR(Data!$E54)+1)</f>
        <v>2023</v>
      </c>
      <c r="I54" s="6" t="str">
        <f>TEXT(Data!$E54,"DDDD")</f>
        <v>Saturday</v>
      </c>
      <c r="J54" s="6" t="s">
        <v>14</v>
      </c>
      <c r="K54" s="6">
        <f>ROUND(Data!$G54,0)</f>
        <v>5</v>
      </c>
      <c r="L54" t="str" cm="1">
        <f t="array" ref="L54">_xlfn.IFS(C54&lt;=15,"Very Short",C54&lt;=30,"Short",C54&lt;=60,"Medium",C54&gt;60,"Long")</f>
        <v>Long</v>
      </c>
      <c r="M54" t="str" cm="1">
        <f t="array" ref="M54">_xlfn.IFS(F54&lt;=50,"Low",F54&lt;=100,"Medium",F54&lt;=150,"High",F54&gt;150,"Very High")</f>
        <v>High</v>
      </c>
    </row>
    <row r="55" spans="1:13" ht="14.25" customHeight="1" x14ac:dyDescent="0.4">
      <c r="A55" s="6" t="s">
        <v>87</v>
      </c>
      <c r="B55" s="6" t="s">
        <v>88</v>
      </c>
      <c r="C55" s="6">
        <v>157</v>
      </c>
      <c r="D55" s="7" t="s">
        <v>24</v>
      </c>
      <c r="E55" s="11">
        <v>44947</v>
      </c>
      <c r="F55" s="10">
        <v>69</v>
      </c>
      <c r="G55" s="6">
        <v>4.5</v>
      </c>
      <c r="H55" s="6">
        <f>IF(MONTH(Data!$E55)&lt;=6, YEAR(Data!$E55), YEAR(Data!$E55)+1)</f>
        <v>2023</v>
      </c>
      <c r="I55" s="6" t="str">
        <f>TEXT(Data!$E55,"DDDD")</f>
        <v>Saturday</v>
      </c>
      <c r="J55" s="6" t="s">
        <v>25</v>
      </c>
      <c r="K55" s="6">
        <f>ROUND(Data!$G55,0)</f>
        <v>5</v>
      </c>
      <c r="L55" t="str" cm="1">
        <f t="array" ref="L55">_xlfn.IFS(C55&lt;=15,"Very Short",C55&lt;=30,"Short",C55&lt;=60,"Medium",C55&gt;60,"Long")</f>
        <v>Long</v>
      </c>
      <c r="M55" t="str" cm="1">
        <f t="array" ref="M55">_xlfn.IFS(F55&lt;=50,"Low",F55&lt;=100,"Medium",F55&lt;=150,"High",F55&gt;150,"Very High")</f>
        <v>Medium</v>
      </c>
    </row>
    <row r="56" spans="1:13" ht="14.25" customHeight="1" x14ac:dyDescent="0.4">
      <c r="A56" s="6" t="s">
        <v>89</v>
      </c>
      <c r="B56" s="6" t="s">
        <v>38</v>
      </c>
      <c r="C56" s="6">
        <v>59</v>
      </c>
      <c r="D56" s="7" t="s">
        <v>13</v>
      </c>
      <c r="E56" s="11">
        <v>44948</v>
      </c>
      <c r="F56" s="10">
        <v>136</v>
      </c>
      <c r="G56" s="6">
        <v>4.5999999999999996</v>
      </c>
      <c r="H56" s="6">
        <f>IF(MONTH(Data!$E56)&lt;=6, YEAR(Data!$E56), YEAR(Data!$E56)+1)</f>
        <v>2023</v>
      </c>
      <c r="I56" s="6" t="str">
        <f>TEXT(Data!$E56,"DDDD")</f>
        <v>Sunday</v>
      </c>
      <c r="J56" s="6" t="s">
        <v>27</v>
      </c>
      <c r="K56" s="6">
        <f>ROUND(Data!$G56,0)</f>
        <v>5</v>
      </c>
      <c r="L56" t="str" cm="1">
        <f t="array" ref="L56">_xlfn.IFS(C56&lt;=15,"Very Short",C56&lt;=30,"Short",C56&lt;=60,"Medium",C56&gt;60,"Long")</f>
        <v>Medium</v>
      </c>
      <c r="M56" t="str" cm="1">
        <f t="array" ref="M56">_xlfn.IFS(F56&lt;=50,"Low",F56&lt;=100,"Medium",F56&lt;=150,"High",F56&gt;150,"Very High")</f>
        <v>High</v>
      </c>
    </row>
    <row r="57" spans="1:13" ht="14.25" customHeight="1" x14ac:dyDescent="0.4">
      <c r="A57" s="6" t="s">
        <v>90</v>
      </c>
      <c r="B57" s="6" t="s">
        <v>58</v>
      </c>
      <c r="C57" s="6">
        <v>83</v>
      </c>
      <c r="D57" s="7" t="s">
        <v>24</v>
      </c>
      <c r="E57" s="11">
        <v>44948</v>
      </c>
      <c r="F57" s="10">
        <v>28</v>
      </c>
      <c r="G57" s="6">
        <v>4.5</v>
      </c>
      <c r="H57" s="6">
        <f>IF(MONTH(Data!$E57)&lt;=6, YEAR(Data!$E57), YEAR(Data!$E57)+1)</f>
        <v>2023</v>
      </c>
      <c r="I57" s="6" t="str">
        <f>TEXT(Data!$E57,"DDDD")</f>
        <v>Sunday</v>
      </c>
      <c r="J57" s="6" t="s">
        <v>14</v>
      </c>
      <c r="K57" s="6">
        <f>ROUND(Data!$G57,0)</f>
        <v>5</v>
      </c>
      <c r="L57" t="str" cm="1">
        <f t="array" ref="L57">_xlfn.IFS(C57&lt;=15,"Very Short",C57&lt;=30,"Short",C57&lt;=60,"Medium",C57&gt;60,"Long")</f>
        <v>Long</v>
      </c>
      <c r="M57" t="str" cm="1">
        <f t="array" ref="M57">_xlfn.IFS(F57&lt;=50,"Low",F57&lt;=100,"Medium",F57&lt;=150,"High",F57&gt;150,"Very High")</f>
        <v>Low</v>
      </c>
    </row>
    <row r="58" spans="1:13" ht="14.25" customHeight="1" x14ac:dyDescent="0.4">
      <c r="A58" s="6" t="s">
        <v>91</v>
      </c>
      <c r="B58" s="6" t="s">
        <v>88</v>
      </c>
      <c r="C58" s="6">
        <v>58</v>
      </c>
      <c r="D58" s="7" t="s">
        <v>19</v>
      </c>
      <c r="E58" s="11">
        <v>44949</v>
      </c>
      <c r="F58" s="10">
        <v>135</v>
      </c>
      <c r="G58" s="6">
        <v>3.3</v>
      </c>
      <c r="H58" s="6">
        <f>IF(MONTH(Data!$E58)&lt;=6, YEAR(Data!$E58), YEAR(Data!$E58)+1)</f>
        <v>2023</v>
      </c>
      <c r="I58" s="6" t="str">
        <f>TEXT(Data!$E58,"DDDD")</f>
        <v>Monday</v>
      </c>
      <c r="J58" s="6" t="s">
        <v>27</v>
      </c>
      <c r="K58" s="6">
        <f>ROUND(Data!$G58,0)</f>
        <v>3</v>
      </c>
      <c r="L58" t="str" cm="1">
        <f t="array" ref="L58">_xlfn.IFS(C58&lt;=15,"Very Short",C58&lt;=30,"Short",C58&lt;=60,"Medium",C58&gt;60,"Long")</f>
        <v>Medium</v>
      </c>
      <c r="M58" t="str" cm="1">
        <f t="array" ref="M58">_xlfn.IFS(F58&lt;=50,"Low",F58&lt;=100,"Medium",F58&lt;=150,"High",F58&gt;150,"Very High")</f>
        <v>High</v>
      </c>
    </row>
    <row r="59" spans="1:13" ht="14.25" customHeight="1" x14ac:dyDescent="0.4">
      <c r="A59" s="6" t="s">
        <v>92</v>
      </c>
      <c r="B59" s="6" t="s">
        <v>55</v>
      </c>
      <c r="C59" s="6">
        <v>118</v>
      </c>
      <c r="D59" s="7" t="s">
        <v>19</v>
      </c>
      <c r="E59" s="11">
        <v>44949</v>
      </c>
      <c r="F59" s="10">
        <v>126</v>
      </c>
      <c r="G59" s="6">
        <v>2.2999999999999998</v>
      </c>
      <c r="H59" s="6">
        <f>IF(MONTH(Data!$E59)&lt;=6, YEAR(Data!$E59), YEAR(Data!$E59)+1)</f>
        <v>2023</v>
      </c>
      <c r="I59" s="6" t="str">
        <f>TEXT(Data!$E59,"DDDD")</f>
        <v>Monday</v>
      </c>
      <c r="J59" s="6" t="s">
        <v>14</v>
      </c>
      <c r="K59" s="6">
        <f>ROUND(Data!$G59,0)</f>
        <v>2</v>
      </c>
      <c r="L59" t="str" cm="1">
        <f t="array" ref="L59">_xlfn.IFS(C59&lt;=15,"Very Short",C59&lt;=30,"Short",C59&lt;=60,"Medium",C59&gt;60,"Long")</f>
        <v>Long</v>
      </c>
      <c r="M59" t="str" cm="1">
        <f t="array" ref="M59">_xlfn.IFS(F59&lt;=50,"Low",F59&lt;=100,"Medium",F59&lt;=150,"High",F59&gt;150,"Very High")</f>
        <v>High</v>
      </c>
    </row>
    <row r="60" spans="1:13" ht="14.25" customHeight="1" x14ac:dyDescent="0.4">
      <c r="A60" s="6" t="s">
        <v>93</v>
      </c>
      <c r="B60" s="6" t="s">
        <v>23</v>
      </c>
      <c r="C60" s="6">
        <v>63</v>
      </c>
      <c r="D60" s="7" t="s">
        <v>13</v>
      </c>
      <c r="E60" s="11">
        <v>44949</v>
      </c>
      <c r="F60" s="10">
        <v>160</v>
      </c>
      <c r="G60" s="6">
        <v>4.3</v>
      </c>
      <c r="H60" s="6">
        <f>IF(MONTH(Data!$E60)&lt;=6, YEAR(Data!$E60), YEAR(Data!$E60)+1)</f>
        <v>2023</v>
      </c>
      <c r="I60" s="6" t="str">
        <f>TEXT(Data!$E60,"DDDD")</f>
        <v>Monday</v>
      </c>
      <c r="J60" s="6" t="s">
        <v>14</v>
      </c>
      <c r="K60" s="6">
        <f>ROUND(Data!$G60,0)</f>
        <v>4</v>
      </c>
      <c r="L60" t="str" cm="1">
        <f t="array" ref="L60">_xlfn.IFS(C60&lt;=15,"Very Short",C60&lt;=30,"Short",C60&lt;=60,"Medium",C60&gt;60,"Long")</f>
        <v>Long</v>
      </c>
      <c r="M60" t="str" cm="1">
        <f t="array" ref="M60">_xlfn.IFS(F60&lt;=50,"Low",F60&lt;=100,"Medium",F60&lt;=150,"High",F60&gt;150,"Very High")</f>
        <v>Very High</v>
      </c>
    </row>
    <row r="61" spans="1:13" ht="14.25" customHeight="1" x14ac:dyDescent="0.4">
      <c r="A61" s="6" t="s">
        <v>94</v>
      </c>
      <c r="B61" s="6" t="s">
        <v>88</v>
      </c>
      <c r="C61" s="6">
        <v>95</v>
      </c>
      <c r="D61" s="7" t="s">
        <v>19</v>
      </c>
      <c r="E61" s="11">
        <v>44950</v>
      </c>
      <c r="F61" s="10">
        <v>48</v>
      </c>
      <c r="G61" s="6">
        <v>4.5999999999999996</v>
      </c>
      <c r="H61" s="6">
        <f>IF(MONTH(Data!$E61)&lt;=6, YEAR(Data!$E61), YEAR(Data!$E61)+1)</f>
        <v>2023</v>
      </c>
      <c r="I61" s="6" t="str">
        <f>TEXT(Data!$E61,"DDDD")</f>
        <v>Tuesday</v>
      </c>
      <c r="J61" s="6" t="s">
        <v>14</v>
      </c>
      <c r="K61" s="6">
        <f>ROUND(Data!$G61,0)</f>
        <v>5</v>
      </c>
      <c r="L61" t="str" cm="1">
        <f t="array" ref="L61">_xlfn.IFS(C61&lt;=15,"Very Short",C61&lt;=30,"Short",C61&lt;=60,"Medium",C61&gt;60,"Long")</f>
        <v>Long</v>
      </c>
      <c r="M61" t="str" cm="1">
        <f t="array" ref="M61">_xlfn.IFS(F61&lt;=50,"Low",F61&lt;=100,"Medium",F61&lt;=150,"High",F61&gt;150,"Very High")</f>
        <v>Low</v>
      </c>
    </row>
    <row r="62" spans="1:13" ht="14.25" customHeight="1" x14ac:dyDescent="0.4">
      <c r="A62" s="6" t="s">
        <v>95</v>
      </c>
      <c r="B62" s="6" t="s">
        <v>38</v>
      </c>
      <c r="C62" s="6">
        <v>74</v>
      </c>
      <c r="D62" s="7" t="s">
        <v>24</v>
      </c>
      <c r="E62" s="11">
        <v>44950</v>
      </c>
      <c r="F62" s="10">
        <v>66</v>
      </c>
      <c r="G62" s="6">
        <v>4</v>
      </c>
      <c r="H62" s="6">
        <f>IF(MONTH(Data!$E62)&lt;=6, YEAR(Data!$E62), YEAR(Data!$E62)+1)</f>
        <v>2023</v>
      </c>
      <c r="I62" s="6" t="str">
        <f>TEXT(Data!$E62,"DDDD")</f>
        <v>Tuesday</v>
      </c>
      <c r="J62" s="6" t="s">
        <v>14</v>
      </c>
      <c r="K62" s="6">
        <f>ROUND(Data!$G62,0)</f>
        <v>4</v>
      </c>
      <c r="L62" t="str" cm="1">
        <f t="array" ref="L62">_xlfn.IFS(C62&lt;=15,"Very Short",C62&lt;=30,"Short",C62&lt;=60,"Medium",C62&gt;60,"Long")</f>
        <v>Long</v>
      </c>
      <c r="M62" t="str" cm="1">
        <f t="array" ref="M62">_xlfn.IFS(F62&lt;=50,"Low",F62&lt;=100,"Medium",F62&lt;=150,"High",F62&gt;150,"Very High")</f>
        <v>Medium</v>
      </c>
    </row>
    <row r="63" spans="1:13" ht="14.25" customHeight="1" x14ac:dyDescent="0.4">
      <c r="A63" s="6" t="s">
        <v>96</v>
      </c>
      <c r="B63" s="6" t="s">
        <v>34</v>
      </c>
      <c r="C63" s="6">
        <v>130</v>
      </c>
      <c r="D63" s="7" t="s">
        <v>31</v>
      </c>
      <c r="E63" s="11">
        <v>44950</v>
      </c>
      <c r="F63" s="10">
        <v>126</v>
      </c>
      <c r="G63" s="6">
        <v>2.5</v>
      </c>
      <c r="H63" s="6">
        <f>IF(MONTH(Data!$E63)&lt;=6, YEAR(Data!$E63), YEAR(Data!$E63)+1)</f>
        <v>2023</v>
      </c>
      <c r="I63" s="6" t="str">
        <f>TEXT(Data!$E63,"DDDD")</f>
        <v>Tuesday</v>
      </c>
      <c r="J63" s="6" t="s">
        <v>25</v>
      </c>
      <c r="K63" s="6">
        <f>ROUND(Data!$G63,0)</f>
        <v>3</v>
      </c>
      <c r="L63" t="str" cm="1">
        <f t="array" ref="L63">_xlfn.IFS(C63&lt;=15,"Very Short",C63&lt;=30,"Short",C63&lt;=60,"Medium",C63&gt;60,"Long")</f>
        <v>Long</v>
      </c>
      <c r="M63" t="str" cm="1">
        <f t="array" ref="M63">_xlfn.IFS(F63&lt;=50,"Low",F63&lt;=100,"Medium",F63&lt;=150,"High",F63&gt;150,"Very High")</f>
        <v>High</v>
      </c>
    </row>
    <row r="64" spans="1:13" ht="14.25" customHeight="1" x14ac:dyDescent="0.4">
      <c r="A64" s="6" t="s">
        <v>97</v>
      </c>
      <c r="B64" s="6" t="s">
        <v>55</v>
      </c>
      <c r="C64" s="6">
        <v>110</v>
      </c>
      <c r="D64" s="7" t="s">
        <v>35</v>
      </c>
      <c r="E64" s="11">
        <v>44950</v>
      </c>
      <c r="F64" s="10">
        <v>96</v>
      </c>
      <c r="G64" s="6">
        <v>5</v>
      </c>
      <c r="H64" s="6">
        <f>IF(MONTH(Data!$E64)&lt;=6, YEAR(Data!$E64), YEAR(Data!$E64)+1)</f>
        <v>2023</v>
      </c>
      <c r="I64" s="6" t="str">
        <f>TEXT(Data!$E64,"DDDD")</f>
        <v>Tuesday</v>
      </c>
      <c r="J64" s="6" t="s">
        <v>14</v>
      </c>
      <c r="K64" s="6">
        <f>ROUND(Data!$G64,0)</f>
        <v>5</v>
      </c>
      <c r="L64" t="str" cm="1">
        <f t="array" ref="L64">_xlfn.IFS(C64&lt;=15,"Very Short",C64&lt;=30,"Short",C64&lt;=60,"Medium",C64&gt;60,"Long")</f>
        <v>Long</v>
      </c>
      <c r="M64" t="str" cm="1">
        <f t="array" ref="M64">_xlfn.IFS(F64&lt;=50,"Low",F64&lt;=100,"Medium",F64&lt;=150,"High",F64&gt;150,"Very High")</f>
        <v>Medium</v>
      </c>
    </row>
    <row r="65" spans="1:13" ht="14.25" customHeight="1" x14ac:dyDescent="0.4">
      <c r="A65" s="6" t="s">
        <v>98</v>
      </c>
      <c r="B65" s="6" t="s">
        <v>38</v>
      </c>
      <c r="C65" s="6">
        <v>71</v>
      </c>
      <c r="D65" s="7" t="s">
        <v>13</v>
      </c>
      <c r="E65" s="11">
        <v>44951</v>
      </c>
      <c r="F65" s="10">
        <v>90</v>
      </c>
      <c r="G65" s="6">
        <v>3.8</v>
      </c>
      <c r="H65" s="6">
        <f>IF(MONTH(Data!$E65)&lt;=6, YEAR(Data!$E65), YEAR(Data!$E65)+1)</f>
        <v>2023</v>
      </c>
      <c r="I65" s="6" t="str">
        <f>TEXT(Data!$E65,"DDDD")</f>
        <v>Wednesday</v>
      </c>
      <c r="J65" s="6" t="s">
        <v>14</v>
      </c>
      <c r="K65" s="6">
        <f>ROUND(Data!$G65,0)</f>
        <v>4</v>
      </c>
      <c r="L65" t="str" cm="1">
        <f t="array" ref="L65">_xlfn.IFS(C65&lt;=15,"Very Short",C65&lt;=30,"Short",C65&lt;=60,"Medium",C65&gt;60,"Long")</f>
        <v>Long</v>
      </c>
      <c r="M65" t="str" cm="1">
        <f t="array" ref="M65">_xlfn.IFS(F65&lt;=50,"Low",F65&lt;=100,"Medium",F65&lt;=150,"High",F65&gt;150,"Very High")</f>
        <v>Medium</v>
      </c>
    </row>
    <row r="66" spans="1:13" ht="14.25" customHeight="1" x14ac:dyDescent="0.4">
      <c r="A66" s="6" t="s">
        <v>99</v>
      </c>
      <c r="B66" s="6" t="s">
        <v>68</v>
      </c>
      <c r="C66" s="6">
        <v>147</v>
      </c>
      <c r="D66" s="7" t="s">
        <v>31</v>
      </c>
      <c r="E66" s="11">
        <v>44951</v>
      </c>
      <c r="F66" s="10">
        <v>105</v>
      </c>
      <c r="G66" s="6">
        <v>4.4000000000000004</v>
      </c>
      <c r="H66" s="6">
        <f>IF(MONTH(Data!$E66)&lt;=6, YEAR(Data!$E66), YEAR(Data!$E66)+1)</f>
        <v>2023</v>
      </c>
      <c r="I66" s="6" t="str">
        <f>TEXT(Data!$E66,"DDDD")</f>
        <v>Wednesday</v>
      </c>
      <c r="J66" s="6" t="s">
        <v>25</v>
      </c>
      <c r="K66" s="6">
        <f>ROUND(Data!$G66,0)</f>
        <v>4</v>
      </c>
      <c r="L66" t="str" cm="1">
        <f t="array" ref="L66">_xlfn.IFS(C66&lt;=15,"Very Short",C66&lt;=30,"Short",C66&lt;=60,"Medium",C66&gt;60,"Long")</f>
        <v>Long</v>
      </c>
      <c r="M66" t="str" cm="1">
        <f t="array" ref="M66">_xlfn.IFS(F66&lt;=50,"Low",F66&lt;=100,"Medium",F66&lt;=150,"High",F66&gt;150,"Very High")</f>
        <v>High</v>
      </c>
    </row>
    <row r="67" spans="1:13" ht="14.25" customHeight="1" x14ac:dyDescent="0.4">
      <c r="A67" s="6" t="s">
        <v>100</v>
      </c>
      <c r="B67" s="6" t="s">
        <v>16</v>
      </c>
      <c r="C67" s="6">
        <v>69</v>
      </c>
      <c r="D67" s="7" t="s">
        <v>19</v>
      </c>
      <c r="E67" s="11">
        <v>44952</v>
      </c>
      <c r="F67" s="10">
        <v>40</v>
      </c>
      <c r="G67" s="6">
        <v>3.8</v>
      </c>
      <c r="H67" s="6">
        <f>IF(MONTH(Data!$E67)&lt;=6, YEAR(Data!$E67), YEAR(Data!$E67)+1)</f>
        <v>2023</v>
      </c>
      <c r="I67" s="6" t="str">
        <f>TEXT(Data!$E67,"DDDD")</f>
        <v>Thursday</v>
      </c>
      <c r="J67" s="6" t="s">
        <v>14</v>
      </c>
      <c r="K67" s="6">
        <f>ROUND(Data!$G67,0)</f>
        <v>4</v>
      </c>
      <c r="L67" t="str" cm="1">
        <f t="array" ref="L67">_xlfn.IFS(C67&lt;=15,"Very Short",C67&lt;=30,"Short",C67&lt;=60,"Medium",C67&gt;60,"Long")</f>
        <v>Long</v>
      </c>
      <c r="M67" t="str" cm="1">
        <f t="array" ref="M67">_xlfn.IFS(F67&lt;=50,"Low",F67&lt;=100,"Medium",F67&lt;=150,"High",F67&gt;150,"Very High")</f>
        <v>Low</v>
      </c>
    </row>
    <row r="68" spans="1:13" ht="14.25" customHeight="1" x14ac:dyDescent="0.4">
      <c r="A68" s="6" t="s">
        <v>101</v>
      </c>
      <c r="B68" s="6" t="s">
        <v>55</v>
      </c>
      <c r="C68" s="6">
        <v>50</v>
      </c>
      <c r="D68" s="7" t="s">
        <v>13</v>
      </c>
      <c r="E68" s="11">
        <v>44952</v>
      </c>
      <c r="F68" s="10">
        <v>60</v>
      </c>
      <c r="G68" s="6">
        <v>2</v>
      </c>
      <c r="H68" s="6">
        <f>IF(MONTH(Data!$E68)&lt;=6, YEAR(Data!$E68), YEAR(Data!$E68)+1)</f>
        <v>2023</v>
      </c>
      <c r="I68" s="6" t="str">
        <f>TEXT(Data!$E68,"DDDD")</f>
        <v>Thursday</v>
      </c>
      <c r="J68" s="6" t="s">
        <v>27</v>
      </c>
      <c r="K68" s="6">
        <f>ROUND(Data!$G68,0)</f>
        <v>2</v>
      </c>
      <c r="L68" t="str" cm="1">
        <f t="array" ref="L68">_xlfn.IFS(C68&lt;=15,"Very Short",C68&lt;=30,"Short",C68&lt;=60,"Medium",C68&gt;60,"Long")</f>
        <v>Medium</v>
      </c>
      <c r="M68" t="str" cm="1">
        <f t="array" ref="M68">_xlfn.IFS(F68&lt;=50,"Low",F68&lt;=100,"Medium",F68&lt;=150,"High",F68&gt;150,"Very High")</f>
        <v>Medium</v>
      </c>
    </row>
    <row r="69" spans="1:13" ht="14.25" customHeight="1" x14ac:dyDescent="0.4">
      <c r="A69" s="6" t="s">
        <v>102</v>
      </c>
      <c r="B69" s="6" t="s">
        <v>34</v>
      </c>
      <c r="C69" s="6">
        <v>124</v>
      </c>
      <c r="D69" s="7" t="s">
        <v>31</v>
      </c>
      <c r="E69" s="11">
        <v>44953</v>
      </c>
      <c r="F69" s="10">
        <v>215</v>
      </c>
      <c r="G69" s="6">
        <v>4.0999999999999996</v>
      </c>
      <c r="H69" s="6">
        <f>IF(MONTH(Data!$E69)&lt;=6, YEAR(Data!$E69), YEAR(Data!$E69)+1)</f>
        <v>2023</v>
      </c>
      <c r="I69" s="6" t="str">
        <f>TEXT(Data!$E69,"DDDD")</f>
        <v>Friday</v>
      </c>
      <c r="J69" s="6" t="s">
        <v>25</v>
      </c>
      <c r="K69" s="6">
        <f>ROUND(Data!$G69,0)</f>
        <v>4</v>
      </c>
      <c r="L69" t="str" cm="1">
        <f t="array" ref="L69">_xlfn.IFS(C69&lt;=15,"Very Short",C69&lt;=30,"Short",C69&lt;=60,"Medium",C69&gt;60,"Long")</f>
        <v>Long</v>
      </c>
      <c r="M69" t="str" cm="1">
        <f t="array" ref="M69">_xlfn.IFS(F69&lt;=50,"Low",F69&lt;=100,"Medium",F69&lt;=150,"High",F69&gt;150,"Very High")</f>
        <v>Very High</v>
      </c>
    </row>
    <row r="70" spans="1:13" ht="14.25" customHeight="1" x14ac:dyDescent="0.4">
      <c r="A70" s="6" t="s">
        <v>103</v>
      </c>
      <c r="B70" s="6" t="s">
        <v>18</v>
      </c>
      <c r="C70" s="6">
        <v>81</v>
      </c>
      <c r="D70" s="7" t="s">
        <v>24</v>
      </c>
      <c r="E70" s="11">
        <v>44953</v>
      </c>
      <c r="F70" s="10">
        <v>156</v>
      </c>
      <c r="G70" s="6">
        <v>2.6</v>
      </c>
      <c r="H70" s="6">
        <f>IF(MONTH(Data!$E70)&lt;=6, YEAR(Data!$E70), YEAR(Data!$E70)+1)</f>
        <v>2023</v>
      </c>
      <c r="I70" s="6" t="str">
        <f>TEXT(Data!$E70,"DDDD")</f>
        <v>Friday</v>
      </c>
      <c r="J70" s="6" t="s">
        <v>14</v>
      </c>
      <c r="K70" s="6">
        <f>ROUND(Data!$G70,0)</f>
        <v>3</v>
      </c>
      <c r="L70" t="str" cm="1">
        <f t="array" ref="L70">_xlfn.IFS(C70&lt;=15,"Very Short",C70&lt;=30,"Short",C70&lt;=60,"Medium",C70&gt;60,"Long")</f>
        <v>Long</v>
      </c>
      <c r="M70" t="str" cm="1">
        <f t="array" ref="M70">_xlfn.IFS(F70&lt;=50,"Low",F70&lt;=100,"Medium",F70&lt;=150,"High",F70&gt;150,"Very High")</f>
        <v>Very High</v>
      </c>
    </row>
    <row r="71" spans="1:13" ht="14.25" customHeight="1" x14ac:dyDescent="0.4">
      <c r="A71" s="6" t="s">
        <v>104</v>
      </c>
      <c r="B71" s="6" t="s">
        <v>50</v>
      </c>
      <c r="C71" s="6">
        <v>141</v>
      </c>
      <c r="D71" s="7" t="s">
        <v>35</v>
      </c>
      <c r="E71" s="11">
        <v>44953</v>
      </c>
      <c r="F71" s="10">
        <v>54</v>
      </c>
      <c r="G71" s="6">
        <v>0</v>
      </c>
      <c r="H71" s="6">
        <f>IF(MONTH(Data!$E71)&lt;=6, YEAR(Data!$E71), YEAR(Data!$E71)+1)</f>
        <v>2023</v>
      </c>
      <c r="I71" s="6" t="str">
        <f>TEXT(Data!$E71,"DDDD")</f>
        <v>Friday</v>
      </c>
      <c r="J71" s="6" t="s">
        <v>25</v>
      </c>
      <c r="K71" s="6">
        <f>ROUND(Data!$G71,0)</f>
        <v>0</v>
      </c>
      <c r="L71" t="str" cm="1">
        <f t="array" ref="L71">_xlfn.IFS(C71&lt;=15,"Very Short",C71&lt;=30,"Short",C71&lt;=60,"Medium",C71&gt;60,"Long")</f>
        <v>Long</v>
      </c>
      <c r="M71" t="str" cm="1">
        <f t="array" ref="M71">_xlfn.IFS(F71&lt;=50,"Low",F71&lt;=100,"Medium",F71&lt;=150,"High",F71&gt;150,"Very High")</f>
        <v>Medium</v>
      </c>
    </row>
    <row r="72" spans="1:13" ht="14.25" customHeight="1" x14ac:dyDescent="0.4">
      <c r="A72" s="6" t="s">
        <v>105</v>
      </c>
      <c r="B72" s="6" t="s">
        <v>50</v>
      </c>
      <c r="C72" s="6">
        <v>168</v>
      </c>
      <c r="D72" s="7" t="s">
        <v>35</v>
      </c>
      <c r="E72" s="11">
        <v>44954</v>
      </c>
      <c r="F72" s="10">
        <v>160</v>
      </c>
      <c r="G72" s="6">
        <v>3.9</v>
      </c>
      <c r="H72" s="6">
        <f>IF(MONTH(Data!$E72)&lt;=6, YEAR(Data!$E72), YEAR(Data!$E72)+1)</f>
        <v>2023</v>
      </c>
      <c r="I72" s="6" t="str">
        <f>TEXT(Data!$E72,"DDDD")</f>
        <v>Saturday</v>
      </c>
      <c r="J72" s="6" t="s">
        <v>25</v>
      </c>
      <c r="K72" s="6">
        <f>ROUND(Data!$G72,0)</f>
        <v>4</v>
      </c>
      <c r="L72" t="str" cm="1">
        <f t="array" ref="L72">_xlfn.IFS(C72&lt;=15,"Very Short",C72&lt;=30,"Short",C72&lt;=60,"Medium",C72&gt;60,"Long")</f>
        <v>Long</v>
      </c>
      <c r="M72" t="str" cm="1">
        <f t="array" ref="M72">_xlfn.IFS(F72&lt;=50,"Low",F72&lt;=100,"Medium",F72&lt;=150,"High",F72&gt;150,"Very High")</f>
        <v>Very High</v>
      </c>
    </row>
    <row r="73" spans="1:13" ht="14.25" customHeight="1" x14ac:dyDescent="0.4">
      <c r="A73" s="6" t="s">
        <v>106</v>
      </c>
      <c r="B73" s="6" t="s">
        <v>68</v>
      </c>
      <c r="C73" s="6">
        <v>101</v>
      </c>
      <c r="D73" s="7" t="s">
        <v>24</v>
      </c>
      <c r="E73" s="11">
        <v>44954</v>
      </c>
      <c r="F73" s="10">
        <v>80</v>
      </c>
      <c r="G73" s="6">
        <v>4.8</v>
      </c>
      <c r="H73" s="6">
        <f>IF(MONTH(Data!$E73)&lt;=6, YEAR(Data!$E73), YEAR(Data!$E73)+1)</f>
        <v>2023</v>
      </c>
      <c r="I73" s="6" t="str">
        <f>TEXT(Data!$E73,"DDDD")</f>
        <v>Saturday</v>
      </c>
      <c r="J73" s="6" t="s">
        <v>14</v>
      </c>
      <c r="K73" s="6">
        <f>ROUND(Data!$G73,0)</f>
        <v>5</v>
      </c>
      <c r="L73" t="str" cm="1">
        <f t="array" ref="L73">_xlfn.IFS(C73&lt;=15,"Very Short",C73&lt;=30,"Short",C73&lt;=60,"Medium",C73&gt;60,"Long")</f>
        <v>Long</v>
      </c>
      <c r="M73" t="str" cm="1">
        <f t="array" ref="M73">_xlfn.IFS(F73&lt;=50,"Low",F73&lt;=100,"Medium",F73&lt;=150,"High",F73&gt;150,"Very High")</f>
        <v>Medium</v>
      </c>
    </row>
    <row r="74" spans="1:13" ht="14.25" customHeight="1" x14ac:dyDescent="0.4">
      <c r="A74" s="6" t="s">
        <v>107</v>
      </c>
      <c r="B74" s="6" t="s">
        <v>38</v>
      </c>
      <c r="C74" s="6">
        <v>67</v>
      </c>
      <c r="D74" s="7" t="s">
        <v>24</v>
      </c>
      <c r="E74" s="11">
        <v>44954</v>
      </c>
      <c r="F74" s="10">
        <v>168</v>
      </c>
      <c r="G74" s="6">
        <v>2.6</v>
      </c>
      <c r="H74" s="6">
        <f>IF(MONTH(Data!$E74)&lt;=6, YEAR(Data!$E74), YEAR(Data!$E74)+1)</f>
        <v>2023</v>
      </c>
      <c r="I74" s="6" t="str">
        <f>TEXT(Data!$E74,"DDDD")</f>
        <v>Saturday</v>
      </c>
      <c r="J74" s="6" t="s">
        <v>14</v>
      </c>
      <c r="K74" s="6">
        <f>ROUND(Data!$G74,0)</f>
        <v>3</v>
      </c>
      <c r="L74" t="str" cm="1">
        <f t="array" ref="L74">_xlfn.IFS(C74&lt;=15,"Very Short",C74&lt;=30,"Short",C74&lt;=60,"Medium",C74&gt;60,"Long")</f>
        <v>Long</v>
      </c>
      <c r="M74" t="str" cm="1">
        <f t="array" ref="M74">_xlfn.IFS(F74&lt;=50,"Low",F74&lt;=100,"Medium",F74&lt;=150,"High",F74&gt;150,"Very High")</f>
        <v>Very High</v>
      </c>
    </row>
    <row r="75" spans="1:13" ht="14.25" customHeight="1" x14ac:dyDescent="0.4">
      <c r="A75" s="6" t="s">
        <v>108</v>
      </c>
      <c r="B75" s="6" t="s">
        <v>88</v>
      </c>
      <c r="C75" s="6">
        <v>114</v>
      </c>
      <c r="D75" s="7" t="s">
        <v>35</v>
      </c>
      <c r="E75" s="11">
        <v>44956</v>
      </c>
      <c r="F75" s="10">
        <v>42</v>
      </c>
      <c r="G75" s="6">
        <v>2.6</v>
      </c>
      <c r="H75" s="6">
        <f>IF(MONTH(Data!$E75)&lt;=6, YEAR(Data!$E75), YEAR(Data!$E75)+1)</f>
        <v>2023</v>
      </c>
      <c r="I75" s="6" t="str">
        <f>TEXT(Data!$E75,"DDDD")</f>
        <v>Monday</v>
      </c>
      <c r="J75" s="6" t="s">
        <v>14</v>
      </c>
      <c r="K75" s="6">
        <f>ROUND(Data!$G75,0)</f>
        <v>3</v>
      </c>
      <c r="L75" t="str" cm="1">
        <f t="array" ref="L75">_xlfn.IFS(C75&lt;=15,"Very Short",C75&lt;=30,"Short",C75&lt;=60,"Medium",C75&gt;60,"Long")</f>
        <v>Long</v>
      </c>
      <c r="M75" t="str" cm="1">
        <f t="array" ref="M75">_xlfn.IFS(F75&lt;=50,"Low",F75&lt;=100,"Medium",F75&lt;=150,"High",F75&gt;150,"Very High")</f>
        <v>Low</v>
      </c>
    </row>
    <row r="76" spans="1:13" ht="14.25" customHeight="1" x14ac:dyDescent="0.4">
      <c r="A76" s="6" t="s">
        <v>109</v>
      </c>
      <c r="B76" s="6" t="s">
        <v>18</v>
      </c>
      <c r="C76" s="6">
        <v>42</v>
      </c>
      <c r="D76" s="7" t="s">
        <v>24</v>
      </c>
      <c r="E76" s="11">
        <v>44956</v>
      </c>
      <c r="F76" s="10">
        <v>205</v>
      </c>
      <c r="G76" s="6">
        <v>3.6</v>
      </c>
      <c r="H76" s="6">
        <f>IF(MONTH(Data!$E76)&lt;=6, YEAR(Data!$E76), YEAR(Data!$E76)+1)</f>
        <v>2023</v>
      </c>
      <c r="I76" s="6" t="str">
        <f>TEXT(Data!$E76,"DDDD")</f>
        <v>Monday</v>
      </c>
      <c r="J76" s="6" t="s">
        <v>27</v>
      </c>
      <c r="K76" s="6">
        <f>ROUND(Data!$G76,0)</f>
        <v>4</v>
      </c>
      <c r="L76" t="str" cm="1">
        <f t="array" ref="L76">_xlfn.IFS(C76&lt;=15,"Very Short",C76&lt;=30,"Short",C76&lt;=60,"Medium",C76&gt;60,"Long")</f>
        <v>Medium</v>
      </c>
      <c r="M76" t="str" cm="1">
        <f t="array" ref="M76">_xlfn.IFS(F76&lt;=50,"Low",F76&lt;=100,"Medium",F76&lt;=150,"High",F76&gt;150,"Very High")</f>
        <v>Very High</v>
      </c>
    </row>
    <row r="77" spans="1:13" ht="14.25" customHeight="1" x14ac:dyDescent="0.4">
      <c r="A77" s="6" t="s">
        <v>110</v>
      </c>
      <c r="B77" s="6" t="s">
        <v>23</v>
      </c>
      <c r="C77" s="6">
        <v>69</v>
      </c>
      <c r="D77" s="7" t="s">
        <v>35</v>
      </c>
      <c r="E77" s="11">
        <v>44956</v>
      </c>
      <c r="F77" s="10">
        <v>108</v>
      </c>
      <c r="G77" s="6">
        <v>3.3</v>
      </c>
      <c r="H77" s="6">
        <f>IF(MONTH(Data!$E77)&lt;=6, YEAR(Data!$E77), YEAR(Data!$E77)+1)</f>
        <v>2023</v>
      </c>
      <c r="I77" s="6" t="str">
        <f>TEXT(Data!$E77,"DDDD")</f>
        <v>Monday</v>
      </c>
      <c r="J77" s="6" t="s">
        <v>14</v>
      </c>
      <c r="K77" s="6">
        <f>ROUND(Data!$G77,0)</f>
        <v>3</v>
      </c>
      <c r="L77" t="str" cm="1">
        <f t="array" ref="L77">_xlfn.IFS(C77&lt;=15,"Very Short",C77&lt;=30,"Short",C77&lt;=60,"Medium",C77&gt;60,"Long")</f>
        <v>Long</v>
      </c>
      <c r="M77" t="str" cm="1">
        <f t="array" ref="M77">_xlfn.IFS(F77&lt;=50,"Low",F77&lt;=100,"Medium",F77&lt;=150,"High",F77&gt;150,"Very High")</f>
        <v>High</v>
      </c>
    </row>
    <row r="78" spans="1:13" ht="14.25" customHeight="1" x14ac:dyDescent="0.4">
      <c r="A78" s="6" t="s">
        <v>111</v>
      </c>
      <c r="B78" s="6" t="s">
        <v>34</v>
      </c>
      <c r="C78" s="6">
        <v>145</v>
      </c>
      <c r="D78" s="7" t="s">
        <v>19</v>
      </c>
      <c r="E78" s="11">
        <v>44956</v>
      </c>
      <c r="F78" s="10">
        <v>78</v>
      </c>
      <c r="G78" s="6">
        <v>1.9</v>
      </c>
      <c r="H78" s="6">
        <f>IF(MONTH(Data!$E78)&lt;=6, YEAR(Data!$E78), YEAR(Data!$E78)+1)</f>
        <v>2023</v>
      </c>
      <c r="I78" s="6" t="str">
        <f>TEXT(Data!$E78,"DDDD")</f>
        <v>Monday</v>
      </c>
      <c r="J78" s="6" t="s">
        <v>25</v>
      </c>
      <c r="K78" s="6">
        <f>ROUND(Data!$G78,0)</f>
        <v>2</v>
      </c>
      <c r="L78" t="str" cm="1">
        <f t="array" ref="L78">_xlfn.IFS(C78&lt;=15,"Very Short",C78&lt;=30,"Short",C78&lt;=60,"Medium",C78&gt;60,"Long")</f>
        <v>Long</v>
      </c>
      <c r="M78" t="str" cm="1">
        <f t="array" ref="M78">_xlfn.IFS(F78&lt;=50,"Low",F78&lt;=100,"Medium",F78&lt;=150,"High",F78&gt;150,"Very High")</f>
        <v>Medium</v>
      </c>
    </row>
    <row r="79" spans="1:13" ht="14.25" customHeight="1" x14ac:dyDescent="0.4">
      <c r="A79" s="6" t="s">
        <v>112</v>
      </c>
      <c r="B79" s="6" t="s">
        <v>16</v>
      </c>
      <c r="C79" s="6">
        <v>43</v>
      </c>
      <c r="D79" s="7" t="s">
        <v>35</v>
      </c>
      <c r="E79" s="11">
        <v>44956</v>
      </c>
      <c r="F79" s="10">
        <v>23</v>
      </c>
      <c r="G79" s="6">
        <v>4.9000000000000004</v>
      </c>
      <c r="H79" s="6">
        <f>IF(MONTH(Data!$E79)&lt;=6, YEAR(Data!$E79), YEAR(Data!$E79)+1)</f>
        <v>2023</v>
      </c>
      <c r="I79" s="6" t="str">
        <f>TEXT(Data!$E79,"DDDD")</f>
        <v>Monday</v>
      </c>
      <c r="J79" s="6" t="s">
        <v>27</v>
      </c>
      <c r="K79" s="6">
        <f>ROUND(Data!$G79,0)</f>
        <v>5</v>
      </c>
      <c r="L79" t="str" cm="1">
        <f t="array" ref="L79">_xlfn.IFS(C79&lt;=15,"Very Short",C79&lt;=30,"Short",C79&lt;=60,"Medium",C79&gt;60,"Long")</f>
        <v>Medium</v>
      </c>
      <c r="M79" t="str" cm="1">
        <f t="array" ref="M79">_xlfn.IFS(F79&lt;=50,"Low",F79&lt;=100,"Medium",F79&lt;=150,"High",F79&gt;150,"Very High")</f>
        <v>Low</v>
      </c>
    </row>
    <row r="80" spans="1:13" ht="14.25" customHeight="1" x14ac:dyDescent="0.4">
      <c r="A80" s="6" t="s">
        <v>113</v>
      </c>
      <c r="B80" s="6" t="s">
        <v>23</v>
      </c>
      <c r="C80" s="6">
        <v>62</v>
      </c>
      <c r="D80" s="7" t="s">
        <v>13</v>
      </c>
      <c r="E80" s="11">
        <v>44957</v>
      </c>
      <c r="F80" s="10">
        <v>99</v>
      </c>
      <c r="G80" s="6">
        <v>3.6</v>
      </c>
      <c r="H80" s="6">
        <f>IF(MONTH(Data!$E80)&lt;=6, YEAR(Data!$E80), YEAR(Data!$E80)+1)</f>
        <v>2023</v>
      </c>
      <c r="I80" s="6" t="str">
        <f>TEXT(Data!$E80,"DDDD")</f>
        <v>Tuesday</v>
      </c>
      <c r="J80" s="6" t="s">
        <v>14</v>
      </c>
      <c r="K80" s="6">
        <f>ROUND(Data!$G80,0)</f>
        <v>4</v>
      </c>
      <c r="L80" t="str" cm="1">
        <f t="array" ref="L80">_xlfn.IFS(C80&lt;=15,"Very Short",C80&lt;=30,"Short",C80&lt;=60,"Medium",C80&gt;60,"Long")</f>
        <v>Long</v>
      </c>
      <c r="M80" t="str" cm="1">
        <f t="array" ref="M80">_xlfn.IFS(F80&lt;=50,"Low",F80&lt;=100,"Medium",F80&lt;=150,"High",F80&gt;150,"Very High")</f>
        <v>Medium</v>
      </c>
    </row>
    <row r="81" spans="1:13" ht="14.25" customHeight="1" x14ac:dyDescent="0.4">
      <c r="A81" s="6" t="s">
        <v>114</v>
      </c>
      <c r="B81" s="6" t="s">
        <v>46</v>
      </c>
      <c r="C81" s="6">
        <v>79</v>
      </c>
      <c r="D81" s="7" t="s">
        <v>35</v>
      </c>
      <c r="E81" s="11">
        <v>44958</v>
      </c>
      <c r="F81" s="10">
        <v>148</v>
      </c>
      <c r="G81" s="6">
        <v>4.5</v>
      </c>
      <c r="H81" s="6">
        <f>IF(MONTH(Data!$E81)&lt;=6, YEAR(Data!$E81), YEAR(Data!$E81)+1)</f>
        <v>2023</v>
      </c>
      <c r="I81" s="6" t="str">
        <f>TEXT(Data!$E81,"DDDD")</f>
        <v>Wednesday</v>
      </c>
      <c r="J81" s="6" t="s">
        <v>14</v>
      </c>
      <c r="K81" s="6">
        <f>ROUND(Data!$G81,0)</f>
        <v>5</v>
      </c>
      <c r="L81" t="str" cm="1">
        <f t="array" ref="L81">_xlfn.IFS(C81&lt;=15,"Very Short",C81&lt;=30,"Short",C81&lt;=60,"Medium",C81&gt;60,"Long")</f>
        <v>Long</v>
      </c>
      <c r="M81" t="str" cm="1">
        <f t="array" ref="M81">_xlfn.IFS(F81&lt;=50,"Low",F81&lt;=100,"Medium",F81&lt;=150,"High",F81&gt;150,"Very High")</f>
        <v>High</v>
      </c>
    </row>
    <row r="82" spans="1:13" ht="14.25" customHeight="1" x14ac:dyDescent="0.4">
      <c r="A82" s="6" t="s">
        <v>115</v>
      </c>
      <c r="B82" s="6" t="s">
        <v>34</v>
      </c>
      <c r="C82" s="6">
        <v>45</v>
      </c>
      <c r="D82" s="7" t="s">
        <v>31</v>
      </c>
      <c r="E82" s="11">
        <v>44958</v>
      </c>
      <c r="F82" s="10">
        <v>34</v>
      </c>
      <c r="G82" s="6">
        <v>3.7</v>
      </c>
      <c r="H82" s="6">
        <f>IF(MONTH(Data!$E82)&lt;=6, YEAR(Data!$E82), YEAR(Data!$E82)+1)</f>
        <v>2023</v>
      </c>
      <c r="I82" s="6" t="str">
        <f>TEXT(Data!$E82,"DDDD")</f>
        <v>Wednesday</v>
      </c>
      <c r="J82" s="6" t="s">
        <v>27</v>
      </c>
      <c r="K82" s="6">
        <f>ROUND(Data!$G82,0)</f>
        <v>4</v>
      </c>
      <c r="L82" t="str" cm="1">
        <f t="array" ref="L82">_xlfn.IFS(C82&lt;=15,"Very Short",C82&lt;=30,"Short",C82&lt;=60,"Medium",C82&gt;60,"Long")</f>
        <v>Medium</v>
      </c>
      <c r="M82" t="str" cm="1">
        <f t="array" ref="M82">_xlfn.IFS(F82&lt;=50,"Low",F82&lt;=100,"Medium",F82&lt;=150,"High",F82&gt;150,"Very High")</f>
        <v>Low</v>
      </c>
    </row>
    <row r="83" spans="1:13" ht="14.25" customHeight="1" x14ac:dyDescent="0.4">
      <c r="A83" s="6" t="s">
        <v>116</v>
      </c>
      <c r="B83" s="6" t="s">
        <v>23</v>
      </c>
      <c r="C83" s="6">
        <v>137</v>
      </c>
      <c r="D83" s="7" t="s">
        <v>35</v>
      </c>
      <c r="E83" s="11">
        <v>44958</v>
      </c>
      <c r="F83" s="10">
        <v>86</v>
      </c>
      <c r="G83" s="6">
        <v>4.8</v>
      </c>
      <c r="H83" s="6">
        <f>IF(MONTH(Data!$E83)&lt;=6, YEAR(Data!$E83), YEAR(Data!$E83)+1)</f>
        <v>2023</v>
      </c>
      <c r="I83" s="6" t="str">
        <f>TEXT(Data!$E83,"DDDD")</f>
        <v>Wednesday</v>
      </c>
      <c r="J83" s="6" t="s">
        <v>25</v>
      </c>
      <c r="K83" s="6">
        <f>ROUND(Data!$G83,0)</f>
        <v>5</v>
      </c>
      <c r="L83" t="str" cm="1">
        <f t="array" ref="L83">_xlfn.IFS(C83&lt;=15,"Very Short",C83&lt;=30,"Short",C83&lt;=60,"Medium",C83&gt;60,"Long")</f>
        <v>Long</v>
      </c>
      <c r="M83" t="str" cm="1">
        <f t="array" ref="M83">_xlfn.IFS(F83&lt;=50,"Low",F83&lt;=100,"Medium",F83&lt;=150,"High",F83&gt;150,"Very High")</f>
        <v>Medium</v>
      </c>
    </row>
    <row r="84" spans="1:13" ht="14.25" customHeight="1" x14ac:dyDescent="0.4">
      <c r="A84" s="6" t="s">
        <v>117</v>
      </c>
      <c r="B84" s="6" t="s">
        <v>88</v>
      </c>
      <c r="C84" s="6">
        <v>109</v>
      </c>
      <c r="D84" s="7" t="s">
        <v>13</v>
      </c>
      <c r="E84" s="11">
        <v>44958</v>
      </c>
      <c r="F84" s="10">
        <v>105</v>
      </c>
      <c r="G84" s="6">
        <v>3.3</v>
      </c>
      <c r="H84" s="6">
        <f>IF(MONTH(Data!$E84)&lt;=6, YEAR(Data!$E84), YEAR(Data!$E84)+1)</f>
        <v>2023</v>
      </c>
      <c r="I84" s="6" t="str">
        <f>TEXT(Data!$E84,"DDDD")</f>
        <v>Wednesday</v>
      </c>
      <c r="J84" s="6" t="s">
        <v>14</v>
      </c>
      <c r="K84" s="6">
        <f>ROUND(Data!$G84,0)</f>
        <v>3</v>
      </c>
      <c r="L84" t="str" cm="1">
        <f t="array" ref="L84">_xlfn.IFS(C84&lt;=15,"Very Short",C84&lt;=30,"Short",C84&lt;=60,"Medium",C84&gt;60,"Long")</f>
        <v>Long</v>
      </c>
      <c r="M84" t="str" cm="1">
        <f t="array" ref="M84">_xlfn.IFS(F84&lt;=50,"Low",F84&lt;=100,"Medium",F84&lt;=150,"High",F84&gt;150,"Very High")</f>
        <v>High</v>
      </c>
    </row>
    <row r="85" spans="1:13" ht="14.25" customHeight="1" x14ac:dyDescent="0.4">
      <c r="A85" s="6" t="s">
        <v>118</v>
      </c>
      <c r="B85" s="6" t="s">
        <v>16</v>
      </c>
      <c r="C85" s="6">
        <v>78</v>
      </c>
      <c r="D85" s="7" t="s">
        <v>13</v>
      </c>
      <c r="E85" s="11">
        <v>44958</v>
      </c>
      <c r="F85" s="10">
        <v>62</v>
      </c>
      <c r="G85" s="6">
        <v>3.1</v>
      </c>
      <c r="H85" s="6">
        <f>IF(MONTH(Data!$E85)&lt;=6, YEAR(Data!$E85), YEAR(Data!$E85)+1)</f>
        <v>2023</v>
      </c>
      <c r="I85" s="6" t="str">
        <f>TEXT(Data!$E85,"DDDD")</f>
        <v>Wednesday</v>
      </c>
      <c r="J85" s="6" t="s">
        <v>14</v>
      </c>
      <c r="K85" s="6">
        <f>ROUND(Data!$G85,0)</f>
        <v>3</v>
      </c>
      <c r="L85" t="str" cm="1">
        <f t="array" ref="L85">_xlfn.IFS(C85&lt;=15,"Very Short",C85&lt;=30,"Short",C85&lt;=60,"Medium",C85&gt;60,"Long")</f>
        <v>Long</v>
      </c>
      <c r="M85" t="str" cm="1">
        <f t="array" ref="M85">_xlfn.IFS(F85&lt;=50,"Low",F85&lt;=100,"Medium",F85&lt;=150,"High",F85&gt;150,"Very High")</f>
        <v>Medium</v>
      </c>
    </row>
    <row r="86" spans="1:13" ht="14.25" customHeight="1" x14ac:dyDescent="0.4">
      <c r="A86" s="6" t="s">
        <v>119</v>
      </c>
      <c r="B86" s="6" t="s">
        <v>23</v>
      </c>
      <c r="C86" s="6">
        <v>137</v>
      </c>
      <c r="D86" s="7" t="s">
        <v>31</v>
      </c>
      <c r="E86" s="11">
        <v>44958</v>
      </c>
      <c r="F86" s="10">
        <v>90</v>
      </c>
      <c r="G86" s="6">
        <v>4.0999999999999996</v>
      </c>
      <c r="H86" s="6">
        <f>IF(MONTH(Data!$E86)&lt;=6, YEAR(Data!$E86), YEAR(Data!$E86)+1)</f>
        <v>2023</v>
      </c>
      <c r="I86" s="6" t="str">
        <f>TEXT(Data!$E86,"DDDD")</f>
        <v>Wednesday</v>
      </c>
      <c r="J86" s="6" t="s">
        <v>25</v>
      </c>
      <c r="K86" s="6">
        <f>ROUND(Data!$G86,0)</f>
        <v>4</v>
      </c>
      <c r="L86" t="str" cm="1">
        <f t="array" ref="L86">_xlfn.IFS(C86&lt;=15,"Very Short",C86&lt;=30,"Short",C86&lt;=60,"Medium",C86&gt;60,"Long")</f>
        <v>Long</v>
      </c>
      <c r="M86" t="str" cm="1">
        <f t="array" ref="M86">_xlfn.IFS(F86&lt;=50,"Low",F86&lt;=100,"Medium",F86&lt;=150,"High",F86&gt;150,"Very High")</f>
        <v>Medium</v>
      </c>
    </row>
    <row r="87" spans="1:13" ht="14.25" customHeight="1" x14ac:dyDescent="0.4">
      <c r="A87" s="6" t="s">
        <v>120</v>
      </c>
      <c r="B87" s="6" t="s">
        <v>21</v>
      </c>
      <c r="C87" s="6">
        <v>99</v>
      </c>
      <c r="D87" s="7" t="s">
        <v>13</v>
      </c>
      <c r="E87" s="11">
        <v>44959</v>
      </c>
      <c r="F87" s="10">
        <v>112</v>
      </c>
      <c r="G87" s="6">
        <v>4.9000000000000004</v>
      </c>
      <c r="H87" s="6">
        <f>IF(MONTH(Data!$E87)&lt;=6, YEAR(Data!$E87), YEAR(Data!$E87)+1)</f>
        <v>2023</v>
      </c>
      <c r="I87" s="6" t="str">
        <f>TEXT(Data!$E87,"DDDD")</f>
        <v>Thursday</v>
      </c>
      <c r="J87" s="6" t="s">
        <v>14</v>
      </c>
      <c r="K87" s="6">
        <f>ROUND(Data!$G87,0)</f>
        <v>5</v>
      </c>
      <c r="L87" t="str" cm="1">
        <f t="array" ref="L87">_xlfn.IFS(C87&lt;=15,"Very Short",C87&lt;=30,"Short",C87&lt;=60,"Medium",C87&gt;60,"Long")</f>
        <v>Long</v>
      </c>
      <c r="M87" t="str" cm="1">
        <f t="array" ref="M87">_xlfn.IFS(F87&lt;=50,"Low",F87&lt;=100,"Medium",F87&lt;=150,"High",F87&gt;150,"Very High")</f>
        <v>High</v>
      </c>
    </row>
    <row r="88" spans="1:13" ht="14.25" customHeight="1" x14ac:dyDescent="0.4">
      <c r="A88" s="6" t="s">
        <v>121</v>
      </c>
      <c r="B88" s="6" t="s">
        <v>55</v>
      </c>
      <c r="C88" s="6">
        <v>100</v>
      </c>
      <c r="D88" s="7" t="s">
        <v>13</v>
      </c>
      <c r="E88" s="11">
        <v>44959</v>
      </c>
      <c r="F88" s="10">
        <v>135</v>
      </c>
      <c r="G88" s="6">
        <v>4</v>
      </c>
      <c r="H88" s="6">
        <f>IF(MONTH(Data!$E88)&lt;=6, YEAR(Data!$E88), YEAR(Data!$E88)+1)</f>
        <v>2023</v>
      </c>
      <c r="I88" s="6" t="str">
        <f>TEXT(Data!$E88,"DDDD")</f>
        <v>Thursday</v>
      </c>
      <c r="J88" s="6" t="s">
        <v>14</v>
      </c>
      <c r="K88" s="6">
        <f>ROUND(Data!$G88,0)</f>
        <v>4</v>
      </c>
      <c r="L88" t="str" cm="1">
        <f t="array" ref="L88">_xlfn.IFS(C88&lt;=15,"Very Short",C88&lt;=30,"Short",C88&lt;=60,"Medium",C88&gt;60,"Long")</f>
        <v>Long</v>
      </c>
      <c r="M88" t="str" cm="1">
        <f t="array" ref="M88">_xlfn.IFS(F88&lt;=50,"Low",F88&lt;=100,"Medium",F88&lt;=150,"High",F88&gt;150,"Very High")</f>
        <v>High</v>
      </c>
    </row>
    <row r="89" spans="1:13" ht="14.25" customHeight="1" x14ac:dyDescent="0.4">
      <c r="A89" s="6" t="s">
        <v>122</v>
      </c>
      <c r="B89" s="6" t="s">
        <v>16</v>
      </c>
      <c r="C89" s="6">
        <v>47</v>
      </c>
      <c r="D89" s="7" t="s">
        <v>19</v>
      </c>
      <c r="E89" s="11">
        <v>44959</v>
      </c>
      <c r="F89" s="10">
        <v>34</v>
      </c>
      <c r="G89" s="6">
        <v>2.1</v>
      </c>
      <c r="H89" s="6">
        <f>IF(MONTH(Data!$E89)&lt;=6, YEAR(Data!$E89), YEAR(Data!$E89)+1)</f>
        <v>2023</v>
      </c>
      <c r="I89" s="6" t="str">
        <f>TEXT(Data!$E89,"DDDD")</f>
        <v>Thursday</v>
      </c>
      <c r="J89" s="6" t="s">
        <v>27</v>
      </c>
      <c r="K89" s="6">
        <f>ROUND(Data!$G89,0)</f>
        <v>2</v>
      </c>
      <c r="L89" t="str" cm="1">
        <f t="array" ref="L89">_xlfn.IFS(C89&lt;=15,"Very Short",C89&lt;=30,"Short",C89&lt;=60,"Medium",C89&gt;60,"Long")</f>
        <v>Medium</v>
      </c>
      <c r="M89" t="str" cm="1">
        <f t="array" ref="M89">_xlfn.IFS(F89&lt;=50,"Low",F89&lt;=100,"Medium",F89&lt;=150,"High",F89&gt;150,"Very High")</f>
        <v>Low</v>
      </c>
    </row>
    <row r="90" spans="1:13" ht="14.25" customHeight="1" x14ac:dyDescent="0.4">
      <c r="A90" s="6" t="s">
        <v>123</v>
      </c>
      <c r="B90" s="6" t="s">
        <v>88</v>
      </c>
      <c r="C90" s="6">
        <v>87</v>
      </c>
      <c r="D90" s="7" t="s">
        <v>24</v>
      </c>
      <c r="E90" s="11">
        <v>44959</v>
      </c>
      <c r="F90" s="10">
        <v>155</v>
      </c>
      <c r="G90" s="6">
        <v>4.5</v>
      </c>
      <c r="H90" s="6">
        <f>IF(MONTH(Data!$E90)&lt;=6, YEAR(Data!$E90), YEAR(Data!$E90)+1)</f>
        <v>2023</v>
      </c>
      <c r="I90" s="6" t="str">
        <f>TEXT(Data!$E90,"DDDD")</f>
        <v>Thursday</v>
      </c>
      <c r="J90" s="6" t="s">
        <v>14</v>
      </c>
      <c r="K90" s="6">
        <f>ROUND(Data!$G90,0)</f>
        <v>5</v>
      </c>
      <c r="L90" t="str" cm="1">
        <f t="array" ref="L90">_xlfn.IFS(C90&lt;=15,"Very Short",C90&lt;=30,"Short",C90&lt;=60,"Medium",C90&gt;60,"Long")</f>
        <v>Long</v>
      </c>
      <c r="M90" t="str" cm="1">
        <f t="array" ref="M90">_xlfn.IFS(F90&lt;=50,"Low",F90&lt;=100,"Medium",F90&lt;=150,"High",F90&gt;150,"Very High")</f>
        <v>Very High</v>
      </c>
    </row>
    <row r="91" spans="1:13" ht="14.25" customHeight="1" x14ac:dyDescent="0.4">
      <c r="A91" s="6" t="s">
        <v>124</v>
      </c>
      <c r="B91" s="6" t="s">
        <v>21</v>
      </c>
      <c r="C91" s="6">
        <v>143</v>
      </c>
      <c r="D91" s="7" t="s">
        <v>24</v>
      </c>
      <c r="E91" s="11">
        <v>44961</v>
      </c>
      <c r="F91" s="10">
        <v>124</v>
      </c>
      <c r="G91" s="6">
        <v>4.9000000000000004</v>
      </c>
      <c r="H91" s="6">
        <f>IF(MONTH(Data!$E91)&lt;=6, YEAR(Data!$E91), YEAR(Data!$E91)+1)</f>
        <v>2023</v>
      </c>
      <c r="I91" s="6" t="str">
        <f>TEXT(Data!$E91,"DDDD")</f>
        <v>Saturday</v>
      </c>
      <c r="J91" s="6" t="s">
        <v>25</v>
      </c>
      <c r="K91" s="6">
        <f>ROUND(Data!$G91,0)</f>
        <v>5</v>
      </c>
      <c r="L91" t="str" cm="1">
        <f t="array" ref="L91">_xlfn.IFS(C91&lt;=15,"Very Short",C91&lt;=30,"Short",C91&lt;=60,"Medium",C91&gt;60,"Long")</f>
        <v>Long</v>
      </c>
      <c r="M91" t="str" cm="1">
        <f t="array" ref="M91">_xlfn.IFS(F91&lt;=50,"Low",F91&lt;=100,"Medium",F91&lt;=150,"High",F91&gt;150,"Very High")</f>
        <v>High</v>
      </c>
    </row>
    <row r="92" spans="1:13" ht="14.25" customHeight="1" x14ac:dyDescent="0.4">
      <c r="A92" s="6" t="s">
        <v>125</v>
      </c>
      <c r="B92" s="6" t="s">
        <v>55</v>
      </c>
      <c r="C92" s="6">
        <v>84</v>
      </c>
      <c r="D92" s="7" t="s">
        <v>13</v>
      </c>
      <c r="E92" s="11">
        <v>44961</v>
      </c>
      <c r="F92" s="10">
        <v>195</v>
      </c>
      <c r="G92" s="6">
        <v>4.0999999999999996</v>
      </c>
      <c r="H92" s="6">
        <f>IF(MONTH(Data!$E92)&lt;=6, YEAR(Data!$E92), YEAR(Data!$E92)+1)</f>
        <v>2023</v>
      </c>
      <c r="I92" s="6" t="str">
        <f>TEXT(Data!$E92,"DDDD")</f>
        <v>Saturday</v>
      </c>
      <c r="J92" s="6" t="s">
        <v>14</v>
      </c>
      <c r="K92" s="6">
        <f>ROUND(Data!$G92,0)</f>
        <v>4</v>
      </c>
      <c r="L92" t="str" cm="1">
        <f t="array" ref="L92">_xlfn.IFS(C92&lt;=15,"Very Short",C92&lt;=30,"Short",C92&lt;=60,"Medium",C92&gt;60,"Long")</f>
        <v>Long</v>
      </c>
      <c r="M92" t="str" cm="1">
        <f t="array" ref="M92">_xlfn.IFS(F92&lt;=50,"Low",F92&lt;=100,"Medium",F92&lt;=150,"High",F92&gt;150,"Very High")</f>
        <v>Very High</v>
      </c>
    </row>
    <row r="93" spans="1:13" ht="14.25" customHeight="1" x14ac:dyDescent="0.4">
      <c r="A93" s="6" t="s">
        <v>126</v>
      </c>
      <c r="B93" s="6" t="s">
        <v>68</v>
      </c>
      <c r="C93" s="6">
        <v>55</v>
      </c>
      <c r="D93" s="7" t="s">
        <v>24</v>
      </c>
      <c r="E93" s="11">
        <v>44962</v>
      </c>
      <c r="F93" s="10">
        <v>78</v>
      </c>
      <c r="G93" s="6">
        <v>4.5</v>
      </c>
      <c r="H93" s="6">
        <f>IF(MONTH(Data!$E93)&lt;=6, YEAR(Data!$E93), YEAR(Data!$E93)+1)</f>
        <v>2023</v>
      </c>
      <c r="I93" s="6" t="str">
        <f>TEXT(Data!$E93,"DDDD")</f>
        <v>Sunday</v>
      </c>
      <c r="J93" s="6" t="s">
        <v>27</v>
      </c>
      <c r="K93" s="6">
        <f>ROUND(Data!$G93,0)</f>
        <v>5</v>
      </c>
      <c r="L93" t="str" cm="1">
        <f t="array" ref="L93">_xlfn.IFS(C93&lt;=15,"Very Short",C93&lt;=30,"Short",C93&lt;=60,"Medium",C93&gt;60,"Long")</f>
        <v>Medium</v>
      </c>
      <c r="M93" t="str" cm="1">
        <f t="array" ref="M93">_xlfn.IFS(F93&lt;=50,"Low",F93&lt;=100,"Medium",F93&lt;=150,"High",F93&gt;150,"Very High")</f>
        <v>Medium</v>
      </c>
    </row>
    <row r="94" spans="1:13" ht="14.25" customHeight="1" x14ac:dyDescent="0.4">
      <c r="A94" s="6" t="s">
        <v>127</v>
      </c>
      <c r="B94" s="6" t="s">
        <v>29</v>
      </c>
      <c r="C94" s="6">
        <v>135</v>
      </c>
      <c r="D94" s="7" t="s">
        <v>31</v>
      </c>
      <c r="E94" s="11">
        <v>44964</v>
      </c>
      <c r="F94" s="10">
        <v>35</v>
      </c>
      <c r="G94" s="6">
        <v>4.8</v>
      </c>
      <c r="H94" s="6">
        <f>IF(MONTH(Data!$E94)&lt;=6, YEAR(Data!$E94), YEAR(Data!$E94)+1)</f>
        <v>2023</v>
      </c>
      <c r="I94" s="6" t="str">
        <f>TEXT(Data!$E94,"DDDD")</f>
        <v>Tuesday</v>
      </c>
      <c r="J94" s="6" t="s">
        <v>25</v>
      </c>
      <c r="K94" s="6">
        <f>ROUND(Data!$G94,0)</f>
        <v>5</v>
      </c>
      <c r="L94" t="str" cm="1">
        <f t="array" ref="L94">_xlfn.IFS(C94&lt;=15,"Very Short",C94&lt;=30,"Short",C94&lt;=60,"Medium",C94&gt;60,"Long")</f>
        <v>Long</v>
      </c>
      <c r="M94" t="str" cm="1">
        <f t="array" ref="M94">_xlfn.IFS(F94&lt;=50,"Low",F94&lt;=100,"Medium",F94&lt;=150,"High",F94&gt;150,"Very High")</f>
        <v>Low</v>
      </c>
    </row>
    <row r="95" spans="1:13" ht="14.25" customHeight="1" x14ac:dyDescent="0.4">
      <c r="A95" s="6" t="s">
        <v>128</v>
      </c>
      <c r="B95" s="6" t="s">
        <v>58</v>
      </c>
      <c r="C95" s="6">
        <v>152</v>
      </c>
      <c r="D95" s="7" t="s">
        <v>19</v>
      </c>
      <c r="E95" s="11">
        <v>44964</v>
      </c>
      <c r="F95" s="10">
        <v>123</v>
      </c>
      <c r="G95" s="6">
        <v>4.5999999999999996</v>
      </c>
      <c r="H95" s="6">
        <f>IF(MONTH(Data!$E95)&lt;=6, YEAR(Data!$E95), YEAR(Data!$E95)+1)</f>
        <v>2023</v>
      </c>
      <c r="I95" s="6" t="str">
        <f>TEXT(Data!$E95,"DDDD")</f>
        <v>Tuesday</v>
      </c>
      <c r="J95" s="6" t="s">
        <v>25</v>
      </c>
      <c r="K95" s="6">
        <f>ROUND(Data!$G95,0)</f>
        <v>5</v>
      </c>
      <c r="L95" t="str" cm="1">
        <f t="array" ref="L95">_xlfn.IFS(C95&lt;=15,"Very Short",C95&lt;=30,"Short",C95&lt;=60,"Medium",C95&gt;60,"Long")</f>
        <v>Long</v>
      </c>
      <c r="M95" t="str" cm="1">
        <f t="array" ref="M95">_xlfn.IFS(F95&lt;=50,"Low",F95&lt;=100,"Medium",F95&lt;=150,"High",F95&gt;150,"Very High")</f>
        <v>High</v>
      </c>
    </row>
    <row r="96" spans="1:13" ht="14.25" customHeight="1" x14ac:dyDescent="0.4">
      <c r="A96" s="6" t="s">
        <v>129</v>
      </c>
      <c r="B96" s="6" t="s">
        <v>18</v>
      </c>
      <c r="C96" s="6">
        <v>132</v>
      </c>
      <c r="D96" s="7" t="s">
        <v>19</v>
      </c>
      <c r="E96" s="11">
        <v>44964</v>
      </c>
      <c r="F96" s="10">
        <v>43</v>
      </c>
      <c r="G96" s="6">
        <v>4.5999999999999996</v>
      </c>
      <c r="H96" s="6">
        <f>IF(MONTH(Data!$E96)&lt;=6, YEAR(Data!$E96), YEAR(Data!$E96)+1)</f>
        <v>2023</v>
      </c>
      <c r="I96" s="6" t="str">
        <f>TEXT(Data!$E96,"DDDD")</f>
        <v>Tuesday</v>
      </c>
      <c r="J96" s="6" t="s">
        <v>25</v>
      </c>
      <c r="K96" s="6">
        <f>ROUND(Data!$G96,0)</f>
        <v>5</v>
      </c>
      <c r="L96" t="str" cm="1">
        <f t="array" ref="L96">_xlfn.IFS(C96&lt;=15,"Very Short",C96&lt;=30,"Short",C96&lt;=60,"Medium",C96&gt;60,"Long")</f>
        <v>Long</v>
      </c>
      <c r="M96" t="str" cm="1">
        <f t="array" ref="M96">_xlfn.IFS(F96&lt;=50,"Low",F96&lt;=100,"Medium",F96&lt;=150,"High",F96&gt;150,"Very High")</f>
        <v>Low</v>
      </c>
    </row>
    <row r="97" spans="1:13" ht="14.25" customHeight="1" x14ac:dyDescent="0.4">
      <c r="A97" s="6" t="s">
        <v>130</v>
      </c>
      <c r="B97" s="6" t="s">
        <v>50</v>
      </c>
      <c r="C97" s="6">
        <v>60</v>
      </c>
      <c r="D97" s="7" t="s">
        <v>13</v>
      </c>
      <c r="E97" s="11">
        <v>44965</v>
      </c>
      <c r="F97" s="10">
        <v>69</v>
      </c>
      <c r="G97" s="6">
        <v>4.3</v>
      </c>
      <c r="H97" s="6">
        <f>IF(MONTH(Data!$E97)&lt;=6, YEAR(Data!$E97), YEAR(Data!$E97)+1)</f>
        <v>2023</v>
      </c>
      <c r="I97" s="6" t="str">
        <f>TEXT(Data!$E97,"DDDD")</f>
        <v>Wednesday</v>
      </c>
      <c r="J97" s="6" t="s">
        <v>27</v>
      </c>
      <c r="K97" s="6">
        <f>ROUND(Data!$G97,0)</f>
        <v>4</v>
      </c>
      <c r="L97" t="str" cm="1">
        <f t="array" ref="L97">_xlfn.IFS(C97&lt;=15,"Very Short",C97&lt;=30,"Short",C97&lt;=60,"Medium",C97&gt;60,"Long")</f>
        <v>Medium</v>
      </c>
      <c r="M97" t="str" cm="1">
        <f t="array" ref="M97">_xlfn.IFS(F97&lt;=50,"Low",F97&lt;=100,"Medium",F97&lt;=150,"High",F97&gt;150,"Very High")</f>
        <v>Medium</v>
      </c>
    </row>
    <row r="98" spans="1:13" ht="14.25" customHeight="1" x14ac:dyDescent="0.4">
      <c r="A98" s="6" t="s">
        <v>131</v>
      </c>
      <c r="B98" s="6" t="s">
        <v>58</v>
      </c>
      <c r="C98" s="6">
        <v>95</v>
      </c>
      <c r="D98" s="7" t="s">
        <v>19</v>
      </c>
      <c r="E98" s="11">
        <v>44965</v>
      </c>
      <c r="F98" s="10">
        <v>130</v>
      </c>
      <c r="G98" s="6">
        <v>5</v>
      </c>
      <c r="H98" s="6">
        <f>IF(MONTH(Data!$E98)&lt;=6, YEAR(Data!$E98), YEAR(Data!$E98)+1)</f>
        <v>2023</v>
      </c>
      <c r="I98" s="6" t="str">
        <f>TEXT(Data!$E98,"DDDD")</f>
        <v>Wednesday</v>
      </c>
      <c r="J98" s="6" t="s">
        <v>14</v>
      </c>
      <c r="K98" s="6">
        <f>ROUND(Data!$G98,0)</f>
        <v>5</v>
      </c>
      <c r="L98" t="str" cm="1">
        <f t="array" ref="L98">_xlfn.IFS(C98&lt;=15,"Very Short",C98&lt;=30,"Short",C98&lt;=60,"Medium",C98&gt;60,"Long")</f>
        <v>Long</v>
      </c>
      <c r="M98" t="str" cm="1">
        <f t="array" ref="M98">_xlfn.IFS(F98&lt;=50,"Low",F98&lt;=100,"Medium",F98&lt;=150,"High",F98&gt;150,"Very High")</f>
        <v>High</v>
      </c>
    </row>
    <row r="99" spans="1:13" ht="14.25" customHeight="1" x14ac:dyDescent="0.4">
      <c r="A99" s="6" t="s">
        <v>132</v>
      </c>
      <c r="B99" s="6" t="s">
        <v>12</v>
      </c>
      <c r="C99" s="6">
        <v>96</v>
      </c>
      <c r="D99" s="7" t="s">
        <v>35</v>
      </c>
      <c r="E99" s="11">
        <v>44965</v>
      </c>
      <c r="F99" s="10">
        <v>120</v>
      </c>
      <c r="G99" s="6">
        <v>4</v>
      </c>
      <c r="H99" s="6">
        <f>IF(MONTH(Data!$E99)&lt;=6, YEAR(Data!$E99), YEAR(Data!$E99)+1)</f>
        <v>2023</v>
      </c>
      <c r="I99" s="6" t="str">
        <f>TEXT(Data!$E99,"DDDD")</f>
        <v>Wednesday</v>
      </c>
      <c r="J99" s="6" t="s">
        <v>14</v>
      </c>
      <c r="K99" s="6">
        <f>ROUND(Data!$G99,0)</f>
        <v>4</v>
      </c>
      <c r="L99" t="str" cm="1">
        <f t="array" ref="L99">_xlfn.IFS(C99&lt;=15,"Very Short",C99&lt;=30,"Short",C99&lt;=60,"Medium",C99&gt;60,"Long")</f>
        <v>Long</v>
      </c>
      <c r="M99" t="str" cm="1">
        <f t="array" ref="M99">_xlfn.IFS(F99&lt;=50,"Low",F99&lt;=100,"Medium",F99&lt;=150,"High",F99&gt;150,"Very High")</f>
        <v>High</v>
      </c>
    </row>
    <row r="100" spans="1:13" ht="14.25" customHeight="1" x14ac:dyDescent="0.4">
      <c r="A100" s="6" t="s">
        <v>133</v>
      </c>
      <c r="B100" s="6" t="s">
        <v>68</v>
      </c>
      <c r="C100" s="6">
        <v>45</v>
      </c>
      <c r="D100" s="7" t="s">
        <v>13</v>
      </c>
      <c r="E100" s="11">
        <v>44966</v>
      </c>
      <c r="F100" s="10">
        <v>84</v>
      </c>
      <c r="G100" s="6">
        <v>4.5999999999999996</v>
      </c>
      <c r="H100" s="6">
        <f>IF(MONTH(Data!$E100)&lt;=6, YEAR(Data!$E100), YEAR(Data!$E100)+1)</f>
        <v>2023</v>
      </c>
      <c r="I100" s="6" t="str">
        <f>TEXT(Data!$E100,"DDDD")</f>
        <v>Thursday</v>
      </c>
      <c r="J100" s="6" t="s">
        <v>27</v>
      </c>
      <c r="K100" s="6">
        <f>ROUND(Data!$G100,0)</f>
        <v>5</v>
      </c>
      <c r="L100" t="str" cm="1">
        <f t="array" ref="L100">_xlfn.IFS(C100&lt;=15,"Very Short",C100&lt;=30,"Short",C100&lt;=60,"Medium",C100&gt;60,"Long")</f>
        <v>Medium</v>
      </c>
      <c r="M100" t="str" cm="1">
        <f t="array" ref="M100">_xlfn.IFS(F100&lt;=50,"Low",F100&lt;=100,"Medium",F100&lt;=150,"High",F100&gt;150,"Very High")</f>
        <v>Medium</v>
      </c>
    </row>
    <row r="101" spans="1:13" ht="14.25" customHeight="1" x14ac:dyDescent="0.4">
      <c r="A101" s="6" t="s">
        <v>134</v>
      </c>
      <c r="B101" s="6" t="s">
        <v>12</v>
      </c>
      <c r="C101" s="6">
        <v>132</v>
      </c>
      <c r="D101" s="7" t="s">
        <v>35</v>
      </c>
      <c r="E101" s="11">
        <v>44967</v>
      </c>
      <c r="F101" s="10">
        <v>112</v>
      </c>
      <c r="G101" s="6">
        <v>4.5</v>
      </c>
      <c r="H101" s="6">
        <f>IF(MONTH(Data!$E101)&lt;=6, YEAR(Data!$E101), YEAR(Data!$E101)+1)</f>
        <v>2023</v>
      </c>
      <c r="I101" s="6" t="str">
        <f>TEXT(Data!$E101,"DDDD")</f>
        <v>Friday</v>
      </c>
      <c r="J101" s="6" t="s">
        <v>25</v>
      </c>
      <c r="K101" s="6">
        <f>ROUND(Data!$G101,0)</f>
        <v>5</v>
      </c>
      <c r="L101" t="str" cm="1">
        <f t="array" ref="L101">_xlfn.IFS(C101&lt;=15,"Very Short",C101&lt;=30,"Short",C101&lt;=60,"Medium",C101&gt;60,"Long")</f>
        <v>Long</v>
      </c>
      <c r="M101" t="str" cm="1">
        <f t="array" ref="M101">_xlfn.IFS(F101&lt;=50,"Low",F101&lt;=100,"Medium",F101&lt;=150,"High",F101&gt;150,"Very High")</f>
        <v>High</v>
      </c>
    </row>
    <row r="102" spans="1:13" ht="14.25" customHeight="1" x14ac:dyDescent="0.4">
      <c r="A102" s="6" t="s">
        <v>135</v>
      </c>
      <c r="B102" s="6" t="s">
        <v>38</v>
      </c>
      <c r="C102" s="6">
        <v>95</v>
      </c>
      <c r="D102" s="7" t="s">
        <v>13</v>
      </c>
      <c r="E102" s="11">
        <v>44967</v>
      </c>
      <c r="F102" s="10">
        <v>66</v>
      </c>
      <c r="G102" s="6">
        <v>4.5999999999999996</v>
      </c>
      <c r="H102" s="6">
        <f>IF(MONTH(Data!$E102)&lt;=6, YEAR(Data!$E102), YEAR(Data!$E102)+1)</f>
        <v>2023</v>
      </c>
      <c r="I102" s="6" t="str">
        <f>TEXT(Data!$E102,"DDDD")</f>
        <v>Friday</v>
      </c>
      <c r="J102" s="6" t="s">
        <v>14</v>
      </c>
      <c r="K102" s="6">
        <f>ROUND(Data!$G102,0)</f>
        <v>5</v>
      </c>
      <c r="L102" t="str" cm="1">
        <f t="array" ref="L102">_xlfn.IFS(C102&lt;=15,"Very Short",C102&lt;=30,"Short",C102&lt;=60,"Medium",C102&gt;60,"Long")</f>
        <v>Long</v>
      </c>
      <c r="M102" t="str" cm="1">
        <f t="array" ref="M102">_xlfn.IFS(F102&lt;=50,"Low",F102&lt;=100,"Medium",F102&lt;=150,"High",F102&gt;150,"Very High")</f>
        <v>Medium</v>
      </c>
    </row>
    <row r="103" spans="1:13" ht="14.25" customHeight="1" x14ac:dyDescent="0.4">
      <c r="A103" s="6" t="s">
        <v>136</v>
      </c>
      <c r="B103" s="6" t="s">
        <v>58</v>
      </c>
      <c r="C103" s="6">
        <v>131</v>
      </c>
      <c r="D103" s="7" t="s">
        <v>24</v>
      </c>
      <c r="E103" s="11">
        <v>44967</v>
      </c>
      <c r="F103" s="10">
        <v>172</v>
      </c>
      <c r="G103" s="6">
        <v>2.6</v>
      </c>
      <c r="H103" s="6">
        <f>IF(MONTH(Data!$E103)&lt;=6, YEAR(Data!$E103), YEAR(Data!$E103)+1)</f>
        <v>2023</v>
      </c>
      <c r="I103" s="6" t="str">
        <f>TEXT(Data!$E103,"DDDD")</f>
        <v>Friday</v>
      </c>
      <c r="J103" s="6" t="s">
        <v>25</v>
      </c>
      <c r="K103" s="6">
        <f>ROUND(Data!$G103,0)</f>
        <v>3</v>
      </c>
      <c r="L103" t="str" cm="1">
        <f t="array" ref="L103">_xlfn.IFS(C103&lt;=15,"Very Short",C103&lt;=30,"Short",C103&lt;=60,"Medium",C103&gt;60,"Long")</f>
        <v>Long</v>
      </c>
      <c r="M103" t="str" cm="1">
        <f t="array" ref="M103">_xlfn.IFS(F103&lt;=50,"Low",F103&lt;=100,"Medium",F103&lt;=150,"High",F103&gt;150,"Very High")</f>
        <v>Very High</v>
      </c>
    </row>
    <row r="104" spans="1:13" ht="14.25" customHeight="1" x14ac:dyDescent="0.4">
      <c r="A104" s="6" t="s">
        <v>137</v>
      </c>
      <c r="B104" s="6" t="s">
        <v>46</v>
      </c>
      <c r="C104" s="6">
        <v>67</v>
      </c>
      <c r="D104" s="7" t="s">
        <v>31</v>
      </c>
      <c r="E104" s="11">
        <v>44968</v>
      </c>
      <c r="F104" s="10">
        <v>24</v>
      </c>
      <c r="G104" s="6">
        <v>4.3</v>
      </c>
      <c r="H104" s="6">
        <f>IF(MONTH(Data!$E104)&lt;=6, YEAR(Data!$E104), YEAR(Data!$E104)+1)</f>
        <v>2023</v>
      </c>
      <c r="I104" s="6" t="str">
        <f>TEXT(Data!$E104,"DDDD")</f>
        <v>Saturday</v>
      </c>
      <c r="J104" s="6" t="s">
        <v>14</v>
      </c>
      <c r="K104" s="6">
        <f>ROUND(Data!$G104,0)</f>
        <v>4</v>
      </c>
      <c r="L104" t="str" cm="1">
        <f t="array" ref="L104">_xlfn.IFS(C104&lt;=15,"Very Short",C104&lt;=30,"Short",C104&lt;=60,"Medium",C104&gt;60,"Long")</f>
        <v>Long</v>
      </c>
      <c r="M104" t="str" cm="1">
        <f t="array" ref="M104">_xlfn.IFS(F104&lt;=50,"Low",F104&lt;=100,"Medium",F104&lt;=150,"High",F104&gt;150,"Very High")</f>
        <v>Low</v>
      </c>
    </row>
    <row r="105" spans="1:13" ht="14.25" customHeight="1" x14ac:dyDescent="0.4">
      <c r="A105" s="6" t="s">
        <v>138</v>
      </c>
      <c r="B105" s="6" t="s">
        <v>21</v>
      </c>
      <c r="C105" s="6">
        <v>111</v>
      </c>
      <c r="D105" s="7" t="s">
        <v>24</v>
      </c>
      <c r="E105" s="11">
        <v>44969</v>
      </c>
      <c r="F105" s="10">
        <v>43</v>
      </c>
      <c r="G105" s="6">
        <v>3.9</v>
      </c>
      <c r="H105" s="6">
        <f>IF(MONTH(Data!$E105)&lt;=6, YEAR(Data!$E105), YEAR(Data!$E105)+1)</f>
        <v>2023</v>
      </c>
      <c r="I105" s="6" t="str">
        <f>TEXT(Data!$E105,"DDDD")</f>
        <v>Sunday</v>
      </c>
      <c r="J105" s="6" t="s">
        <v>14</v>
      </c>
      <c r="K105" s="6">
        <f>ROUND(Data!$G105,0)</f>
        <v>4</v>
      </c>
      <c r="L105" t="str" cm="1">
        <f t="array" ref="L105">_xlfn.IFS(C105&lt;=15,"Very Short",C105&lt;=30,"Short",C105&lt;=60,"Medium",C105&gt;60,"Long")</f>
        <v>Long</v>
      </c>
      <c r="M105" t="str" cm="1">
        <f t="array" ref="M105">_xlfn.IFS(F105&lt;=50,"Low",F105&lt;=100,"Medium",F105&lt;=150,"High",F105&gt;150,"Very High")</f>
        <v>Low</v>
      </c>
    </row>
    <row r="106" spans="1:13" ht="14.25" customHeight="1" x14ac:dyDescent="0.4">
      <c r="A106" s="6" t="s">
        <v>139</v>
      </c>
      <c r="B106" s="6" t="s">
        <v>18</v>
      </c>
      <c r="C106" s="6">
        <v>78</v>
      </c>
      <c r="D106" s="7" t="s">
        <v>19</v>
      </c>
      <c r="E106" s="11">
        <v>44969</v>
      </c>
      <c r="F106" s="10">
        <v>23</v>
      </c>
      <c r="G106" s="6">
        <v>5</v>
      </c>
      <c r="H106" s="6">
        <f>IF(MONTH(Data!$E106)&lt;=6, YEAR(Data!$E106), YEAR(Data!$E106)+1)</f>
        <v>2023</v>
      </c>
      <c r="I106" s="6" t="str">
        <f>TEXT(Data!$E106,"DDDD")</f>
        <v>Sunday</v>
      </c>
      <c r="J106" s="6" t="s">
        <v>14</v>
      </c>
      <c r="K106" s="6">
        <f>ROUND(Data!$G106,0)</f>
        <v>5</v>
      </c>
      <c r="L106" t="str" cm="1">
        <f t="array" ref="L106">_xlfn.IFS(C106&lt;=15,"Very Short",C106&lt;=30,"Short",C106&lt;=60,"Medium",C106&gt;60,"Long")</f>
        <v>Long</v>
      </c>
      <c r="M106" t="str" cm="1">
        <f t="array" ref="M106">_xlfn.IFS(F106&lt;=50,"Low",F106&lt;=100,"Medium",F106&lt;=150,"High",F106&gt;150,"Very High")</f>
        <v>Low</v>
      </c>
    </row>
    <row r="107" spans="1:13" ht="14.25" customHeight="1" x14ac:dyDescent="0.4">
      <c r="A107" s="6" t="s">
        <v>140</v>
      </c>
      <c r="B107" s="6" t="s">
        <v>40</v>
      </c>
      <c r="C107" s="6">
        <v>28</v>
      </c>
      <c r="D107" s="7" t="s">
        <v>35</v>
      </c>
      <c r="E107" s="11">
        <v>44969</v>
      </c>
      <c r="F107" s="10">
        <v>74</v>
      </c>
      <c r="G107" s="6">
        <v>3.5</v>
      </c>
      <c r="H107" s="6">
        <f>IF(MONTH(Data!$E107)&lt;=6, YEAR(Data!$E107), YEAR(Data!$E107)+1)</f>
        <v>2023</v>
      </c>
      <c r="I107" s="6" t="str">
        <f>TEXT(Data!$E107,"DDDD")</f>
        <v>Sunday</v>
      </c>
      <c r="J107" s="6" t="s">
        <v>47</v>
      </c>
      <c r="K107" s="6">
        <f>ROUND(Data!$G107,0)</f>
        <v>4</v>
      </c>
      <c r="L107" t="str" cm="1">
        <f t="array" ref="L107">_xlfn.IFS(C107&lt;=15,"Very Short",C107&lt;=30,"Short",C107&lt;=60,"Medium",C107&gt;60,"Long")</f>
        <v>Short</v>
      </c>
      <c r="M107" t="str" cm="1">
        <f t="array" ref="M107">_xlfn.IFS(F107&lt;=50,"Low",F107&lt;=100,"Medium",F107&lt;=150,"High",F107&gt;150,"Very High")</f>
        <v>Medium</v>
      </c>
    </row>
    <row r="108" spans="1:13" ht="14.25" customHeight="1" x14ac:dyDescent="0.4">
      <c r="A108" s="6" t="s">
        <v>141</v>
      </c>
      <c r="B108" s="6" t="s">
        <v>16</v>
      </c>
      <c r="C108" s="6">
        <v>127</v>
      </c>
      <c r="D108" s="7" t="s">
        <v>31</v>
      </c>
      <c r="E108" s="11">
        <v>44970</v>
      </c>
      <c r="F108" s="10">
        <v>165</v>
      </c>
      <c r="G108" s="6">
        <v>4.7</v>
      </c>
      <c r="H108" s="6">
        <f>IF(MONTH(Data!$E108)&lt;=6, YEAR(Data!$E108), YEAR(Data!$E108)+1)</f>
        <v>2023</v>
      </c>
      <c r="I108" s="6" t="str">
        <f>TEXT(Data!$E108,"DDDD")</f>
        <v>Monday</v>
      </c>
      <c r="J108" s="6" t="s">
        <v>25</v>
      </c>
      <c r="K108" s="6">
        <f>ROUND(Data!$G108,0)</f>
        <v>5</v>
      </c>
      <c r="L108" t="str" cm="1">
        <f t="array" ref="L108">_xlfn.IFS(C108&lt;=15,"Very Short",C108&lt;=30,"Short",C108&lt;=60,"Medium",C108&gt;60,"Long")</f>
        <v>Long</v>
      </c>
      <c r="M108" t="str" cm="1">
        <f t="array" ref="M108">_xlfn.IFS(F108&lt;=50,"Low",F108&lt;=100,"Medium",F108&lt;=150,"High",F108&gt;150,"Very High")</f>
        <v>Very High</v>
      </c>
    </row>
    <row r="109" spans="1:13" ht="14.25" customHeight="1" x14ac:dyDescent="0.4">
      <c r="A109" s="6" t="s">
        <v>142</v>
      </c>
      <c r="B109" s="6" t="s">
        <v>55</v>
      </c>
      <c r="C109" s="6">
        <v>137</v>
      </c>
      <c r="D109" s="7" t="s">
        <v>24</v>
      </c>
      <c r="E109" s="11">
        <v>44970</v>
      </c>
      <c r="F109" s="10">
        <v>34</v>
      </c>
      <c r="G109" s="6">
        <v>2.9</v>
      </c>
      <c r="H109" s="6">
        <f>IF(MONTH(Data!$E109)&lt;=6, YEAR(Data!$E109), YEAR(Data!$E109)+1)</f>
        <v>2023</v>
      </c>
      <c r="I109" s="6" t="str">
        <f>TEXT(Data!$E109,"DDDD")</f>
        <v>Monday</v>
      </c>
      <c r="J109" s="6" t="s">
        <v>25</v>
      </c>
      <c r="K109" s="6">
        <f>ROUND(Data!$G109,0)</f>
        <v>3</v>
      </c>
      <c r="L109" t="str" cm="1">
        <f t="array" ref="L109">_xlfn.IFS(C109&lt;=15,"Very Short",C109&lt;=30,"Short",C109&lt;=60,"Medium",C109&gt;60,"Long")</f>
        <v>Long</v>
      </c>
      <c r="M109" t="str" cm="1">
        <f t="array" ref="M109">_xlfn.IFS(F109&lt;=50,"Low",F109&lt;=100,"Medium",F109&lt;=150,"High",F109&gt;150,"Very High")</f>
        <v>Low</v>
      </c>
    </row>
    <row r="110" spans="1:13" ht="14.25" customHeight="1" x14ac:dyDescent="0.4">
      <c r="A110" s="6" t="s">
        <v>143</v>
      </c>
      <c r="B110" s="6" t="s">
        <v>16</v>
      </c>
      <c r="C110" s="6">
        <v>76</v>
      </c>
      <c r="D110" s="7" t="s">
        <v>35</v>
      </c>
      <c r="E110" s="11">
        <v>44970</v>
      </c>
      <c r="F110" s="10">
        <v>64</v>
      </c>
      <c r="G110" s="6">
        <v>3.4</v>
      </c>
      <c r="H110" s="6">
        <f>IF(MONTH(Data!$E110)&lt;=6, YEAR(Data!$E110), YEAR(Data!$E110)+1)</f>
        <v>2023</v>
      </c>
      <c r="I110" s="6" t="str">
        <f>TEXT(Data!$E110,"DDDD")</f>
        <v>Monday</v>
      </c>
      <c r="J110" s="6" t="s">
        <v>14</v>
      </c>
      <c r="K110" s="6">
        <f>ROUND(Data!$G110,0)</f>
        <v>3</v>
      </c>
      <c r="L110" t="str" cm="1">
        <f t="array" ref="L110">_xlfn.IFS(C110&lt;=15,"Very Short",C110&lt;=30,"Short",C110&lt;=60,"Medium",C110&gt;60,"Long")</f>
        <v>Long</v>
      </c>
      <c r="M110" t="str" cm="1">
        <f t="array" ref="M110">_xlfn.IFS(F110&lt;=50,"Low",F110&lt;=100,"Medium",F110&lt;=150,"High",F110&gt;150,"Very High")</f>
        <v>Medium</v>
      </c>
    </row>
    <row r="111" spans="1:13" ht="14.25" customHeight="1" x14ac:dyDescent="0.4">
      <c r="A111" s="6" t="s">
        <v>144</v>
      </c>
      <c r="B111" s="6" t="s">
        <v>18</v>
      </c>
      <c r="C111" s="6">
        <v>80</v>
      </c>
      <c r="D111" s="7" t="s">
        <v>31</v>
      </c>
      <c r="E111" s="11">
        <v>44971</v>
      </c>
      <c r="F111" s="10">
        <v>155</v>
      </c>
      <c r="G111" s="6">
        <v>3.2</v>
      </c>
      <c r="H111" s="6">
        <f>IF(MONTH(Data!$E111)&lt;=6, YEAR(Data!$E111), YEAR(Data!$E111)+1)</f>
        <v>2023</v>
      </c>
      <c r="I111" s="6" t="str">
        <f>TEXT(Data!$E111,"DDDD")</f>
        <v>Tuesday</v>
      </c>
      <c r="J111" s="6" t="s">
        <v>14</v>
      </c>
      <c r="K111" s="6">
        <f>ROUND(Data!$G111,0)</f>
        <v>3</v>
      </c>
      <c r="L111" t="str" cm="1">
        <f t="array" ref="L111">_xlfn.IFS(C111&lt;=15,"Very Short",C111&lt;=30,"Short",C111&lt;=60,"Medium",C111&gt;60,"Long")</f>
        <v>Long</v>
      </c>
      <c r="M111" t="str" cm="1">
        <f t="array" ref="M111">_xlfn.IFS(F111&lt;=50,"Low",F111&lt;=100,"Medium",F111&lt;=150,"High",F111&gt;150,"Very High")</f>
        <v>Very High</v>
      </c>
    </row>
    <row r="112" spans="1:13" ht="14.25" customHeight="1" x14ac:dyDescent="0.4">
      <c r="A112" s="6" t="s">
        <v>145</v>
      </c>
      <c r="B112" s="6" t="s">
        <v>16</v>
      </c>
      <c r="C112" s="6">
        <v>95</v>
      </c>
      <c r="D112" s="7" t="s">
        <v>19</v>
      </c>
      <c r="E112" s="11">
        <v>44972</v>
      </c>
      <c r="F112" s="10">
        <v>120</v>
      </c>
      <c r="G112" s="6">
        <v>4.8</v>
      </c>
      <c r="H112" s="6">
        <f>IF(MONTH(Data!$E112)&lt;=6, YEAR(Data!$E112), YEAR(Data!$E112)+1)</f>
        <v>2023</v>
      </c>
      <c r="I112" s="6" t="str">
        <f>TEXT(Data!$E112,"DDDD")</f>
        <v>Wednesday</v>
      </c>
      <c r="J112" s="6" t="s">
        <v>14</v>
      </c>
      <c r="K112" s="6">
        <f>ROUND(Data!$G112,0)</f>
        <v>5</v>
      </c>
      <c r="L112" t="str" cm="1">
        <f t="array" ref="L112">_xlfn.IFS(C112&lt;=15,"Very Short",C112&lt;=30,"Short",C112&lt;=60,"Medium",C112&gt;60,"Long")</f>
        <v>Long</v>
      </c>
      <c r="M112" t="str" cm="1">
        <f t="array" ref="M112">_xlfn.IFS(F112&lt;=50,"Low",F112&lt;=100,"Medium",F112&lt;=150,"High",F112&gt;150,"Very High")</f>
        <v>High</v>
      </c>
    </row>
    <row r="113" spans="1:13" ht="14.25" customHeight="1" x14ac:dyDescent="0.4">
      <c r="A113" s="6" t="s">
        <v>146</v>
      </c>
      <c r="B113" s="6" t="s">
        <v>50</v>
      </c>
      <c r="C113" s="6">
        <v>30</v>
      </c>
      <c r="D113" s="7" t="s">
        <v>35</v>
      </c>
      <c r="E113" s="11">
        <v>44972</v>
      </c>
      <c r="F113" s="10">
        <v>105</v>
      </c>
      <c r="G113" s="6">
        <v>3.6</v>
      </c>
      <c r="H113" s="6">
        <f>IF(MONTH(Data!$E113)&lt;=6, YEAR(Data!$E113), YEAR(Data!$E113)+1)</f>
        <v>2023</v>
      </c>
      <c r="I113" s="6" t="str">
        <f>TEXT(Data!$E113,"DDDD")</f>
        <v>Wednesday</v>
      </c>
      <c r="J113" s="6" t="s">
        <v>47</v>
      </c>
      <c r="K113" s="6">
        <f>ROUND(Data!$G113,0)</f>
        <v>4</v>
      </c>
      <c r="L113" t="str" cm="1">
        <f t="array" ref="L113">_xlfn.IFS(C113&lt;=15,"Very Short",C113&lt;=30,"Short",C113&lt;=60,"Medium",C113&gt;60,"Long")</f>
        <v>Short</v>
      </c>
      <c r="M113" t="str" cm="1">
        <f t="array" ref="M113">_xlfn.IFS(F113&lt;=50,"Low",F113&lt;=100,"Medium",F113&lt;=150,"High",F113&gt;150,"Very High")</f>
        <v>High</v>
      </c>
    </row>
    <row r="114" spans="1:13" ht="14.25" customHeight="1" x14ac:dyDescent="0.4">
      <c r="A114" s="6" t="s">
        <v>147</v>
      </c>
      <c r="B114" s="6" t="s">
        <v>23</v>
      </c>
      <c r="C114" s="6">
        <v>19</v>
      </c>
      <c r="D114" s="7" t="s">
        <v>24</v>
      </c>
      <c r="E114" s="11">
        <v>44972</v>
      </c>
      <c r="F114" s="10">
        <v>28</v>
      </c>
      <c r="G114" s="6">
        <v>4.9000000000000004</v>
      </c>
      <c r="H114" s="6">
        <f>IF(MONTH(Data!$E114)&lt;=6, YEAR(Data!$E114), YEAR(Data!$E114)+1)</f>
        <v>2023</v>
      </c>
      <c r="I114" s="6" t="str">
        <f>TEXT(Data!$E114,"DDDD")</f>
        <v>Wednesday</v>
      </c>
      <c r="J114" s="6" t="s">
        <v>47</v>
      </c>
      <c r="K114" s="6">
        <f>ROUND(Data!$G114,0)</f>
        <v>5</v>
      </c>
      <c r="L114" t="str" cm="1">
        <f t="array" ref="L114">_xlfn.IFS(C114&lt;=15,"Very Short",C114&lt;=30,"Short",C114&lt;=60,"Medium",C114&gt;60,"Long")</f>
        <v>Short</v>
      </c>
      <c r="M114" t="str" cm="1">
        <f t="array" ref="M114">_xlfn.IFS(F114&lt;=50,"Low",F114&lt;=100,"Medium",F114&lt;=150,"High",F114&gt;150,"Very High")</f>
        <v>Low</v>
      </c>
    </row>
    <row r="115" spans="1:13" ht="14.25" customHeight="1" x14ac:dyDescent="0.4">
      <c r="A115" s="6" t="s">
        <v>148</v>
      </c>
      <c r="B115" s="6" t="s">
        <v>34</v>
      </c>
      <c r="C115" s="6">
        <v>38</v>
      </c>
      <c r="D115" s="7" t="s">
        <v>31</v>
      </c>
      <c r="E115" s="11">
        <v>44972</v>
      </c>
      <c r="F115" s="10">
        <v>100</v>
      </c>
      <c r="G115" s="6">
        <v>4.8</v>
      </c>
      <c r="H115" s="6">
        <f>IF(MONTH(Data!$E115)&lt;=6, YEAR(Data!$E115), YEAR(Data!$E115)+1)</f>
        <v>2023</v>
      </c>
      <c r="I115" s="6" t="str">
        <f>TEXT(Data!$E115,"DDDD")</f>
        <v>Wednesday</v>
      </c>
      <c r="J115" s="6" t="s">
        <v>27</v>
      </c>
      <c r="K115" s="6">
        <f>ROUND(Data!$G115,0)</f>
        <v>5</v>
      </c>
      <c r="L115" t="str" cm="1">
        <f t="array" ref="L115">_xlfn.IFS(C115&lt;=15,"Very Short",C115&lt;=30,"Short",C115&lt;=60,"Medium",C115&gt;60,"Long")</f>
        <v>Medium</v>
      </c>
      <c r="M115" t="str" cm="1">
        <f t="array" ref="M115">_xlfn.IFS(F115&lt;=50,"Low",F115&lt;=100,"Medium",F115&lt;=150,"High",F115&gt;150,"Very High")</f>
        <v>Medium</v>
      </c>
    </row>
    <row r="116" spans="1:13" ht="14.25" customHeight="1" x14ac:dyDescent="0.4">
      <c r="A116" s="6" t="s">
        <v>149</v>
      </c>
      <c r="B116" s="6" t="s">
        <v>38</v>
      </c>
      <c r="C116" s="6">
        <v>55</v>
      </c>
      <c r="D116" s="7" t="s">
        <v>24</v>
      </c>
      <c r="E116" s="11">
        <v>44972</v>
      </c>
      <c r="F116" s="10">
        <v>23</v>
      </c>
      <c r="G116" s="6">
        <v>3.6</v>
      </c>
      <c r="H116" s="6">
        <f>IF(MONTH(Data!$E116)&lt;=6, YEAR(Data!$E116), YEAR(Data!$E116)+1)</f>
        <v>2023</v>
      </c>
      <c r="I116" s="6" t="str">
        <f>TEXT(Data!$E116,"DDDD")</f>
        <v>Wednesday</v>
      </c>
      <c r="J116" s="6" t="s">
        <v>27</v>
      </c>
      <c r="K116" s="6">
        <f>ROUND(Data!$G116,0)</f>
        <v>4</v>
      </c>
      <c r="L116" t="str" cm="1">
        <f t="array" ref="L116">_xlfn.IFS(C116&lt;=15,"Very Short",C116&lt;=30,"Short",C116&lt;=60,"Medium",C116&gt;60,"Long")</f>
        <v>Medium</v>
      </c>
      <c r="M116" t="str" cm="1">
        <f t="array" ref="M116">_xlfn.IFS(F116&lt;=50,"Low",F116&lt;=100,"Medium",F116&lt;=150,"High",F116&gt;150,"Very High")</f>
        <v>Low</v>
      </c>
    </row>
    <row r="117" spans="1:13" ht="14.25" customHeight="1" x14ac:dyDescent="0.4">
      <c r="A117" s="6" t="s">
        <v>150</v>
      </c>
      <c r="B117" s="6" t="s">
        <v>46</v>
      </c>
      <c r="C117" s="6">
        <v>27</v>
      </c>
      <c r="D117" s="7" t="s">
        <v>35</v>
      </c>
      <c r="E117" s="11">
        <v>44973</v>
      </c>
      <c r="F117" s="10">
        <v>70</v>
      </c>
      <c r="G117" s="6">
        <v>3.9</v>
      </c>
      <c r="H117" s="6">
        <f>IF(MONTH(Data!$E117)&lt;=6, YEAR(Data!$E117), YEAR(Data!$E117)+1)</f>
        <v>2023</v>
      </c>
      <c r="I117" s="6" t="str">
        <f>TEXT(Data!$E117,"DDDD")</f>
        <v>Thursday</v>
      </c>
      <c r="J117" s="6" t="s">
        <v>47</v>
      </c>
      <c r="K117" s="6">
        <f>ROUND(Data!$G117,0)</f>
        <v>4</v>
      </c>
      <c r="L117" t="str" cm="1">
        <f t="array" ref="L117">_xlfn.IFS(C117&lt;=15,"Very Short",C117&lt;=30,"Short",C117&lt;=60,"Medium",C117&gt;60,"Long")</f>
        <v>Short</v>
      </c>
      <c r="M117" t="str" cm="1">
        <f t="array" ref="M117">_xlfn.IFS(F117&lt;=50,"Low",F117&lt;=100,"Medium",F117&lt;=150,"High",F117&gt;150,"Very High")</f>
        <v>Medium</v>
      </c>
    </row>
    <row r="118" spans="1:13" ht="14.25" customHeight="1" x14ac:dyDescent="0.4">
      <c r="A118" s="6" t="s">
        <v>151</v>
      </c>
      <c r="B118" s="6" t="s">
        <v>46</v>
      </c>
      <c r="C118" s="6">
        <v>32</v>
      </c>
      <c r="D118" s="7" t="s">
        <v>35</v>
      </c>
      <c r="E118" s="11">
        <v>44973</v>
      </c>
      <c r="F118" s="10">
        <v>37</v>
      </c>
      <c r="G118" s="6">
        <v>1.9</v>
      </c>
      <c r="H118" s="6">
        <f>IF(MONTH(Data!$E118)&lt;=6, YEAR(Data!$E118), YEAR(Data!$E118)+1)</f>
        <v>2023</v>
      </c>
      <c r="I118" s="6" t="str">
        <f>TEXT(Data!$E118,"DDDD")</f>
        <v>Thursday</v>
      </c>
      <c r="J118" s="6" t="s">
        <v>27</v>
      </c>
      <c r="K118" s="6">
        <f>ROUND(Data!$G118,0)</f>
        <v>2</v>
      </c>
      <c r="L118" t="str" cm="1">
        <f t="array" ref="L118">_xlfn.IFS(C118&lt;=15,"Very Short",C118&lt;=30,"Short",C118&lt;=60,"Medium",C118&gt;60,"Long")</f>
        <v>Medium</v>
      </c>
      <c r="M118" t="str" cm="1">
        <f t="array" ref="M118">_xlfn.IFS(F118&lt;=50,"Low",F118&lt;=100,"Medium",F118&lt;=150,"High",F118&gt;150,"Very High")</f>
        <v>Low</v>
      </c>
    </row>
    <row r="119" spans="1:13" ht="14.25" customHeight="1" x14ac:dyDescent="0.4">
      <c r="A119" s="6" t="s">
        <v>152</v>
      </c>
      <c r="B119" s="6" t="s">
        <v>40</v>
      </c>
      <c r="C119" s="6">
        <v>116</v>
      </c>
      <c r="D119" s="7" t="s">
        <v>13</v>
      </c>
      <c r="E119" s="11">
        <v>44973</v>
      </c>
      <c r="F119" s="10">
        <v>140</v>
      </c>
      <c r="G119" s="6">
        <v>3.6</v>
      </c>
      <c r="H119" s="6">
        <f>IF(MONTH(Data!$E119)&lt;=6, YEAR(Data!$E119), YEAR(Data!$E119)+1)</f>
        <v>2023</v>
      </c>
      <c r="I119" s="6" t="str">
        <f>TEXT(Data!$E119,"DDDD")</f>
        <v>Thursday</v>
      </c>
      <c r="J119" s="6" t="s">
        <v>14</v>
      </c>
      <c r="K119" s="6">
        <f>ROUND(Data!$G119,0)</f>
        <v>4</v>
      </c>
      <c r="L119" t="str" cm="1">
        <f t="array" ref="L119">_xlfn.IFS(C119&lt;=15,"Very Short",C119&lt;=30,"Short",C119&lt;=60,"Medium",C119&gt;60,"Long")</f>
        <v>Long</v>
      </c>
      <c r="M119" t="str" cm="1">
        <f t="array" ref="M119">_xlfn.IFS(F119&lt;=50,"Low",F119&lt;=100,"Medium",F119&lt;=150,"High",F119&gt;150,"Very High")</f>
        <v>High</v>
      </c>
    </row>
    <row r="120" spans="1:13" ht="14.25" customHeight="1" x14ac:dyDescent="0.4">
      <c r="A120" s="6" t="s">
        <v>153</v>
      </c>
      <c r="B120" s="6" t="s">
        <v>12</v>
      </c>
      <c r="C120" s="6">
        <v>99</v>
      </c>
      <c r="D120" s="7" t="s">
        <v>19</v>
      </c>
      <c r="E120" s="11">
        <v>44973</v>
      </c>
      <c r="F120" s="10">
        <v>78</v>
      </c>
      <c r="G120" s="6">
        <v>4.0999999999999996</v>
      </c>
      <c r="H120" s="6">
        <f>IF(MONTH(Data!$E120)&lt;=6, YEAR(Data!$E120), YEAR(Data!$E120)+1)</f>
        <v>2023</v>
      </c>
      <c r="I120" s="6" t="str">
        <f>TEXT(Data!$E120,"DDDD")</f>
        <v>Thursday</v>
      </c>
      <c r="J120" s="6" t="s">
        <v>14</v>
      </c>
      <c r="K120" s="6">
        <f>ROUND(Data!$G120,0)</f>
        <v>4</v>
      </c>
      <c r="L120" t="str" cm="1">
        <f t="array" ref="L120">_xlfn.IFS(C120&lt;=15,"Very Short",C120&lt;=30,"Short",C120&lt;=60,"Medium",C120&gt;60,"Long")</f>
        <v>Long</v>
      </c>
      <c r="M120" t="str" cm="1">
        <f t="array" ref="M120">_xlfn.IFS(F120&lt;=50,"Low",F120&lt;=100,"Medium",F120&lt;=150,"High",F120&gt;150,"Very High")</f>
        <v>Medium</v>
      </c>
    </row>
    <row r="121" spans="1:13" ht="14.25" customHeight="1" x14ac:dyDescent="0.4">
      <c r="A121" s="6" t="s">
        <v>154</v>
      </c>
      <c r="B121" s="6" t="s">
        <v>16</v>
      </c>
      <c r="C121" s="6">
        <v>75</v>
      </c>
      <c r="D121" s="7" t="s">
        <v>35</v>
      </c>
      <c r="E121" s="11">
        <v>44974</v>
      </c>
      <c r="F121" s="10">
        <v>21</v>
      </c>
      <c r="G121" s="6">
        <v>4.2</v>
      </c>
      <c r="H121" s="6">
        <f>IF(MONTH(Data!$E121)&lt;=6, YEAR(Data!$E121), YEAR(Data!$E121)+1)</f>
        <v>2023</v>
      </c>
      <c r="I121" s="6" t="str">
        <f>TEXT(Data!$E121,"DDDD")</f>
        <v>Friday</v>
      </c>
      <c r="J121" s="6" t="s">
        <v>14</v>
      </c>
      <c r="K121" s="6">
        <f>ROUND(Data!$G121,0)</f>
        <v>4</v>
      </c>
      <c r="L121" t="str" cm="1">
        <f t="array" ref="L121">_xlfn.IFS(C121&lt;=15,"Very Short",C121&lt;=30,"Short",C121&lt;=60,"Medium",C121&gt;60,"Long")</f>
        <v>Long</v>
      </c>
      <c r="M121" t="str" cm="1">
        <f t="array" ref="M121">_xlfn.IFS(F121&lt;=50,"Low",F121&lt;=100,"Medium",F121&lt;=150,"High",F121&gt;150,"Very High")</f>
        <v>Low</v>
      </c>
    </row>
    <row r="122" spans="1:13" ht="14.25" customHeight="1" x14ac:dyDescent="0.4">
      <c r="A122" s="6" t="s">
        <v>155</v>
      </c>
      <c r="B122" s="6" t="s">
        <v>18</v>
      </c>
      <c r="C122" s="6">
        <v>57</v>
      </c>
      <c r="D122" s="7" t="s">
        <v>13</v>
      </c>
      <c r="E122" s="11">
        <v>44974</v>
      </c>
      <c r="F122" s="10">
        <v>88</v>
      </c>
      <c r="G122" s="6">
        <v>4.3</v>
      </c>
      <c r="H122" s="6">
        <f>IF(MONTH(Data!$E122)&lt;=6, YEAR(Data!$E122), YEAR(Data!$E122)+1)</f>
        <v>2023</v>
      </c>
      <c r="I122" s="6" t="str">
        <f>TEXT(Data!$E122,"DDDD")</f>
        <v>Friday</v>
      </c>
      <c r="J122" s="6" t="s">
        <v>27</v>
      </c>
      <c r="K122" s="6">
        <f>ROUND(Data!$G122,0)</f>
        <v>4</v>
      </c>
      <c r="L122" t="str" cm="1">
        <f t="array" ref="L122">_xlfn.IFS(C122&lt;=15,"Very Short",C122&lt;=30,"Short",C122&lt;=60,"Medium",C122&gt;60,"Long")</f>
        <v>Medium</v>
      </c>
      <c r="M122" t="str" cm="1">
        <f t="array" ref="M122">_xlfn.IFS(F122&lt;=50,"Low",F122&lt;=100,"Medium",F122&lt;=150,"High",F122&gt;150,"Very High")</f>
        <v>Medium</v>
      </c>
    </row>
    <row r="123" spans="1:13" ht="14.25" customHeight="1" x14ac:dyDescent="0.4">
      <c r="A123" s="6" t="s">
        <v>156</v>
      </c>
      <c r="B123" s="6" t="s">
        <v>29</v>
      </c>
      <c r="C123" s="6">
        <v>155</v>
      </c>
      <c r="D123" s="7" t="s">
        <v>13</v>
      </c>
      <c r="E123" s="11">
        <v>44975</v>
      </c>
      <c r="F123" s="10">
        <v>180</v>
      </c>
      <c r="G123" s="6">
        <v>2.2000000000000002</v>
      </c>
      <c r="H123" s="6">
        <f>IF(MONTH(Data!$E123)&lt;=6, YEAR(Data!$E123), YEAR(Data!$E123)+1)</f>
        <v>2023</v>
      </c>
      <c r="I123" s="6" t="str">
        <f>TEXT(Data!$E123,"DDDD")</f>
        <v>Saturday</v>
      </c>
      <c r="J123" s="6" t="s">
        <v>25</v>
      </c>
      <c r="K123" s="6">
        <f>ROUND(Data!$G123,0)</f>
        <v>2</v>
      </c>
      <c r="L123" t="str" cm="1">
        <f t="array" ref="L123">_xlfn.IFS(C123&lt;=15,"Very Short",C123&lt;=30,"Short",C123&lt;=60,"Medium",C123&gt;60,"Long")</f>
        <v>Long</v>
      </c>
      <c r="M123" t="str" cm="1">
        <f t="array" ref="M123">_xlfn.IFS(F123&lt;=50,"Low",F123&lt;=100,"Medium",F123&lt;=150,"High",F123&gt;150,"Very High")</f>
        <v>Very High</v>
      </c>
    </row>
    <row r="124" spans="1:13" ht="14.25" customHeight="1" x14ac:dyDescent="0.4">
      <c r="A124" s="6" t="s">
        <v>157</v>
      </c>
      <c r="B124" s="6" t="s">
        <v>12</v>
      </c>
      <c r="C124" s="6">
        <v>68</v>
      </c>
      <c r="D124" s="7" t="s">
        <v>19</v>
      </c>
      <c r="E124" s="11">
        <v>44975</v>
      </c>
      <c r="F124" s="10">
        <v>22</v>
      </c>
      <c r="G124" s="6">
        <v>3.3</v>
      </c>
      <c r="H124" s="6">
        <f>IF(MONTH(Data!$E124)&lt;=6, YEAR(Data!$E124), YEAR(Data!$E124)+1)</f>
        <v>2023</v>
      </c>
      <c r="I124" s="6" t="str">
        <f>TEXT(Data!$E124,"DDDD")</f>
        <v>Saturday</v>
      </c>
      <c r="J124" s="6" t="s">
        <v>14</v>
      </c>
      <c r="K124" s="6">
        <f>ROUND(Data!$G124,0)</f>
        <v>3</v>
      </c>
      <c r="L124" t="str" cm="1">
        <f t="array" ref="L124">_xlfn.IFS(C124&lt;=15,"Very Short",C124&lt;=30,"Short",C124&lt;=60,"Medium",C124&gt;60,"Long")</f>
        <v>Long</v>
      </c>
      <c r="M124" t="str" cm="1">
        <f t="array" ref="M124">_xlfn.IFS(F124&lt;=50,"Low",F124&lt;=100,"Medium",F124&lt;=150,"High",F124&gt;150,"Very High")</f>
        <v>Low</v>
      </c>
    </row>
    <row r="125" spans="1:13" ht="14.25" customHeight="1" x14ac:dyDescent="0.4">
      <c r="A125" s="6" t="s">
        <v>158</v>
      </c>
      <c r="B125" s="6" t="s">
        <v>34</v>
      </c>
      <c r="C125" s="6">
        <v>95</v>
      </c>
      <c r="D125" s="7" t="s">
        <v>19</v>
      </c>
      <c r="E125" s="11">
        <v>44975</v>
      </c>
      <c r="F125" s="10">
        <v>52</v>
      </c>
      <c r="G125" s="6">
        <v>4.8</v>
      </c>
      <c r="H125" s="6">
        <f>IF(MONTH(Data!$E125)&lt;=6, YEAR(Data!$E125), YEAR(Data!$E125)+1)</f>
        <v>2023</v>
      </c>
      <c r="I125" s="6" t="str">
        <f>TEXT(Data!$E125,"DDDD")</f>
        <v>Saturday</v>
      </c>
      <c r="J125" s="6" t="s">
        <v>14</v>
      </c>
      <c r="K125" s="6">
        <f>ROUND(Data!$G125,0)</f>
        <v>5</v>
      </c>
      <c r="L125" t="str" cm="1">
        <f t="array" ref="L125">_xlfn.IFS(C125&lt;=15,"Very Short",C125&lt;=30,"Short",C125&lt;=60,"Medium",C125&gt;60,"Long")</f>
        <v>Long</v>
      </c>
      <c r="M125" t="str" cm="1">
        <f t="array" ref="M125">_xlfn.IFS(F125&lt;=50,"Low",F125&lt;=100,"Medium",F125&lt;=150,"High",F125&gt;150,"Very High")</f>
        <v>Medium</v>
      </c>
    </row>
    <row r="126" spans="1:13" ht="14.25" customHeight="1" x14ac:dyDescent="0.4">
      <c r="A126" s="6" t="s">
        <v>159</v>
      </c>
      <c r="B126" s="6" t="s">
        <v>55</v>
      </c>
      <c r="C126" s="6">
        <v>65</v>
      </c>
      <c r="D126" s="7" t="s">
        <v>13</v>
      </c>
      <c r="E126" s="11">
        <v>44976</v>
      </c>
      <c r="F126" s="10">
        <v>80</v>
      </c>
      <c r="G126" s="6">
        <v>4</v>
      </c>
      <c r="H126" s="6">
        <f>IF(MONTH(Data!$E126)&lt;=6, YEAR(Data!$E126), YEAR(Data!$E126)+1)</f>
        <v>2023</v>
      </c>
      <c r="I126" s="6" t="str">
        <f>TEXT(Data!$E126,"DDDD")</f>
        <v>Sunday</v>
      </c>
      <c r="J126" s="6" t="s">
        <v>14</v>
      </c>
      <c r="K126" s="6">
        <f>ROUND(Data!$G126,0)</f>
        <v>4</v>
      </c>
      <c r="L126" t="str" cm="1">
        <f t="array" ref="L126">_xlfn.IFS(C126&lt;=15,"Very Short",C126&lt;=30,"Short",C126&lt;=60,"Medium",C126&gt;60,"Long")</f>
        <v>Long</v>
      </c>
      <c r="M126" t="str" cm="1">
        <f t="array" ref="M126">_xlfn.IFS(F126&lt;=50,"Low",F126&lt;=100,"Medium",F126&lt;=150,"High",F126&gt;150,"Very High")</f>
        <v>Medium</v>
      </c>
    </row>
    <row r="127" spans="1:13" ht="14.25" customHeight="1" x14ac:dyDescent="0.4">
      <c r="A127" s="6" t="s">
        <v>160</v>
      </c>
      <c r="B127" s="6" t="s">
        <v>23</v>
      </c>
      <c r="C127" s="6">
        <v>114</v>
      </c>
      <c r="D127" s="7" t="s">
        <v>24</v>
      </c>
      <c r="E127" s="11">
        <v>44976</v>
      </c>
      <c r="F127" s="10">
        <v>54</v>
      </c>
      <c r="G127" s="6">
        <v>1.1000000000000001</v>
      </c>
      <c r="H127" s="6">
        <f>IF(MONTH(Data!$E127)&lt;=6, YEAR(Data!$E127), YEAR(Data!$E127)+1)</f>
        <v>2023</v>
      </c>
      <c r="I127" s="6" t="str">
        <f>TEXT(Data!$E127,"DDDD")</f>
        <v>Sunday</v>
      </c>
      <c r="J127" s="6" t="s">
        <v>14</v>
      </c>
      <c r="K127" s="6">
        <f>ROUND(Data!$G127,0)</f>
        <v>1</v>
      </c>
      <c r="L127" t="str" cm="1">
        <f t="array" ref="L127">_xlfn.IFS(C127&lt;=15,"Very Short",C127&lt;=30,"Short",C127&lt;=60,"Medium",C127&gt;60,"Long")</f>
        <v>Long</v>
      </c>
      <c r="M127" t="str" cm="1">
        <f t="array" ref="M127">_xlfn.IFS(F127&lt;=50,"Low",F127&lt;=100,"Medium",F127&lt;=150,"High",F127&gt;150,"Very High")</f>
        <v>Medium</v>
      </c>
    </row>
    <row r="128" spans="1:13" ht="14.25" customHeight="1" x14ac:dyDescent="0.4">
      <c r="A128" s="6" t="s">
        <v>161</v>
      </c>
      <c r="B128" s="6" t="s">
        <v>16</v>
      </c>
      <c r="C128" s="6">
        <v>155</v>
      </c>
      <c r="D128" s="7" t="s">
        <v>24</v>
      </c>
      <c r="E128" s="11">
        <v>44977</v>
      </c>
      <c r="F128" s="10">
        <v>80</v>
      </c>
      <c r="G128" s="6">
        <v>3.9</v>
      </c>
      <c r="H128" s="6">
        <f>IF(MONTH(Data!$E128)&lt;=6, YEAR(Data!$E128), YEAR(Data!$E128)+1)</f>
        <v>2023</v>
      </c>
      <c r="I128" s="6" t="str">
        <f>TEXT(Data!$E128,"DDDD")</f>
        <v>Monday</v>
      </c>
      <c r="J128" s="6" t="s">
        <v>25</v>
      </c>
      <c r="K128" s="6">
        <f>ROUND(Data!$G128,0)</f>
        <v>4</v>
      </c>
      <c r="L128" t="str" cm="1">
        <f t="array" ref="L128">_xlfn.IFS(C128&lt;=15,"Very Short",C128&lt;=30,"Short",C128&lt;=60,"Medium",C128&gt;60,"Long")</f>
        <v>Long</v>
      </c>
      <c r="M128" t="str" cm="1">
        <f t="array" ref="M128">_xlfn.IFS(F128&lt;=50,"Low",F128&lt;=100,"Medium",F128&lt;=150,"High",F128&gt;150,"Very High")</f>
        <v>Medium</v>
      </c>
    </row>
    <row r="129" spans="1:13" ht="14.25" customHeight="1" x14ac:dyDescent="0.4">
      <c r="A129" s="6" t="s">
        <v>162</v>
      </c>
      <c r="B129" s="6" t="s">
        <v>55</v>
      </c>
      <c r="C129" s="6">
        <v>114</v>
      </c>
      <c r="D129" s="7" t="s">
        <v>13</v>
      </c>
      <c r="E129" s="11">
        <v>44978</v>
      </c>
      <c r="F129" s="10">
        <v>120</v>
      </c>
      <c r="G129" s="6">
        <v>1.8</v>
      </c>
      <c r="H129" s="6">
        <f>IF(MONTH(Data!$E129)&lt;=6, YEAR(Data!$E129), YEAR(Data!$E129)+1)</f>
        <v>2023</v>
      </c>
      <c r="I129" s="6" t="str">
        <f>TEXT(Data!$E129,"DDDD")</f>
        <v>Tuesday</v>
      </c>
      <c r="J129" s="6" t="s">
        <v>14</v>
      </c>
      <c r="K129" s="6">
        <f>ROUND(Data!$G129,0)</f>
        <v>2</v>
      </c>
      <c r="L129" t="str" cm="1">
        <f t="array" ref="L129">_xlfn.IFS(C129&lt;=15,"Very Short",C129&lt;=30,"Short",C129&lt;=60,"Medium",C129&gt;60,"Long")</f>
        <v>Long</v>
      </c>
      <c r="M129" t="str" cm="1">
        <f t="array" ref="M129">_xlfn.IFS(F129&lt;=50,"Low",F129&lt;=100,"Medium",F129&lt;=150,"High",F129&gt;150,"Very High")</f>
        <v>High</v>
      </c>
    </row>
    <row r="130" spans="1:13" ht="14.25" customHeight="1" x14ac:dyDescent="0.4">
      <c r="A130" s="6" t="s">
        <v>163</v>
      </c>
      <c r="B130" s="6" t="s">
        <v>29</v>
      </c>
      <c r="C130" s="6">
        <v>130</v>
      </c>
      <c r="D130" s="7" t="s">
        <v>31</v>
      </c>
      <c r="E130" s="11">
        <v>44978</v>
      </c>
      <c r="F130" s="10">
        <v>150</v>
      </c>
      <c r="G130" s="6">
        <v>1</v>
      </c>
      <c r="H130" s="6">
        <f>IF(MONTH(Data!$E130)&lt;=6, YEAR(Data!$E130), YEAR(Data!$E130)+1)</f>
        <v>2023</v>
      </c>
      <c r="I130" s="6" t="str">
        <f>TEXT(Data!$E130,"DDDD")</f>
        <v>Tuesday</v>
      </c>
      <c r="J130" s="6" t="s">
        <v>25</v>
      </c>
      <c r="K130" s="6">
        <f>ROUND(Data!$G130,0)</f>
        <v>1</v>
      </c>
      <c r="L130" t="str" cm="1">
        <f t="array" ref="L130">_xlfn.IFS(C130&lt;=15,"Very Short",C130&lt;=30,"Short",C130&lt;=60,"Medium",C130&gt;60,"Long")</f>
        <v>Long</v>
      </c>
      <c r="M130" t="str" cm="1">
        <f t="array" ref="M130">_xlfn.IFS(F130&lt;=50,"Low",F130&lt;=100,"Medium",F130&lt;=150,"High",F130&gt;150,"Very High")</f>
        <v>High</v>
      </c>
    </row>
    <row r="131" spans="1:13" ht="14.25" customHeight="1" x14ac:dyDescent="0.4">
      <c r="A131" s="6" t="s">
        <v>164</v>
      </c>
      <c r="B131" s="6" t="s">
        <v>16</v>
      </c>
      <c r="C131" s="6">
        <v>89</v>
      </c>
      <c r="D131" s="7" t="s">
        <v>13</v>
      </c>
      <c r="E131" s="11">
        <v>44978</v>
      </c>
      <c r="F131" s="10">
        <v>90</v>
      </c>
      <c r="G131" s="6">
        <v>4.3</v>
      </c>
      <c r="H131" s="6">
        <f>IF(MONTH(Data!$E131)&lt;=6, YEAR(Data!$E131), YEAR(Data!$E131)+1)</f>
        <v>2023</v>
      </c>
      <c r="I131" s="6" t="str">
        <f>TEXT(Data!$E131,"DDDD")</f>
        <v>Tuesday</v>
      </c>
      <c r="J131" s="6" t="s">
        <v>14</v>
      </c>
      <c r="K131" s="6">
        <f>ROUND(Data!$G131,0)</f>
        <v>4</v>
      </c>
      <c r="L131" t="str" cm="1">
        <f t="array" ref="L131">_xlfn.IFS(C131&lt;=15,"Very Short",C131&lt;=30,"Short",C131&lt;=60,"Medium",C131&gt;60,"Long")</f>
        <v>Long</v>
      </c>
      <c r="M131" t="str" cm="1">
        <f t="array" ref="M131">_xlfn.IFS(F131&lt;=50,"Low",F131&lt;=100,"Medium",F131&lt;=150,"High",F131&gt;150,"Very High")</f>
        <v>Medium</v>
      </c>
    </row>
    <row r="132" spans="1:13" ht="14.25" customHeight="1" x14ac:dyDescent="0.4">
      <c r="A132" s="6" t="s">
        <v>165</v>
      </c>
      <c r="B132" s="6" t="s">
        <v>68</v>
      </c>
      <c r="C132" s="6">
        <v>61</v>
      </c>
      <c r="D132" s="7" t="s">
        <v>35</v>
      </c>
      <c r="E132" s="11">
        <v>44979</v>
      </c>
      <c r="F132" s="10">
        <v>140</v>
      </c>
      <c r="G132" s="6">
        <v>3.4</v>
      </c>
      <c r="H132" s="6">
        <f>IF(MONTH(Data!$E132)&lt;=6, YEAR(Data!$E132), YEAR(Data!$E132)+1)</f>
        <v>2023</v>
      </c>
      <c r="I132" s="6" t="str">
        <f>TEXT(Data!$E132,"DDDD")</f>
        <v>Wednesday</v>
      </c>
      <c r="J132" s="6" t="s">
        <v>14</v>
      </c>
      <c r="K132" s="6">
        <f>ROUND(Data!$G132,0)</f>
        <v>3</v>
      </c>
      <c r="L132" t="str" cm="1">
        <f t="array" ref="L132">_xlfn.IFS(C132&lt;=15,"Very Short",C132&lt;=30,"Short",C132&lt;=60,"Medium",C132&gt;60,"Long")</f>
        <v>Long</v>
      </c>
      <c r="M132" t="str" cm="1">
        <f t="array" ref="M132">_xlfn.IFS(F132&lt;=50,"Low",F132&lt;=100,"Medium",F132&lt;=150,"High",F132&gt;150,"Very High")</f>
        <v>High</v>
      </c>
    </row>
    <row r="133" spans="1:13" ht="14.25" customHeight="1" x14ac:dyDescent="0.4">
      <c r="A133" s="6" t="s">
        <v>166</v>
      </c>
      <c r="B133" s="6" t="s">
        <v>34</v>
      </c>
      <c r="C133" s="6">
        <v>154</v>
      </c>
      <c r="D133" s="7" t="s">
        <v>24</v>
      </c>
      <c r="E133" s="11">
        <v>44979</v>
      </c>
      <c r="F133" s="10">
        <v>22</v>
      </c>
      <c r="G133" s="6">
        <v>3.4</v>
      </c>
      <c r="H133" s="6">
        <f>IF(MONTH(Data!$E133)&lt;=6, YEAR(Data!$E133), YEAR(Data!$E133)+1)</f>
        <v>2023</v>
      </c>
      <c r="I133" s="6" t="str">
        <f>TEXT(Data!$E133,"DDDD")</f>
        <v>Wednesday</v>
      </c>
      <c r="J133" s="6" t="s">
        <v>25</v>
      </c>
      <c r="K133" s="6">
        <f>ROUND(Data!$G133,0)</f>
        <v>3</v>
      </c>
      <c r="L133" t="str" cm="1">
        <f t="array" ref="L133">_xlfn.IFS(C133&lt;=15,"Very Short",C133&lt;=30,"Short",C133&lt;=60,"Medium",C133&gt;60,"Long")</f>
        <v>Long</v>
      </c>
      <c r="M133" t="str" cm="1">
        <f t="array" ref="M133">_xlfn.IFS(F133&lt;=50,"Low",F133&lt;=100,"Medium",F133&lt;=150,"High",F133&gt;150,"Very High")</f>
        <v>Low</v>
      </c>
    </row>
    <row r="134" spans="1:13" ht="14.25" customHeight="1" x14ac:dyDescent="0.4">
      <c r="A134" s="6" t="s">
        <v>167</v>
      </c>
      <c r="B134" s="6" t="s">
        <v>55</v>
      </c>
      <c r="C134" s="6">
        <v>115</v>
      </c>
      <c r="D134" s="7" t="s">
        <v>31</v>
      </c>
      <c r="E134" s="11">
        <v>44980</v>
      </c>
      <c r="F134" s="10">
        <v>150</v>
      </c>
      <c r="G134" s="6">
        <v>4.0999999999999996</v>
      </c>
      <c r="H134" s="6">
        <f>IF(MONTH(Data!$E134)&lt;=6, YEAR(Data!$E134), YEAR(Data!$E134)+1)</f>
        <v>2023</v>
      </c>
      <c r="I134" s="6" t="str">
        <f>TEXT(Data!$E134,"DDDD")</f>
        <v>Thursday</v>
      </c>
      <c r="J134" s="6" t="s">
        <v>14</v>
      </c>
      <c r="K134" s="6">
        <f>ROUND(Data!$G134,0)</f>
        <v>4</v>
      </c>
      <c r="L134" t="str" cm="1">
        <f t="array" ref="L134">_xlfn.IFS(C134&lt;=15,"Very Short",C134&lt;=30,"Short",C134&lt;=60,"Medium",C134&gt;60,"Long")</f>
        <v>Long</v>
      </c>
      <c r="M134" t="str" cm="1">
        <f t="array" ref="M134">_xlfn.IFS(F134&lt;=50,"Low",F134&lt;=100,"Medium",F134&lt;=150,"High",F134&gt;150,"Very High")</f>
        <v>High</v>
      </c>
    </row>
    <row r="135" spans="1:13" ht="14.25" customHeight="1" x14ac:dyDescent="0.4">
      <c r="A135" s="6" t="s">
        <v>168</v>
      </c>
      <c r="B135" s="6" t="s">
        <v>88</v>
      </c>
      <c r="C135" s="6">
        <v>138</v>
      </c>
      <c r="D135" s="7" t="s">
        <v>19</v>
      </c>
      <c r="E135" s="11">
        <v>44981</v>
      </c>
      <c r="F135" s="10">
        <v>35</v>
      </c>
      <c r="G135" s="6">
        <v>4.8</v>
      </c>
      <c r="H135" s="6">
        <f>IF(MONTH(Data!$E135)&lt;=6, YEAR(Data!$E135), YEAR(Data!$E135)+1)</f>
        <v>2023</v>
      </c>
      <c r="I135" s="6" t="str">
        <f>TEXT(Data!$E135,"DDDD")</f>
        <v>Friday</v>
      </c>
      <c r="J135" s="6" t="s">
        <v>25</v>
      </c>
      <c r="K135" s="6">
        <f>ROUND(Data!$G135,0)</f>
        <v>5</v>
      </c>
      <c r="L135" t="str" cm="1">
        <f t="array" ref="L135">_xlfn.IFS(C135&lt;=15,"Very Short",C135&lt;=30,"Short",C135&lt;=60,"Medium",C135&gt;60,"Long")</f>
        <v>Long</v>
      </c>
      <c r="M135" t="str" cm="1">
        <f t="array" ref="M135">_xlfn.IFS(F135&lt;=50,"Low",F135&lt;=100,"Medium",F135&lt;=150,"High",F135&gt;150,"Very High")</f>
        <v>Low</v>
      </c>
    </row>
    <row r="136" spans="1:13" ht="14.25" customHeight="1" x14ac:dyDescent="0.4">
      <c r="A136" s="6" t="s">
        <v>169</v>
      </c>
      <c r="B136" s="6" t="s">
        <v>21</v>
      </c>
      <c r="C136" s="6">
        <v>153</v>
      </c>
      <c r="D136" s="7" t="s">
        <v>13</v>
      </c>
      <c r="E136" s="11">
        <v>44981</v>
      </c>
      <c r="F136" s="10">
        <v>200</v>
      </c>
      <c r="G136" s="6">
        <v>2</v>
      </c>
      <c r="H136" s="6">
        <f>IF(MONTH(Data!$E136)&lt;=6, YEAR(Data!$E136), YEAR(Data!$E136)+1)</f>
        <v>2023</v>
      </c>
      <c r="I136" s="6" t="str">
        <f>TEXT(Data!$E136,"DDDD")</f>
        <v>Friday</v>
      </c>
      <c r="J136" s="6" t="s">
        <v>25</v>
      </c>
      <c r="K136" s="6">
        <f>ROUND(Data!$G136,0)</f>
        <v>2</v>
      </c>
      <c r="L136" t="str" cm="1">
        <f t="array" ref="L136">_xlfn.IFS(C136&lt;=15,"Very Short",C136&lt;=30,"Short",C136&lt;=60,"Medium",C136&gt;60,"Long")</f>
        <v>Long</v>
      </c>
      <c r="M136" t="str" cm="1">
        <f t="array" ref="M136">_xlfn.IFS(F136&lt;=50,"Low",F136&lt;=100,"Medium",F136&lt;=150,"High",F136&gt;150,"Very High")</f>
        <v>Very High</v>
      </c>
    </row>
    <row r="137" spans="1:13" ht="14.25" customHeight="1" x14ac:dyDescent="0.4">
      <c r="A137" s="6" t="s">
        <v>170</v>
      </c>
      <c r="B137" s="6" t="s">
        <v>55</v>
      </c>
      <c r="C137" s="6">
        <v>61</v>
      </c>
      <c r="D137" s="7" t="s">
        <v>35</v>
      </c>
      <c r="E137" s="11">
        <v>44982</v>
      </c>
      <c r="F137" s="10">
        <v>150</v>
      </c>
      <c r="G137" s="6">
        <v>4.5999999999999996</v>
      </c>
      <c r="H137" s="6">
        <f>IF(MONTH(Data!$E137)&lt;=6, YEAR(Data!$E137), YEAR(Data!$E137)+1)</f>
        <v>2023</v>
      </c>
      <c r="I137" s="6" t="str">
        <f>TEXT(Data!$E137,"DDDD")</f>
        <v>Saturday</v>
      </c>
      <c r="J137" s="6" t="s">
        <v>14</v>
      </c>
      <c r="K137" s="6">
        <f>ROUND(Data!$G137,0)</f>
        <v>5</v>
      </c>
      <c r="L137" t="str" cm="1">
        <f t="array" ref="L137">_xlfn.IFS(C137&lt;=15,"Very Short",C137&lt;=30,"Short",C137&lt;=60,"Medium",C137&gt;60,"Long")</f>
        <v>Long</v>
      </c>
      <c r="M137" t="str" cm="1">
        <f t="array" ref="M137">_xlfn.IFS(F137&lt;=50,"Low",F137&lt;=100,"Medium",F137&lt;=150,"High",F137&gt;150,"Very High")</f>
        <v>High</v>
      </c>
    </row>
    <row r="138" spans="1:13" ht="14.25" customHeight="1" x14ac:dyDescent="0.4">
      <c r="A138" s="6" t="s">
        <v>171</v>
      </c>
      <c r="B138" s="6" t="s">
        <v>46</v>
      </c>
      <c r="C138" s="6">
        <v>62</v>
      </c>
      <c r="D138" s="7" t="s">
        <v>13</v>
      </c>
      <c r="E138" s="11">
        <v>44982</v>
      </c>
      <c r="F138" s="10">
        <v>21</v>
      </c>
      <c r="G138" s="6">
        <v>2.6</v>
      </c>
      <c r="H138" s="6">
        <f>IF(MONTH(Data!$E138)&lt;=6, YEAR(Data!$E138), YEAR(Data!$E138)+1)</f>
        <v>2023</v>
      </c>
      <c r="I138" s="6" t="str">
        <f>TEXT(Data!$E138,"DDDD")</f>
        <v>Saturday</v>
      </c>
      <c r="J138" s="6" t="s">
        <v>14</v>
      </c>
      <c r="K138" s="6">
        <f>ROUND(Data!$G138,0)</f>
        <v>3</v>
      </c>
      <c r="L138" t="str" cm="1">
        <f t="array" ref="L138">_xlfn.IFS(C138&lt;=15,"Very Short",C138&lt;=30,"Short",C138&lt;=60,"Medium",C138&gt;60,"Long")</f>
        <v>Long</v>
      </c>
      <c r="M138" t="str" cm="1">
        <f t="array" ref="M138">_xlfn.IFS(F138&lt;=50,"Low",F138&lt;=100,"Medium",F138&lt;=150,"High",F138&gt;150,"Very High")</f>
        <v>Low</v>
      </c>
    </row>
    <row r="139" spans="1:13" ht="14.25" customHeight="1" x14ac:dyDescent="0.4">
      <c r="A139" s="6" t="s">
        <v>172</v>
      </c>
      <c r="B139" s="6" t="s">
        <v>68</v>
      </c>
      <c r="C139" s="6">
        <v>151</v>
      </c>
      <c r="D139" s="7" t="s">
        <v>31</v>
      </c>
      <c r="E139" s="11">
        <v>44983</v>
      </c>
      <c r="F139" s="10">
        <v>46</v>
      </c>
      <c r="G139" s="6">
        <v>4.9000000000000004</v>
      </c>
      <c r="H139" s="6">
        <f>IF(MONTH(Data!$E139)&lt;=6, YEAR(Data!$E139), YEAR(Data!$E139)+1)</f>
        <v>2023</v>
      </c>
      <c r="I139" s="6" t="str">
        <f>TEXT(Data!$E139,"DDDD")</f>
        <v>Sunday</v>
      </c>
      <c r="J139" s="6" t="s">
        <v>25</v>
      </c>
      <c r="K139" s="6">
        <f>ROUND(Data!$G139,0)</f>
        <v>5</v>
      </c>
      <c r="L139" t="str" cm="1">
        <f t="array" ref="L139">_xlfn.IFS(C139&lt;=15,"Very Short",C139&lt;=30,"Short",C139&lt;=60,"Medium",C139&gt;60,"Long")</f>
        <v>Long</v>
      </c>
      <c r="M139" t="str" cm="1">
        <f t="array" ref="M139">_xlfn.IFS(F139&lt;=50,"Low",F139&lt;=100,"Medium",F139&lt;=150,"High",F139&gt;150,"Very High")</f>
        <v>Low</v>
      </c>
    </row>
    <row r="140" spans="1:13" ht="14.25" customHeight="1" x14ac:dyDescent="0.4">
      <c r="A140" s="6" t="s">
        <v>173</v>
      </c>
      <c r="B140" s="6" t="s">
        <v>58</v>
      </c>
      <c r="C140" s="6">
        <v>102</v>
      </c>
      <c r="D140" s="7" t="s">
        <v>24</v>
      </c>
      <c r="E140" s="11">
        <v>44983</v>
      </c>
      <c r="F140" s="10">
        <v>165</v>
      </c>
      <c r="G140" s="6">
        <v>2.7</v>
      </c>
      <c r="H140" s="6">
        <f>IF(MONTH(Data!$E140)&lt;=6, YEAR(Data!$E140), YEAR(Data!$E140)+1)</f>
        <v>2023</v>
      </c>
      <c r="I140" s="6" t="str">
        <f>TEXT(Data!$E140,"DDDD")</f>
        <v>Sunday</v>
      </c>
      <c r="J140" s="6" t="s">
        <v>14</v>
      </c>
      <c r="K140" s="6">
        <f>ROUND(Data!$G140,0)</f>
        <v>3</v>
      </c>
      <c r="L140" t="str" cm="1">
        <f t="array" ref="L140">_xlfn.IFS(C140&lt;=15,"Very Short",C140&lt;=30,"Short",C140&lt;=60,"Medium",C140&gt;60,"Long")</f>
        <v>Long</v>
      </c>
      <c r="M140" t="str" cm="1">
        <f t="array" ref="M140">_xlfn.IFS(F140&lt;=50,"Low",F140&lt;=100,"Medium",F140&lt;=150,"High",F140&gt;150,"Very High")</f>
        <v>Very High</v>
      </c>
    </row>
    <row r="141" spans="1:13" ht="14.25" customHeight="1" x14ac:dyDescent="0.4">
      <c r="A141" s="6" t="s">
        <v>174</v>
      </c>
      <c r="B141" s="6" t="s">
        <v>50</v>
      </c>
      <c r="C141" s="6">
        <v>64</v>
      </c>
      <c r="D141" s="7" t="s">
        <v>13</v>
      </c>
      <c r="E141" s="11">
        <v>44983</v>
      </c>
      <c r="F141" s="10">
        <v>84</v>
      </c>
      <c r="G141" s="6">
        <v>4.0999999999999996</v>
      </c>
      <c r="H141" s="6">
        <f>IF(MONTH(Data!$E141)&lt;=6, YEAR(Data!$E141), YEAR(Data!$E141)+1)</f>
        <v>2023</v>
      </c>
      <c r="I141" s="6" t="str">
        <f>TEXT(Data!$E141,"DDDD")</f>
        <v>Sunday</v>
      </c>
      <c r="J141" s="6" t="s">
        <v>14</v>
      </c>
      <c r="K141" s="6">
        <f>ROUND(Data!$G141,0)</f>
        <v>4</v>
      </c>
      <c r="L141" t="str" cm="1">
        <f t="array" ref="L141">_xlfn.IFS(C141&lt;=15,"Very Short",C141&lt;=30,"Short",C141&lt;=60,"Medium",C141&gt;60,"Long")</f>
        <v>Long</v>
      </c>
      <c r="M141" t="str" cm="1">
        <f t="array" ref="M141">_xlfn.IFS(F141&lt;=50,"Low",F141&lt;=100,"Medium",F141&lt;=150,"High",F141&gt;150,"Very High")</f>
        <v>Medium</v>
      </c>
    </row>
    <row r="142" spans="1:13" ht="14.25" customHeight="1" x14ac:dyDescent="0.4">
      <c r="A142" s="6" t="s">
        <v>175</v>
      </c>
      <c r="B142" s="6" t="s">
        <v>16</v>
      </c>
      <c r="C142" s="6">
        <v>6</v>
      </c>
      <c r="D142" s="7" t="s">
        <v>24</v>
      </c>
      <c r="E142" s="11">
        <v>44984</v>
      </c>
      <c r="F142" s="10">
        <v>102</v>
      </c>
      <c r="G142" s="6">
        <v>4.4000000000000004</v>
      </c>
      <c r="H142" s="6">
        <f>IF(MONTH(Data!$E142)&lt;=6, YEAR(Data!$E142), YEAR(Data!$E142)+1)</f>
        <v>2023</v>
      </c>
      <c r="I142" s="6" t="str">
        <f>TEXT(Data!$E142,"DDDD")</f>
        <v>Monday</v>
      </c>
      <c r="J142" s="6" t="s">
        <v>176</v>
      </c>
      <c r="K142" s="6">
        <f>ROUND(Data!$G142,0)</f>
        <v>4</v>
      </c>
      <c r="L142" t="str" cm="1">
        <f t="array" ref="L142">_xlfn.IFS(C142&lt;=15,"Very Short",C142&lt;=30,"Short",C142&lt;=60,"Medium",C142&gt;60,"Long")</f>
        <v>Very Short</v>
      </c>
      <c r="M142" t="str" cm="1">
        <f t="array" ref="M142">_xlfn.IFS(F142&lt;=50,"Low",F142&lt;=100,"Medium",F142&lt;=150,"High",F142&gt;150,"Very High")</f>
        <v>High</v>
      </c>
    </row>
    <row r="143" spans="1:13" ht="14.25" customHeight="1" x14ac:dyDescent="0.4">
      <c r="A143" s="6" t="s">
        <v>177</v>
      </c>
      <c r="B143" s="6" t="s">
        <v>50</v>
      </c>
      <c r="C143" s="6">
        <v>129</v>
      </c>
      <c r="D143" s="7" t="s">
        <v>13</v>
      </c>
      <c r="E143" s="11">
        <v>44984</v>
      </c>
      <c r="F143" s="10">
        <v>180</v>
      </c>
      <c r="G143" s="6">
        <v>4.8</v>
      </c>
      <c r="H143" s="6">
        <f>IF(MONTH(Data!$E143)&lt;=6, YEAR(Data!$E143), YEAR(Data!$E143)+1)</f>
        <v>2023</v>
      </c>
      <c r="I143" s="6" t="str">
        <f>TEXT(Data!$E143,"DDDD")</f>
        <v>Monday</v>
      </c>
      <c r="J143" s="6" t="s">
        <v>25</v>
      </c>
      <c r="K143" s="6">
        <f>ROUND(Data!$G143,0)</f>
        <v>5</v>
      </c>
      <c r="L143" t="str" cm="1">
        <f t="array" ref="L143">_xlfn.IFS(C143&lt;=15,"Very Short",C143&lt;=30,"Short",C143&lt;=60,"Medium",C143&gt;60,"Long")</f>
        <v>Long</v>
      </c>
      <c r="M143" t="str" cm="1">
        <f t="array" ref="M143">_xlfn.IFS(F143&lt;=50,"Low",F143&lt;=100,"Medium",F143&lt;=150,"High",F143&gt;150,"Very High")</f>
        <v>Very High</v>
      </c>
    </row>
    <row r="144" spans="1:13" ht="14.25" customHeight="1" x14ac:dyDescent="0.4">
      <c r="A144" s="6" t="s">
        <v>178</v>
      </c>
      <c r="B144" s="6" t="s">
        <v>46</v>
      </c>
      <c r="C144" s="6">
        <v>42</v>
      </c>
      <c r="D144" s="7" t="s">
        <v>31</v>
      </c>
      <c r="E144" s="11">
        <v>44985</v>
      </c>
      <c r="F144" s="10">
        <v>111</v>
      </c>
      <c r="G144" s="6">
        <v>3</v>
      </c>
      <c r="H144" s="6">
        <f>IF(MONTH(Data!$E144)&lt;=6, YEAR(Data!$E144), YEAR(Data!$E144)+1)</f>
        <v>2023</v>
      </c>
      <c r="I144" s="6" t="str">
        <f>TEXT(Data!$E144,"DDDD")</f>
        <v>Tuesday</v>
      </c>
      <c r="J144" s="6" t="s">
        <v>27</v>
      </c>
      <c r="K144" s="6">
        <f>ROUND(Data!$G144,0)</f>
        <v>3</v>
      </c>
      <c r="L144" t="str" cm="1">
        <f t="array" ref="L144">_xlfn.IFS(C144&lt;=15,"Very Short",C144&lt;=30,"Short",C144&lt;=60,"Medium",C144&gt;60,"Long")</f>
        <v>Medium</v>
      </c>
      <c r="M144" t="str" cm="1">
        <f t="array" ref="M144">_xlfn.IFS(F144&lt;=50,"Low",F144&lt;=100,"Medium",F144&lt;=150,"High",F144&gt;150,"Very High")</f>
        <v>High</v>
      </c>
    </row>
    <row r="145" spans="1:13" ht="14.25" customHeight="1" x14ac:dyDescent="0.4">
      <c r="A145" s="6" t="s">
        <v>179</v>
      </c>
      <c r="B145" s="6" t="s">
        <v>46</v>
      </c>
      <c r="C145" s="6">
        <v>71</v>
      </c>
      <c r="D145" s="7" t="s">
        <v>35</v>
      </c>
      <c r="E145" s="11">
        <v>44985</v>
      </c>
      <c r="F145" s="10">
        <v>104</v>
      </c>
      <c r="G145" s="6">
        <v>3.1</v>
      </c>
      <c r="H145" s="6">
        <f>IF(MONTH(Data!$E145)&lt;=6, YEAR(Data!$E145), YEAR(Data!$E145)+1)</f>
        <v>2023</v>
      </c>
      <c r="I145" s="6" t="str">
        <f>TEXT(Data!$E145,"DDDD")</f>
        <v>Tuesday</v>
      </c>
      <c r="J145" s="6" t="s">
        <v>14</v>
      </c>
      <c r="K145" s="6">
        <f>ROUND(Data!$G145,0)</f>
        <v>3</v>
      </c>
      <c r="L145" t="str" cm="1">
        <f t="array" ref="L145">_xlfn.IFS(C145&lt;=15,"Very Short",C145&lt;=30,"Short",C145&lt;=60,"Medium",C145&gt;60,"Long")</f>
        <v>Long</v>
      </c>
      <c r="M145" t="str" cm="1">
        <f t="array" ref="M145">_xlfn.IFS(F145&lt;=50,"Low",F145&lt;=100,"Medium",F145&lt;=150,"High",F145&gt;150,"Very High")</f>
        <v>High</v>
      </c>
    </row>
    <row r="146" spans="1:13" ht="14.25" customHeight="1" x14ac:dyDescent="0.4">
      <c r="A146" s="6" t="s">
        <v>180</v>
      </c>
      <c r="B146" s="6" t="s">
        <v>18</v>
      </c>
      <c r="C146" s="6">
        <v>53</v>
      </c>
      <c r="D146" s="7" t="s">
        <v>24</v>
      </c>
      <c r="E146" s="11">
        <v>44985</v>
      </c>
      <c r="F146" s="10">
        <v>80</v>
      </c>
      <c r="G146" s="6">
        <v>2.6</v>
      </c>
      <c r="H146" s="6">
        <f>IF(MONTH(Data!$E146)&lt;=6, YEAR(Data!$E146), YEAR(Data!$E146)+1)</f>
        <v>2023</v>
      </c>
      <c r="I146" s="6" t="str">
        <f>TEXT(Data!$E146,"DDDD")</f>
        <v>Tuesday</v>
      </c>
      <c r="J146" s="6" t="s">
        <v>27</v>
      </c>
      <c r="K146" s="6">
        <f>ROUND(Data!$G146,0)</f>
        <v>3</v>
      </c>
      <c r="L146" t="str" cm="1">
        <f t="array" ref="L146">_xlfn.IFS(C146&lt;=15,"Very Short",C146&lt;=30,"Short",C146&lt;=60,"Medium",C146&gt;60,"Long")</f>
        <v>Medium</v>
      </c>
      <c r="M146" t="str" cm="1">
        <f t="array" ref="M146">_xlfn.IFS(F146&lt;=50,"Low",F146&lt;=100,"Medium",F146&lt;=150,"High",F146&gt;150,"Very High")</f>
        <v>Medium</v>
      </c>
    </row>
    <row r="147" spans="1:13" ht="14.25" customHeight="1" x14ac:dyDescent="0.4">
      <c r="A147" s="6" t="s">
        <v>181</v>
      </c>
      <c r="B147" s="6" t="s">
        <v>23</v>
      </c>
      <c r="C147" s="6">
        <v>155</v>
      </c>
      <c r="D147" s="7" t="s">
        <v>35</v>
      </c>
      <c r="E147" s="11">
        <v>44986</v>
      </c>
      <c r="F147" s="10">
        <v>132</v>
      </c>
      <c r="G147" s="6">
        <v>4.5999999999999996</v>
      </c>
      <c r="H147" s="6">
        <f>IF(MONTH(Data!$E147)&lt;=6, YEAR(Data!$E147), YEAR(Data!$E147)+1)</f>
        <v>2023</v>
      </c>
      <c r="I147" s="6" t="str">
        <f>TEXT(Data!$E147,"DDDD")</f>
        <v>Wednesday</v>
      </c>
      <c r="J147" s="6" t="s">
        <v>25</v>
      </c>
      <c r="K147" s="6">
        <f>ROUND(Data!$G147,0)</f>
        <v>5</v>
      </c>
      <c r="L147" t="str" cm="1">
        <f t="array" ref="L147">_xlfn.IFS(C147&lt;=15,"Very Short",C147&lt;=30,"Short",C147&lt;=60,"Medium",C147&gt;60,"Long")</f>
        <v>Long</v>
      </c>
      <c r="M147" t="str" cm="1">
        <f t="array" ref="M147">_xlfn.IFS(F147&lt;=50,"Low",F147&lt;=100,"Medium",F147&lt;=150,"High",F147&gt;150,"Very High")</f>
        <v>High</v>
      </c>
    </row>
    <row r="148" spans="1:13" ht="14.25" customHeight="1" x14ac:dyDescent="0.4">
      <c r="A148" s="6" t="s">
        <v>182</v>
      </c>
      <c r="B148" s="6" t="s">
        <v>23</v>
      </c>
      <c r="C148" s="6">
        <v>90</v>
      </c>
      <c r="D148" s="7" t="s">
        <v>31</v>
      </c>
      <c r="E148" s="11">
        <v>44986</v>
      </c>
      <c r="F148" s="10">
        <v>170</v>
      </c>
      <c r="G148" s="6">
        <v>3.7</v>
      </c>
      <c r="H148" s="6">
        <f>IF(MONTH(Data!$E148)&lt;=6, YEAR(Data!$E148), YEAR(Data!$E148)+1)</f>
        <v>2023</v>
      </c>
      <c r="I148" s="6" t="str">
        <f>TEXT(Data!$E148,"DDDD")</f>
        <v>Wednesday</v>
      </c>
      <c r="J148" s="6" t="s">
        <v>14</v>
      </c>
      <c r="K148" s="6">
        <f>ROUND(Data!$G148,0)</f>
        <v>4</v>
      </c>
      <c r="L148" t="str" cm="1">
        <f t="array" ref="L148">_xlfn.IFS(C148&lt;=15,"Very Short",C148&lt;=30,"Short",C148&lt;=60,"Medium",C148&gt;60,"Long")</f>
        <v>Long</v>
      </c>
      <c r="M148" t="str" cm="1">
        <f t="array" ref="M148">_xlfn.IFS(F148&lt;=50,"Low",F148&lt;=100,"Medium",F148&lt;=150,"High",F148&gt;150,"Very High")</f>
        <v>Very High</v>
      </c>
    </row>
    <row r="149" spans="1:13" ht="14.25" customHeight="1" x14ac:dyDescent="0.4">
      <c r="A149" s="6" t="s">
        <v>183</v>
      </c>
      <c r="B149" s="6" t="s">
        <v>50</v>
      </c>
      <c r="C149" s="6">
        <v>166</v>
      </c>
      <c r="D149" s="7" t="s">
        <v>19</v>
      </c>
      <c r="E149" s="11">
        <v>44986</v>
      </c>
      <c r="F149" s="10">
        <v>36</v>
      </c>
      <c r="G149" s="6">
        <v>3.8</v>
      </c>
      <c r="H149" s="6">
        <f>IF(MONTH(Data!$E149)&lt;=6, YEAR(Data!$E149), YEAR(Data!$E149)+1)</f>
        <v>2023</v>
      </c>
      <c r="I149" s="6" t="str">
        <f>TEXT(Data!$E149,"DDDD")</f>
        <v>Wednesday</v>
      </c>
      <c r="J149" s="6" t="s">
        <v>25</v>
      </c>
      <c r="K149" s="6">
        <f>ROUND(Data!$G149,0)</f>
        <v>4</v>
      </c>
      <c r="L149" t="str" cm="1">
        <f t="array" ref="L149">_xlfn.IFS(C149&lt;=15,"Very Short",C149&lt;=30,"Short",C149&lt;=60,"Medium",C149&gt;60,"Long")</f>
        <v>Long</v>
      </c>
      <c r="M149" t="str" cm="1">
        <f t="array" ref="M149">_xlfn.IFS(F149&lt;=50,"Low",F149&lt;=100,"Medium",F149&lt;=150,"High",F149&gt;150,"Very High")</f>
        <v>Low</v>
      </c>
    </row>
    <row r="150" spans="1:13" ht="14.25" customHeight="1" x14ac:dyDescent="0.4">
      <c r="A150" s="6" t="s">
        <v>184</v>
      </c>
      <c r="B150" s="6" t="s">
        <v>40</v>
      </c>
      <c r="C150" s="6">
        <v>89</v>
      </c>
      <c r="D150" s="7" t="s">
        <v>35</v>
      </c>
      <c r="E150" s="11">
        <v>44986</v>
      </c>
      <c r="F150" s="10">
        <v>126</v>
      </c>
      <c r="G150" s="6">
        <v>3.6</v>
      </c>
      <c r="H150" s="6">
        <f>IF(MONTH(Data!$E150)&lt;=6, YEAR(Data!$E150), YEAR(Data!$E150)+1)</f>
        <v>2023</v>
      </c>
      <c r="I150" s="6" t="str">
        <f>TEXT(Data!$E150,"DDDD")</f>
        <v>Wednesday</v>
      </c>
      <c r="J150" s="6" t="s">
        <v>14</v>
      </c>
      <c r="K150" s="6">
        <f>ROUND(Data!$G150,0)</f>
        <v>4</v>
      </c>
      <c r="L150" t="str" cm="1">
        <f t="array" ref="L150">_xlfn.IFS(C150&lt;=15,"Very Short",C150&lt;=30,"Short",C150&lt;=60,"Medium",C150&gt;60,"Long")</f>
        <v>Long</v>
      </c>
      <c r="M150" t="str" cm="1">
        <f t="array" ref="M150">_xlfn.IFS(F150&lt;=50,"Low",F150&lt;=100,"Medium",F150&lt;=150,"High",F150&gt;150,"Very High")</f>
        <v>High</v>
      </c>
    </row>
    <row r="151" spans="1:13" ht="14.25" customHeight="1" x14ac:dyDescent="0.4">
      <c r="A151" s="6" t="s">
        <v>185</v>
      </c>
      <c r="B151" s="6" t="s">
        <v>55</v>
      </c>
      <c r="C151" s="6">
        <v>152</v>
      </c>
      <c r="D151" s="7" t="s">
        <v>24</v>
      </c>
      <c r="E151" s="11">
        <v>44986</v>
      </c>
      <c r="F151" s="10">
        <v>215</v>
      </c>
      <c r="G151" s="6">
        <v>4.4000000000000004</v>
      </c>
      <c r="H151" s="6">
        <f>IF(MONTH(Data!$E151)&lt;=6, YEAR(Data!$E151), YEAR(Data!$E151)+1)</f>
        <v>2023</v>
      </c>
      <c r="I151" s="6" t="str">
        <f>TEXT(Data!$E151,"DDDD")</f>
        <v>Wednesday</v>
      </c>
      <c r="J151" s="6" t="s">
        <v>25</v>
      </c>
      <c r="K151" s="6">
        <f>ROUND(Data!$G151,0)</f>
        <v>4</v>
      </c>
      <c r="L151" t="str" cm="1">
        <f t="array" ref="L151">_xlfn.IFS(C151&lt;=15,"Very Short",C151&lt;=30,"Short",C151&lt;=60,"Medium",C151&gt;60,"Long")</f>
        <v>Long</v>
      </c>
      <c r="M151" t="str" cm="1">
        <f t="array" ref="M151">_xlfn.IFS(F151&lt;=50,"Low",F151&lt;=100,"Medium",F151&lt;=150,"High",F151&gt;150,"Very High")</f>
        <v>Very High</v>
      </c>
    </row>
    <row r="152" spans="1:13" ht="14.25" customHeight="1" x14ac:dyDescent="0.4">
      <c r="A152" s="6" t="s">
        <v>186</v>
      </c>
      <c r="B152" s="6" t="s">
        <v>40</v>
      </c>
      <c r="C152" s="6">
        <v>137</v>
      </c>
      <c r="D152" s="7" t="s">
        <v>31</v>
      </c>
      <c r="E152" s="11">
        <v>44986</v>
      </c>
      <c r="F152" s="10">
        <v>114</v>
      </c>
      <c r="G152" s="6">
        <v>3.2</v>
      </c>
      <c r="H152" s="6">
        <f>IF(MONTH(Data!$E152)&lt;=6, YEAR(Data!$E152), YEAR(Data!$E152)+1)</f>
        <v>2023</v>
      </c>
      <c r="I152" s="6" t="str">
        <f>TEXT(Data!$E152,"DDDD")</f>
        <v>Wednesday</v>
      </c>
      <c r="J152" s="6" t="s">
        <v>25</v>
      </c>
      <c r="K152" s="6">
        <f>ROUND(Data!$G152,0)</f>
        <v>3</v>
      </c>
      <c r="L152" t="str" cm="1">
        <f t="array" ref="L152">_xlfn.IFS(C152&lt;=15,"Very Short",C152&lt;=30,"Short",C152&lt;=60,"Medium",C152&gt;60,"Long")</f>
        <v>Long</v>
      </c>
      <c r="M152" t="str" cm="1">
        <f t="array" ref="M152">_xlfn.IFS(F152&lt;=50,"Low",F152&lt;=100,"Medium",F152&lt;=150,"High",F152&gt;150,"Very High")</f>
        <v>High</v>
      </c>
    </row>
    <row r="153" spans="1:13" ht="14.25" customHeight="1" x14ac:dyDescent="0.4">
      <c r="A153" s="6" t="s">
        <v>187</v>
      </c>
      <c r="B153" s="6" t="s">
        <v>40</v>
      </c>
      <c r="C153" s="6">
        <v>43</v>
      </c>
      <c r="D153" s="7" t="s">
        <v>31</v>
      </c>
      <c r="E153" s="11">
        <v>44986</v>
      </c>
      <c r="F153" s="10">
        <v>99</v>
      </c>
      <c r="G153" s="6">
        <v>4.7</v>
      </c>
      <c r="H153" s="6">
        <f>IF(MONTH(Data!$E153)&lt;=6, YEAR(Data!$E153), YEAR(Data!$E153)+1)</f>
        <v>2023</v>
      </c>
      <c r="I153" s="6" t="str">
        <f>TEXT(Data!$E153,"DDDD")</f>
        <v>Wednesday</v>
      </c>
      <c r="J153" s="6" t="s">
        <v>27</v>
      </c>
      <c r="K153" s="6">
        <f>ROUND(Data!$G153,0)</f>
        <v>5</v>
      </c>
      <c r="L153" t="str" cm="1">
        <f t="array" ref="L153">_xlfn.IFS(C153&lt;=15,"Very Short",C153&lt;=30,"Short",C153&lt;=60,"Medium",C153&gt;60,"Long")</f>
        <v>Medium</v>
      </c>
      <c r="M153" t="str" cm="1">
        <f t="array" ref="M153">_xlfn.IFS(F153&lt;=50,"Low",F153&lt;=100,"Medium",F153&lt;=150,"High",F153&gt;150,"Very High")</f>
        <v>Medium</v>
      </c>
    </row>
    <row r="154" spans="1:13" ht="14.25" customHeight="1" x14ac:dyDescent="0.4">
      <c r="A154" s="6" t="s">
        <v>188</v>
      </c>
      <c r="B154" s="6" t="s">
        <v>34</v>
      </c>
      <c r="C154" s="6">
        <v>114</v>
      </c>
      <c r="D154" s="7" t="s">
        <v>31</v>
      </c>
      <c r="E154" s="11">
        <v>44987</v>
      </c>
      <c r="F154" s="10">
        <v>23</v>
      </c>
      <c r="G154" s="6">
        <v>4.8</v>
      </c>
      <c r="H154" s="6">
        <f>IF(MONTH(Data!$E154)&lt;=6, YEAR(Data!$E154), YEAR(Data!$E154)+1)</f>
        <v>2023</v>
      </c>
      <c r="I154" s="6" t="str">
        <f>TEXT(Data!$E154,"DDDD")</f>
        <v>Thursday</v>
      </c>
      <c r="J154" s="6" t="s">
        <v>14</v>
      </c>
      <c r="K154" s="6">
        <f>ROUND(Data!$G154,0)</f>
        <v>5</v>
      </c>
      <c r="L154" t="str" cm="1">
        <f t="array" ref="L154">_xlfn.IFS(C154&lt;=15,"Very Short",C154&lt;=30,"Short",C154&lt;=60,"Medium",C154&gt;60,"Long")</f>
        <v>Long</v>
      </c>
      <c r="M154" t="str" cm="1">
        <f t="array" ref="M154">_xlfn.IFS(F154&lt;=50,"Low",F154&lt;=100,"Medium",F154&lt;=150,"High",F154&gt;150,"Very High")</f>
        <v>Low</v>
      </c>
    </row>
    <row r="155" spans="1:13" ht="14.25" customHeight="1" x14ac:dyDescent="0.4">
      <c r="A155" s="6" t="s">
        <v>189</v>
      </c>
      <c r="B155" s="6" t="s">
        <v>21</v>
      </c>
      <c r="C155" s="6">
        <v>103</v>
      </c>
      <c r="D155" s="7" t="s">
        <v>35</v>
      </c>
      <c r="E155" s="11">
        <v>44987</v>
      </c>
      <c r="F155" s="10">
        <v>75</v>
      </c>
      <c r="G155" s="6">
        <v>2.7</v>
      </c>
      <c r="H155" s="6">
        <f>IF(MONTH(Data!$E155)&lt;=6, YEAR(Data!$E155), YEAR(Data!$E155)+1)</f>
        <v>2023</v>
      </c>
      <c r="I155" s="6" t="str">
        <f>TEXT(Data!$E155,"DDDD")</f>
        <v>Thursday</v>
      </c>
      <c r="J155" s="6" t="s">
        <v>14</v>
      </c>
      <c r="K155" s="6">
        <f>ROUND(Data!$G155,0)</f>
        <v>3</v>
      </c>
      <c r="L155" t="str" cm="1">
        <f t="array" ref="L155">_xlfn.IFS(C155&lt;=15,"Very Short",C155&lt;=30,"Short",C155&lt;=60,"Medium",C155&gt;60,"Long")</f>
        <v>Long</v>
      </c>
      <c r="M155" t="str" cm="1">
        <f t="array" ref="M155">_xlfn.IFS(F155&lt;=50,"Low",F155&lt;=100,"Medium",F155&lt;=150,"High",F155&gt;150,"Very High")</f>
        <v>Medium</v>
      </c>
    </row>
    <row r="156" spans="1:13" ht="14.25" customHeight="1" x14ac:dyDescent="0.4">
      <c r="A156" s="6" t="s">
        <v>190</v>
      </c>
      <c r="B156" s="6" t="s">
        <v>40</v>
      </c>
      <c r="C156" s="6">
        <v>98</v>
      </c>
      <c r="D156" s="7" t="s">
        <v>24</v>
      </c>
      <c r="E156" s="11">
        <v>44987</v>
      </c>
      <c r="F156" s="10">
        <v>100</v>
      </c>
      <c r="G156" s="6">
        <v>3.8</v>
      </c>
      <c r="H156" s="6">
        <f>IF(MONTH(Data!$E156)&lt;=6, YEAR(Data!$E156), YEAR(Data!$E156)+1)</f>
        <v>2023</v>
      </c>
      <c r="I156" s="6" t="str">
        <f>TEXT(Data!$E156,"DDDD")</f>
        <v>Thursday</v>
      </c>
      <c r="J156" s="6" t="s">
        <v>14</v>
      </c>
      <c r="K156" s="6">
        <f>ROUND(Data!$G156,0)</f>
        <v>4</v>
      </c>
      <c r="L156" t="str" cm="1">
        <f t="array" ref="L156">_xlfn.IFS(C156&lt;=15,"Very Short",C156&lt;=30,"Short",C156&lt;=60,"Medium",C156&gt;60,"Long")</f>
        <v>Long</v>
      </c>
      <c r="M156" t="str" cm="1">
        <f t="array" ref="M156">_xlfn.IFS(F156&lt;=50,"Low",F156&lt;=100,"Medium",F156&lt;=150,"High",F156&gt;150,"Very High")</f>
        <v>Medium</v>
      </c>
    </row>
    <row r="157" spans="1:13" ht="14.25" customHeight="1" x14ac:dyDescent="0.4">
      <c r="A157" s="6" t="s">
        <v>191</v>
      </c>
      <c r="B157" s="6" t="s">
        <v>50</v>
      </c>
      <c r="C157" s="6">
        <v>106</v>
      </c>
      <c r="D157" s="7" t="s">
        <v>19</v>
      </c>
      <c r="E157" s="11">
        <v>44987</v>
      </c>
      <c r="F157" s="10">
        <v>108</v>
      </c>
      <c r="G157" s="6">
        <v>4.3</v>
      </c>
      <c r="H157" s="6">
        <f>IF(MONTH(Data!$E157)&lt;=6, YEAR(Data!$E157), YEAR(Data!$E157)+1)</f>
        <v>2023</v>
      </c>
      <c r="I157" s="6" t="str">
        <f>TEXT(Data!$E157,"DDDD")</f>
        <v>Thursday</v>
      </c>
      <c r="J157" s="6" t="s">
        <v>14</v>
      </c>
      <c r="K157" s="6">
        <f>ROUND(Data!$G157,0)</f>
        <v>4</v>
      </c>
      <c r="L157" t="str" cm="1">
        <f t="array" ref="L157">_xlfn.IFS(C157&lt;=15,"Very Short",C157&lt;=30,"Short",C157&lt;=60,"Medium",C157&gt;60,"Long")</f>
        <v>Long</v>
      </c>
      <c r="M157" t="str" cm="1">
        <f t="array" ref="M157">_xlfn.IFS(F157&lt;=50,"Low",F157&lt;=100,"Medium",F157&lt;=150,"High",F157&gt;150,"Very High")</f>
        <v>High</v>
      </c>
    </row>
    <row r="158" spans="1:13" ht="14.25" customHeight="1" x14ac:dyDescent="0.4">
      <c r="A158" s="6" t="s">
        <v>192</v>
      </c>
      <c r="B158" s="6" t="s">
        <v>16</v>
      </c>
      <c r="C158" s="6">
        <v>96</v>
      </c>
      <c r="D158" s="7" t="s">
        <v>19</v>
      </c>
      <c r="E158" s="11">
        <v>44987</v>
      </c>
      <c r="F158" s="10">
        <v>108</v>
      </c>
      <c r="G158" s="6">
        <v>5</v>
      </c>
      <c r="H158" s="6">
        <f>IF(MONTH(Data!$E158)&lt;=6, YEAR(Data!$E158), YEAR(Data!$E158)+1)</f>
        <v>2023</v>
      </c>
      <c r="I158" s="6" t="str">
        <f>TEXT(Data!$E158,"DDDD")</f>
        <v>Thursday</v>
      </c>
      <c r="J158" s="6" t="s">
        <v>14</v>
      </c>
      <c r="K158" s="6">
        <f>ROUND(Data!$G158,0)</f>
        <v>5</v>
      </c>
      <c r="L158" t="str" cm="1">
        <f t="array" ref="L158">_xlfn.IFS(C158&lt;=15,"Very Short",C158&lt;=30,"Short",C158&lt;=60,"Medium",C158&gt;60,"Long")</f>
        <v>Long</v>
      </c>
      <c r="M158" t="str" cm="1">
        <f t="array" ref="M158">_xlfn.IFS(F158&lt;=50,"Low",F158&lt;=100,"Medium",F158&lt;=150,"High",F158&gt;150,"Very High")</f>
        <v>High</v>
      </c>
    </row>
    <row r="159" spans="1:13" ht="14.25" customHeight="1" x14ac:dyDescent="0.4">
      <c r="A159" s="6" t="s">
        <v>193</v>
      </c>
      <c r="B159" s="6" t="s">
        <v>21</v>
      </c>
      <c r="C159" s="6">
        <v>70</v>
      </c>
      <c r="D159" s="7" t="s">
        <v>19</v>
      </c>
      <c r="E159" s="11">
        <v>44987</v>
      </c>
      <c r="F159" s="10">
        <v>28</v>
      </c>
      <c r="G159" s="6">
        <v>4.8</v>
      </c>
      <c r="H159" s="6">
        <f>IF(MONTH(Data!$E159)&lt;=6, YEAR(Data!$E159), YEAR(Data!$E159)+1)</f>
        <v>2023</v>
      </c>
      <c r="I159" s="6" t="str">
        <f>TEXT(Data!$E159,"DDDD")</f>
        <v>Thursday</v>
      </c>
      <c r="J159" s="6" t="s">
        <v>14</v>
      </c>
      <c r="K159" s="6">
        <f>ROUND(Data!$G159,0)</f>
        <v>5</v>
      </c>
      <c r="L159" t="str" cm="1">
        <f t="array" ref="L159">_xlfn.IFS(C159&lt;=15,"Very Short",C159&lt;=30,"Short",C159&lt;=60,"Medium",C159&gt;60,"Long")</f>
        <v>Long</v>
      </c>
      <c r="M159" t="str" cm="1">
        <f t="array" ref="M159">_xlfn.IFS(F159&lt;=50,"Low",F159&lt;=100,"Medium",F159&lt;=150,"High",F159&gt;150,"Very High")</f>
        <v>Low</v>
      </c>
    </row>
    <row r="160" spans="1:13" ht="14.25" customHeight="1" x14ac:dyDescent="0.4">
      <c r="A160" s="6" t="s">
        <v>194</v>
      </c>
      <c r="B160" s="6" t="s">
        <v>46</v>
      </c>
      <c r="C160" s="6">
        <v>86</v>
      </c>
      <c r="D160" s="7" t="s">
        <v>13</v>
      </c>
      <c r="E160" s="11">
        <v>44988</v>
      </c>
      <c r="F160" s="10">
        <v>70</v>
      </c>
      <c r="G160" s="6">
        <v>4.9000000000000004</v>
      </c>
      <c r="H160" s="6">
        <f>IF(MONTH(Data!$E160)&lt;=6, YEAR(Data!$E160), YEAR(Data!$E160)+1)</f>
        <v>2023</v>
      </c>
      <c r="I160" s="6" t="str">
        <f>TEXT(Data!$E160,"DDDD")</f>
        <v>Friday</v>
      </c>
      <c r="J160" s="6" t="s">
        <v>14</v>
      </c>
      <c r="K160" s="6">
        <f>ROUND(Data!$G160,0)</f>
        <v>5</v>
      </c>
      <c r="L160" t="str" cm="1">
        <f t="array" ref="L160">_xlfn.IFS(C160&lt;=15,"Very Short",C160&lt;=30,"Short",C160&lt;=60,"Medium",C160&gt;60,"Long")</f>
        <v>Long</v>
      </c>
      <c r="M160" t="str" cm="1">
        <f t="array" ref="M160">_xlfn.IFS(F160&lt;=50,"Low",F160&lt;=100,"Medium",F160&lt;=150,"High",F160&gt;150,"Very High")</f>
        <v>Medium</v>
      </c>
    </row>
    <row r="161" spans="1:13" ht="14.25" customHeight="1" x14ac:dyDescent="0.4">
      <c r="A161" s="6" t="s">
        <v>195</v>
      </c>
      <c r="B161" s="6" t="s">
        <v>18</v>
      </c>
      <c r="C161" s="6">
        <v>64</v>
      </c>
      <c r="D161" s="7" t="s">
        <v>13</v>
      </c>
      <c r="E161" s="11">
        <v>44988</v>
      </c>
      <c r="F161" s="10">
        <v>172</v>
      </c>
      <c r="G161" s="6">
        <v>4.0999999999999996</v>
      </c>
      <c r="H161" s="6">
        <f>IF(MONTH(Data!$E161)&lt;=6, YEAR(Data!$E161), YEAR(Data!$E161)+1)</f>
        <v>2023</v>
      </c>
      <c r="I161" s="6" t="str">
        <f>TEXT(Data!$E161,"DDDD")</f>
        <v>Friday</v>
      </c>
      <c r="J161" s="6" t="s">
        <v>14</v>
      </c>
      <c r="K161" s="6">
        <f>ROUND(Data!$G161,0)</f>
        <v>4</v>
      </c>
      <c r="L161" t="str" cm="1">
        <f t="array" ref="L161">_xlfn.IFS(C161&lt;=15,"Very Short",C161&lt;=30,"Short",C161&lt;=60,"Medium",C161&gt;60,"Long")</f>
        <v>Long</v>
      </c>
      <c r="M161" t="str" cm="1">
        <f t="array" ref="M161">_xlfn.IFS(F161&lt;=50,"Low",F161&lt;=100,"Medium",F161&lt;=150,"High",F161&gt;150,"Very High")</f>
        <v>Very High</v>
      </c>
    </row>
    <row r="162" spans="1:13" ht="14.25" customHeight="1" x14ac:dyDescent="0.4">
      <c r="A162" s="6" t="s">
        <v>196</v>
      </c>
      <c r="B162" s="6" t="s">
        <v>16</v>
      </c>
      <c r="C162" s="6">
        <v>113</v>
      </c>
      <c r="D162" s="7" t="s">
        <v>24</v>
      </c>
      <c r="E162" s="11">
        <v>44988</v>
      </c>
      <c r="F162" s="10">
        <v>123</v>
      </c>
      <c r="G162" s="6">
        <v>4.4000000000000004</v>
      </c>
      <c r="H162" s="6">
        <f>IF(MONTH(Data!$E162)&lt;=6, YEAR(Data!$E162), YEAR(Data!$E162)+1)</f>
        <v>2023</v>
      </c>
      <c r="I162" s="6" t="str">
        <f>TEXT(Data!$E162,"DDDD")</f>
        <v>Friday</v>
      </c>
      <c r="J162" s="6" t="s">
        <v>14</v>
      </c>
      <c r="K162" s="6">
        <f>ROUND(Data!$G162,0)</f>
        <v>4</v>
      </c>
      <c r="L162" t="str" cm="1">
        <f t="array" ref="L162">_xlfn.IFS(C162&lt;=15,"Very Short",C162&lt;=30,"Short",C162&lt;=60,"Medium",C162&gt;60,"Long")</f>
        <v>Long</v>
      </c>
      <c r="M162" t="str" cm="1">
        <f t="array" ref="M162">_xlfn.IFS(F162&lt;=50,"Low",F162&lt;=100,"Medium",F162&lt;=150,"High",F162&gt;150,"Very High")</f>
        <v>High</v>
      </c>
    </row>
    <row r="163" spans="1:13" ht="14.25" customHeight="1" x14ac:dyDescent="0.4">
      <c r="A163" s="6" t="s">
        <v>197</v>
      </c>
      <c r="B163" s="6" t="s">
        <v>16</v>
      </c>
      <c r="C163" s="6">
        <v>21</v>
      </c>
      <c r="D163" s="7" t="s">
        <v>19</v>
      </c>
      <c r="E163" s="11">
        <v>44988</v>
      </c>
      <c r="F163" s="10">
        <v>93</v>
      </c>
      <c r="G163" s="6">
        <v>3.4</v>
      </c>
      <c r="H163" s="6">
        <f>IF(MONTH(Data!$E163)&lt;=6, YEAR(Data!$E163), YEAR(Data!$E163)+1)</f>
        <v>2023</v>
      </c>
      <c r="I163" s="6" t="str">
        <f>TEXT(Data!$E163,"DDDD")</f>
        <v>Friday</v>
      </c>
      <c r="J163" s="6" t="s">
        <v>47</v>
      </c>
      <c r="K163" s="6">
        <f>ROUND(Data!$G163,0)</f>
        <v>3</v>
      </c>
      <c r="L163" t="str" cm="1">
        <f t="array" ref="L163">_xlfn.IFS(C163&lt;=15,"Very Short",C163&lt;=30,"Short",C163&lt;=60,"Medium",C163&gt;60,"Long")</f>
        <v>Short</v>
      </c>
      <c r="M163" t="str" cm="1">
        <f t="array" ref="M163">_xlfn.IFS(F163&lt;=50,"Low",F163&lt;=100,"Medium",F163&lt;=150,"High",F163&gt;150,"Very High")</f>
        <v>Medium</v>
      </c>
    </row>
    <row r="164" spans="1:13" ht="14.25" customHeight="1" x14ac:dyDescent="0.4">
      <c r="A164" s="6" t="s">
        <v>198</v>
      </c>
      <c r="B164" s="6" t="s">
        <v>58</v>
      </c>
      <c r="C164" s="6">
        <v>107</v>
      </c>
      <c r="D164" s="7" t="s">
        <v>13</v>
      </c>
      <c r="E164" s="11">
        <v>44988</v>
      </c>
      <c r="F164" s="10">
        <v>66</v>
      </c>
      <c r="G164" s="6">
        <v>4</v>
      </c>
      <c r="H164" s="6">
        <f>IF(MONTH(Data!$E164)&lt;=6, YEAR(Data!$E164), YEAR(Data!$E164)+1)</f>
        <v>2023</v>
      </c>
      <c r="I164" s="6" t="str">
        <f>TEXT(Data!$E164,"DDDD")</f>
        <v>Friday</v>
      </c>
      <c r="J164" s="6" t="s">
        <v>14</v>
      </c>
      <c r="K164" s="6">
        <f>ROUND(Data!$G164,0)</f>
        <v>4</v>
      </c>
      <c r="L164" t="str" cm="1">
        <f t="array" ref="L164">_xlfn.IFS(C164&lt;=15,"Very Short",C164&lt;=30,"Short",C164&lt;=60,"Medium",C164&gt;60,"Long")</f>
        <v>Long</v>
      </c>
      <c r="M164" t="str" cm="1">
        <f t="array" ref="M164">_xlfn.IFS(F164&lt;=50,"Low",F164&lt;=100,"Medium",F164&lt;=150,"High",F164&gt;150,"Very High")</f>
        <v>Medium</v>
      </c>
    </row>
    <row r="165" spans="1:13" ht="14.25" customHeight="1" x14ac:dyDescent="0.4">
      <c r="A165" s="6" t="s">
        <v>199</v>
      </c>
      <c r="B165" s="6" t="s">
        <v>58</v>
      </c>
      <c r="C165" s="6">
        <v>131</v>
      </c>
      <c r="D165" s="7" t="s">
        <v>19</v>
      </c>
      <c r="E165" s="11">
        <v>44988</v>
      </c>
      <c r="F165" s="10">
        <v>39</v>
      </c>
      <c r="G165" s="6">
        <v>2.4</v>
      </c>
      <c r="H165" s="6">
        <f>IF(MONTH(Data!$E165)&lt;=6, YEAR(Data!$E165), YEAR(Data!$E165)+1)</f>
        <v>2023</v>
      </c>
      <c r="I165" s="6" t="str">
        <f>TEXT(Data!$E165,"DDDD")</f>
        <v>Friday</v>
      </c>
      <c r="J165" s="6" t="s">
        <v>25</v>
      </c>
      <c r="K165" s="6">
        <f>ROUND(Data!$G165,0)</f>
        <v>2</v>
      </c>
      <c r="L165" t="str" cm="1">
        <f t="array" ref="L165">_xlfn.IFS(C165&lt;=15,"Very Short",C165&lt;=30,"Short",C165&lt;=60,"Medium",C165&gt;60,"Long")</f>
        <v>Long</v>
      </c>
      <c r="M165" t="str" cm="1">
        <f t="array" ref="M165">_xlfn.IFS(F165&lt;=50,"Low",F165&lt;=100,"Medium",F165&lt;=150,"High",F165&gt;150,"Very High")</f>
        <v>Low</v>
      </c>
    </row>
    <row r="166" spans="1:13" ht="14.25" customHeight="1" x14ac:dyDescent="0.4">
      <c r="A166" s="6" t="s">
        <v>200</v>
      </c>
      <c r="B166" s="6" t="s">
        <v>12</v>
      </c>
      <c r="C166" s="6">
        <v>11</v>
      </c>
      <c r="D166" s="7" t="s">
        <v>35</v>
      </c>
      <c r="E166" s="11">
        <v>44988</v>
      </c>
      <c r="F166" s="10">
        <v>25</v>
      </c>
      <c r="G166" s="6">
        <v>2.1</v>
      </c>
      <c r="H166" s="6">
        <f>IF(MONTH(Data!$E166)&lt;=6, YEAR(Data!$E166), YEAR(Data!$E166)+1)</f>
        <v>2023</v>
      </c>
      <c r="I166" s="6" t="str">
        <f>TEXT(Data!$E166,"DDDD")</f>
        <v>Friday</v>
      </c>
      <c r="J166" s="6" t="s">
        <v>47</v>
      </c>
      <c r="K166" s="6">
        <f>ROUND(Data!$G166,0)</f>
        <v>2</v>
      </c>
      <c r="L166" t="str" cm="1">
        <f t="array" ref="L166">_xlfn.IFS(C166&lt;=15,"Very Short",C166&lt;=30,"Short",C166&lt;=60,"Medium",C166&gt;60,"Long")</f>
        <v>Very Short</v>
      </c>
      <c r="M166" t="str" cm="1">
        <f t="array" ref="M166">_xlfn.IFS(F166&lt;=50,"Low",F166&lt;=100,"Medium",F166&lt;=150,"High",F166&gt;150,"Very High")</f>
        <v>Low</v>
      </c>
    </row>
    <row r="167" spans="1:13" ht="14.25" customHeight="1" x14ac:dyDescent="0.4">
      <c r="A167" s="6" t="s">
        <v>201</v>
      </c>
      <c r="B167" s="6" t="s">
        <v>68</v>
      </c>
      <c r="C167" s="6">
        <v>86</v>
      </c>
      <c r="D167" s="7" t="s">
        <v>24</v>
      </c>
      <c r="E167" s="11">
        <v>44988</v>
      </c>
      <c r="F167" s="10">
        <v>68</v>
      </c>
      <c r="G167" s="6">
        <v>3</v>
      </c>
      <c r="H167" s="6">
        <f>IF(MONTH(Data!$E167)&lt;=6, YEAR(Data!$E167), YEAR(Data!$E167)+1)</f>
        <v>2023</v>
      </c>
      <c r="I167" s="6" t="str">
        <f>TEXT(Data!$E167,"DDDD")</f>
        <v>Friday</v>
      </c>
      <c r="J167" s="6" t="s">
        <v>14</v>
      </c>
      <c r="K167" s="6">
        <f>ROUND(Data!$G167,0)</f>
        <v>3</v>
      </c>
      <c r="L167" t="str" cm="1">
        <f t="array" ref="L167">_xlfn.IFS(C167&lt;=15,"Very Short",C167&lt;=30,"Short",C167&lt;=60,"Medium",C167&gt;60,"Long")</f>
        <v>Long</v>
      </c>
      <c r="M167" t="str" cm="1">
        <f t="array" ref="M167">_xlfn.IFS(F167&lt;=50,"Low",F167&lt;=100,"Medium",F167&lt;=150,"High",F167&gt;150,"Very High")</f>
        <v>Medium</v>
      </c>
    </row>
    <row r="168" spans="1:13" ht="14.25" customHeight="1" x14ac:dyDescent="0.4">
      <c r="A168" s="6" t="s">
        <v>202</v>
      </c>
      <c r="B168" s="6" t="s">
        <v>18</v>
      </c>
      <c r="C168" s="6">
        <v>28</v>
      </c>
      <c r="D168" s="7" t="s">
        <v>35</v>
      </c>
      <c r="E168" s="11">
        <v>44988</v>
      </c>
      <c r="F168" s="10">
        <v>84</v>
      </c>
      <c r="G168" s="6">
        <v>3.2</v>
      </c>
      <c r="H168" s="6">
        <f>IF(MONTH(Data!$E168)&lt;=6, YEAR(Data!$E168), YEAR(Data!$E168)+1)</f>
        <v>2023</v>
      </c>
      <c r="I168" s="6" t="str">
        <f>TEXT(Data!$E168,"DDDD")</f>
        <v>Friday</v>
      </c>
      <c r="J168" s="6" t="s">
        <v>47</v>
      </c>
      <c r="K168" s="6">
        <f>ROUND(Data!$G168,0)</f>
        <v>3</v>
      </c>
      <c r="L168" t="str" cm="1">
        <f t="array" ref="L168">_xlfn.IFS(C168&lt;=15,"Very Short",C168&lt;=30,"Short",C168&lt;=60,"Medium",C168&gt;60,"Long")</f>
        <v>Short</v>
      </c>
      <c r="M168" t="str" cm="1">
        <f t="array" ref="M168">_xlfn.IFS(F168&lt;=50,"Low",F168&lt;=100,"Medium",F168&lt;=150,"High",F168&gt;150,"Very High")</f>
        <v>Medium</v>
      </c>
    </row>
    <row r="169" spans="1:13" ht="14.25" customHeight="1" x14ac:dyDescent="0.4">
      <c r="A169" s="6" t="s">
        <v>203</v>
      </c>
      <c r="B169" s="6" t="s">
        <v>23</v>
      </c>
      <c r="C169" s="6">
        <v>139</v>
      </c>
      <c r="D169" s="7" t="s">
        <v>19</v>
      </c>
      <c r="E169" s="11">
        <v>44989</v>
      </c>
      <c r="F169" s="10">
        <v>88</v>
      </c>
      <c r="G169" s="6">
        <v>3.4</v>
      </c>
      <c r="H169" s="6">
        <f>IF(MONTH(Data!$E169)&lt;=6, YEAR(Data!$E169), YEAR(Data!$E169)+1)</f>
        <v>2023</v>
      </c>
      <c r="I169" s="6" t="str">
        <f>TEXT(Data!$E169,"DDDD")</f>
        <v>Saturday</v>
      </c>
      <c r="J169" s="6" t="s">
        <v>25</v>
      </c>
      <c r="K169" s="6">
        <f>ROUND(Data!$G169,0)</f>
        <v>3</v>
      </c>
      <c r="L169" t="str" cm="1">
        <f t="array" ref="L169">_xlfn.IFS(C169&lt;=15,"Very Short",C169&lt;=30,"Short",C169&lt;=60,"Medium",C169&gt;60,"Long")</f>
        <v>Long</v>
      </c>
      <c r="M169" t="str" cm="1">
        <f t="array" ref="M169">_xlfn.IFS(F169&lt;=50,"Low",F169&lt;=100,"Medium",F169&lt;=150,"High",F169&gt;150,"Very High")</f>
        <v>Medium</v>
      </c>
    </row>
    <row r="170" spans="1:13" ht="14.25" customHeight="1" x14ac:dyDescent="0.4">
      <c r="A170" s="6" t="s">
        <v>204</v>
      </c>
      <c r="B170" s="6" t="s">
        <v>50</v>
      </c>
      <c r="C170" s="6">
        <v>82</v>
      </c>
      <c r="D170" s="7" t="s">
        <v>24</v>
      </c>
      <c r="E170" s="11">
        <v>44989</v>
      </c>
      <c r="F170" s="10">
        <v>93</v>
      </c>
      <c r="G170" s="6">
        <v>2.7</v>
      </c>
      <c r="H170" s="6">
        <f>IF(MONTH(Data!$E170)&lt;=6, YEAR(Data!$E170), YEAR(Data!$E170)+1)</f>
        <v>2023</v>
      </c>
      <c r="I170" s="6" t="str">
        <f>TEXT(Data!$E170,"DDDD")</f>
        <v>Saturday</v>
      </c>
      <c r="J170" s="6" t="s">
        <v>14</v>
      </c>
      <c r="K170" s="6">
        <f>ROUND(Data!$G170,0)</f>
        <v>3</v>
      </c>
      <c r="L170" t="str" cm="1">
        <f t="array" ref="L170">_xlfn.IFS(C170&lt;=15,"Very Short",C170&lt;=30,"Short",C170&lt;=60,"Medium",C170&gt;60,"Long")</f>
        <v>Long</v>
      </c>
      <c r="M170" t="str" cm="1">
        <f t="array" ref="M170">_xlfn.IFS(F170&lt;=50,"Low",F170&lt;=100,"Medium",F170&lt;=150,"High",F170&gt;150,"Very High")</f>
        <v>Medium</v>
      </c>
    </row>
    <row r="171" spans="1:13" ht="14.25" customHeight="1" x14ac:dyDescent="0.4">
      <c r="A171" s="6" t="s">
        <v>205</v>
      </c>
      <c r="B171" s="6" t="s">
        <v>16</v>
      </c>
      <c r="C171" s="6">
        <v>101</v>
      </c>
      <c r="D171" s="7" t="s">
        <v>35</v>
      </c>
      <c r="E171" s="11">
        <v>44989</v>
      </c>
      <c r="F171" s="10">
        <v>128</v>
      </c>
      <c r="G171" s="6">
        <v>5</v>
      </c>
      <c r="H171" s="6">
        <f>IF(MONTH(Data!$E171)&lt;=6, YEAR(Data!$E171), YEAR(Data!$E171)+1)</f>
        <v>2023</v>
      </c>
      <c r="I171" s="6" t="str">
        <f>TEXT(Data!$E171,"DDDD")</f>
        <v>Saturday</v>
      </c>
      <c r="J171" s="6" t="s">
        <v>14</v>
      </c>
      <c r="K171" s="6">
        <f>ROUND(Data!$G171,0)</f>
        <v>5</v>
      </c>
      <c r="L171" t="str" cm="1">
        <f t="array" ref="L171">_xlfn.IFS(C171&lt;=15,"Very Short",C171&lt;=30,"Short",C171&lt;=60,"Medium",C171&gt;60,"Long")</f>
        <v>Long</v>
      </c>
      <c r="M171" t="str" cm="1">
        <f t="array" ref="M171">_xlfn.IFS(F171&lt;=50,"Low",F171&lt;=100,"Medium",F171&lt;=150,"High",F171&gt;150,"Very High")</f>
        <v>High</v>
      </c>
    </row>
    <row r="172" spans="1:13" ht="14.25" customHeight="1" x14ac:dyDescent="0.4">
      <c r="A172" s="6" t="s">
        <v>206</v>
      </c>
      <c r="B172" s="6" t="s">
        <v>18</v>
      </c>
      <c r="C172" s="6">
        <v>75</v>
      </c>
      <c r="D172" s="7" t="s">
        <v>31</v>
      </c>
      <c r="E172" s="11">
        <v>44989</v>
      </c>
      <c r="F172" s="10">
        <v>40</v>
      </c>
      <c r="G172" s="6">
        <v>3.4</v>
      </c>
      <c r="H172" s="6">
        <f>IF(MONTH(Data!$E172)&lt;=6, YEAR(Data!$E172), YEAR(Data!$E172)+1)</f>
        <v>2023</v>
      </c>
      <c r="I172" s="6" t="str">
        <f>TEXT(Data!$E172,"DDDD")</f>
        <v>Saturday</v>
      </c>
      <c r="J172" s="6" t="s">
        <v>14</v>
      </c>
      <c r="K172" s="6">
        <f>ROUND(Data!$G172,0)</f>
        <v>3</v>
      </c>
      <c r="L172" t="str" cm="1">
        <f t="array" ref="L172">_xlfn.IFS(C172&lt;=15,"Very Short",C172&lt;=30,"Short",C172&lt;=60,"Medium",C172&gt;60,"Long")</f>
        <v>Long</v>
      </c>
      <c r="M172" t="str" cm="1">
        <f t="array" ref="M172">_xlfn.IFS(F172&lt;=50,"Low",F172&lt;=100,"Medium",F172&lt;=150,"High",F172&gt;150,"Very High")</f>
        <v>Low</v>
      </c>
    </row>
    <row r="173" spans="1:13" ht="14.25" customHeight="1" x14ac:dyDescent="0.4">
      <c r="A173" s="6" t="s">
        <v>207</v>
      </c>
      <c r="B173" s="6" t="s">
        <v>34</v>
      </c>
      <c r="C173" s="6">
        <v>40</v>
      </c>
      <c r="D173" s="7" t="s">
        <v>35</v>
      </c>
      <c r="E173" s="11">
        <v>44990</v>
      </c>
      <c r="F173" s="10">
        <v>92</v>
      </c>
      <c r="G173" s="6">
        <v>4.7</v>
      </c>
      <c r="H173" s="6">
        <f>IF(MONTH(Data!$E173)&lt;=6, YEAR(Data!$E173), YEAR(Data!$E173)+1)</f>
        <v>2023</v>
      </c>
      <c r="I173" s="6" t="str">
        <f>TEXT(Data!$E173,"DDDD")</f>
        <v>Sunday</v>
      </c>
      <c r="J173" s="6" t="s">
        <v>27</v>
      </c>
      <c r="K173" s="6">
        <f>ROUND(Data!$G173,0)</f>
        <v>5</v>
      </c>
      <c r="L173" t="str" cm="1">
        <f t="array" ref="L173">_xlfn.IFS(C173&lt;=15,"Very Short",C173&lt;=30,"Short",C173&lt;=60,"Medium",C173&gt;60,"Long")</f>
        <v>Medium</v>
      </c>
      <c r="M173" t="str" cm="1">
        <f t="array" ref="M173">_xlfn.IFS(F173&lt;=50,"Low",F173&lt;=100,"Medium",F173&lt;=150,"High",F173&gt;150,"Very High")</f>
        <v>Medium</v>
      </c>
    </row>
    <row r="174" spans="1:13" ht="14.25" customHeight="1" x14ac:dyDescent="0.4">
      <c r="A174" s="6" t="s">
        <v>208</v>
      </c>
      <c r="B174" s="6" t="s">
        <v>40</v>
      </c>
      <c r="C174" s="6">
        <v>86</v>
      </c>
      <c r="D174" s="7" t="s">
        <v>19</v>
      </c>
      <c r="E174" s="11">
        <v>44990</v>
      </c>
      <c r="F174" s="10">
        <v>27</v>
      </c>
      <c r="G174" s="6">
        <v>4.5</v>
      </c>
      <c r="H174" s="6">
        <f>IF(MONTH(Data!$E174)&lt;=6, YEAR(Data!$E174), YEAR(Data!$E174)+1)</f>
        <v>2023</v>
      </c>
      <c r="I174" s="6" t="str">
        <f>TEXT(Data!$E174,"DDDD")</f>
        <v>Sunday</v>
      </c>
      <c r="J174" s="6" t="s">
        <v>14</v>
      </c>
      <c r="K174" s="6">
        <f>ROUND(Data!$G174,0)</f>
        <v>5</v>
      </c>
      <c r="L174" t="str" cm="1">
        <f t="array" ref="L174">_xlfn.IFS(C174&lt;=15,"Very Short",C174&lt;=30,"Short",C174&lt;=60,"Medium",C174&gt;60,"Long")</f>
        <v>Long</v>
      </c>
      <c r="M174" t="str" cm="1">
        <f t="array" ref="M174">_xlfn.IFS(F174&lt;=50,"Low",F174&lt;=100,"Medium",F174&lt;=150,"High",F174&gt;150,"Very High")</f>
        <v>Low</v>
      </c>
    </row>
    <row r="175" spans="1:13" ht="14.25" customHeight="1" x14ac:dyDescent="0.4">
      <c r="A175" s="6" t="s">
        <v>209</v>
      </c>
      <c r="B175" s="6" t="s">
        <v>29</v>
      </c>
      <c r="C175" s="6">
        <v>131</v>
      </c>
      <c r="D175" s="7" t="s">
        <v>13</v>
      </c>
      <c r="E175" s="11">
        <v>44990</v>
      </c>
      <c r="F175" s="10">
        <v>140</v>
      </c>
      <c r="G175" s="6">
        <v>4.0999999999999996</v>
      </c>
      <c r="H175" s="6">
        <f>IF(MONTH(Data!$E175)&lt;=6, YEAR(Data!$E175), YEAR(Data!$E175)+1)</f>
        <v>2023</v>
      </c>
      <c r="I175" s="6" t="str">
        <f>TEXT(Data!$E175,"DDDD")</f>
        <v>Sunday</v>
      </c>
      <c r="J175" s="6" t="s">
        <v>25</v>
      </c>
      <c r="K175" s="6">
        <f>ROUND(Data!$G175,0)</f>
        <v>4</v>
      </c>
      <c r="L175" t="str" cm="1">
        <f t="array" ref="L175">_xlfn.IFS(C175&lt;=15,"Very Short",C175&lt;=30,"Short",C175&lt;=60,"Medium",C175&gt;60,"Long")</f>
        <v>Long</v>
      </c>
      <c r="M175" t="str" cm="1">
        <f t="array" ref="M175">_xlfn.IFS(F175&lt;=50,"Low",F175&lt;=100,"Medium",F175&lt;=150,"High",F175&gt;150,"Very High")</f>
        <v>High</v>
      </c>
    </row>
    <row r="176" spans="1:13" ht="14.25" customHeight="1" x14ac:dyDescent="0.4">
      <c r="A176" s="6" t="s">
        <v>210</v>
      </c>
      <c r="B176" s="6" t="s">
        <v>58</v>
      </c>
      <c r="C176" s="6">
        <v>67</v>
      </c>
      <c r="D176" s="7" t="s">
        <v>24</v>
      </c>
      <c r="E176" s="11">
        <v>44990</v>
      </c>
      <c r="F176" s="10">
        <v>40</v>
      </c>
      <c r="G176" s="6">
        <v>5</v>
      </c>
      <c r="H176" s="6">
        <f>IF(MONTH(Data!$E176)&lt;=6, YEAR(Data!$E176), YEAR(Data!$E176)+1)</f>
        <v>2023</v>
      </c>
      <c r="I176" s="6" t="str">
        <f>TEXT(Data!$E176,"DDDD")</f>
        <v>Sunday</v>
      </c>
      <c r="J176" s="6" t="s">
        <v>14</v>
      </c>
      <c r="K176" s="6">
        <f>ROUND(Data!$G176,0)</f>
        <v>5</v>
      </c>
      <c r="L176" t="str" cm="1">
        <f t="array" ref="L176">_xlfn.IFS(C176&lt;=15,"Very Short",C176&lt;=30,"Short",C176&lt;=60,"Medium",C176&gt;60,"Long")</f>
        <v>Long</v>
      </c>
      <c r="M176" t="str" cm="1">
        <f t="array" ref="M176">_xlfn.IFS(F176&lt;=50,"Low",F176&lt;=100,"Medium",F176&lt;=150,"High",F176&gt;150,"Very High")</f>
        <v>Low</v>
      </c>
    </row>
    <row r="177" spans="1:13" ht="14.25" customHeight="1" x14ac:dyDescent="0.4">
      <c r="A177" s="6" t="s">
        <v>211</v>
      </c>
      <c r="B177" s="6" t="s">
        <v>88</v>
      </c>
      <c r="C177" s="6">
        <v>71</v>
      </c>
      <c r="D177" s="7" t="s">
        <v>35</v>
      </c>
      <c r="E177" s="11">
        <v>44990</v>
      </c>
      <c r="F177" s="10">
        <v>102</v>
      </c>
      <c r="G177" s="6">
        <v>4.7</v>
      </c>
      <c r="H177" s="6">
        <f>IF(MONTH(Data!$E177)&lt;=6, YEAR(Data!$E177), YEAR(Data!$E177)+1)</f>
        <v>2023</v>
      </c>
      <c r="I177" s="6" t="str">
        <f>TEXT(Data!$E177,"DDDD")</f>
        <v>Sunday</v>
      </c>
      <c r="J177" s="6" t="s">
        <v>14</v>
      </c>
      <c r="K177" s="6">
        <f>ROUND(Data!$G177,0)</f>
        <v>5</v>
      </c>
      <c r="L177" t="str" cm="1">
        <f t="array" ref="L177">_xlfn.IFS(C177&lt;=15,"Very Short",C177&lt;=30,"Short",C177&lt;=60,"Medium",C177&gt;60,"Long")</f>
        <v>Long</v>
      </c>
      <c r="M177" t="str" cm="1">
        <f t="array" ref="M177">_xlfn.IFS(F177&lt;=50,"Low",F177&lt;=100,"Medium",F177&lt;=150,"High",F177&gt;150,"Very High")</f>
        <v>High</v>
      </c>
    </row>
    <row r="178" spans="1:13" ht="14.25" customHeight="1" x14ac:dyDescent="0.4">
      <c r="A178" s="6" t="s">
        <v>212</v>
      </c>
      <c r="B178" s="6" t="s">
        <v>29</v>
      </c>
      <c r="C178" s="6">
        <v>113</v>
      </c>
      <c r="D178" s="7" t="s">
        <v>13</v>
      </c>
      <c r="E178" s="11">
        <v>44990</v>
      </c>
      <c r="F178" s="10">
        <v>42</v>
      </c>
      <c r="G178" s="6">
        <v>4.2</v>
      </c>
      <c r="H178" s="6">
        <f>IF(MONTH(Data!$E178)&lt;=6, YEAR(Data!$E178), YEAR(Data!$E178)+1)</f>
        <v>2023</v>
      </c>
      <c r="I178" s="6" t="str">
        <f>TEXT(Data!$E178,"DDDD")</f>
        <v>Sunday</v>
      </c>
      <c r="J178" s="6" t="s">
        <v>14</v>
      </c>
      <c r="K178" s="6">
        <f>ROUND(Data!$G178,0)</f>
        <v>4</v>
      </c>
      <c r="L178" t="str" cm="1">
        <f t="array" ref="L178">_xlfn.IFS(C178&lt;=15,"Very Short",C178&lt;=30,"Short",C178&lt;=60,"Medium",C178&gt;60,"Long")</f>
        <v>Long</v>
      </c>
      <c r="M178" t="str" cm="1">
        <f t="array" ref="M178">_xlfn.IFS(F178&lt;=50,"Low",F178&lt;=100,"Medium",F178&lt;=150,"High",F178&gt;150,"Very High")</f>
        <v>Low</v>
      </c>
    </row>
    <row r="179" spans="1:13" ht="14.25" customHeight="1" x14ac:dyDescent="0.4">
      <c r="A179" s="6" t="s">
        <v>213</v>
      </c>
      <c r="B179" s="6" t="s">
        <v>50</v>
      </c>
      <c r="C179" s="6">
        <v>53</v>
      </c>
      <c r="D179" s="7" t="s">
        <v>19</v>
      </c>
      <c r="E179" s="11">
        <v>44991</v>
      </c>
      <c r="F179" s="10">
        <v>210</v>
      </c>
      <c r="G179" s="6">
        <v>3.9</v>
      </c>
      <c r="H179" s="6">
        <f>IF(MONTH(Data!$E179)&lt;=6, YEAR(Data!$E179), YEAR(Data!$E179)+1)</f>
        <v>2023</v>
      </c>
      <c r="I179" s="6" t="str">
        <f>TEXT(Data!$E179,"DDDD")</f>
        <v>Monday</v>
      </c>
      <c r="J179" s="6" t="s">
        <v>27</v>
      </c>
      <c r="K179" s="6">
        <f>ROUND(Data!$G179,0)</f>
        <v>4</v>
      </c>
      <c r="L179" t="str" cm="1">
        <f t="array" ref="L179">_xlfn.IFS(C179&lt;=15,"Very Short",C179&lt;=30,"Short",C179&lt;=60,"Medium",C179&gt;60,"Long")</f>
        <v>Medium</v>
      </c>
      <c r="M179" t="str" cm="1">
        <f t="array" ref="M179">_xlfn.IFS(F179&lt;=50,"Low",F179&lt;=100,"Medium",F179&lt;=150,"High",F179&gt;150,"Very High")</f>
        <v>Very High</v>
      </c>
    </row>
    <row r="180" spans="1:13" ht="14.25" customHeight="1" x14ac:dyDescent="0.4">
      <c r="A180" s="6" t="s">
        <v>214</v>
      </c>
      <c r="B180" s="6" t="s">
        <v>29</v>
      </c>
      <c r="C180" s="6">
        <v>153</v>
      </c>
      <c r="D180" s="7" t="s">
        <v>24</v>
      </c>
      <c r="E180" s="11">
        <v>44991</v>
      </c>
      <c r="F180" s="10">
        <v>34</v>
      </c>
      <c r="G180" s="6">
        <v>3</v>
      </c>
      <c r="H180" s="6">
        <f>IF(MONTH(Data!$E180)&lt;=6, YEAR(Data!$E180), YEAR(Data!$E180)+1)</f>
        <v>2023</v>
      </c>
      <c r="I180" s="6" t="str">
        <f>TEXT(Data!$E180,"DDDD")</f>
        <v>Monday</v>
      </c>
      <c r="J180" s="6" t="s">
        <v>25</v>
      </c>
      <c r="K180" s="6">
        <f>ROUND(Data!$G180,0)</f>
        <v>3</v>
      </c>
      <c r="L180" t="str" cm="1">
        <f t="array" ref="L180">_xlfn.IFS(C180&lt;=15,"Very Short",C180&lt;=30,"Short",C180&lt;=60,"Medium",C180&gt;60,"Long")</f>
        <v>Long</v>
      </c>
      <c r="M180" t="str" cm="1">
        <f t="array" ref="M180">_xlfn.IFS(F180&lt;=50,"Low",F180&lt;=100,"Medium",F180&lt;=150,"High",F180&gt;150,"Very High")</f>
        <v>Low</v>
      </c>
    </row>
    <row r="181" spans="1:13" ht="14.25" customHeight="1" x14ac:dyDescent="0.4">
      <c r="A181" s="6" t="s">
        <v>215</v>
      </c>
      <c r="B181" s="6" t="s">
        <v>58</v>
      </c>
      <c r="C181" s="6">
        <v>73</v>
      </c>
      <c r="D181" s="7" t="s">
        <v>31</v>
      </c>
      <c r="E181" s="11">
        <v>44991</v>
      </c>
      <c r="F181" s="10">
        <v>215</v>
      </c>
      <c r="G181" s="6">
        <v>3.6</v>
      </c>
      <c r="H181" s="6">
        <f>IF(MONTH(Data!$E181)&lt;=6, YEAR(Data!$E181), YEAR(Data!$E181)+1)</f>
        <v>2023</v>
      </c>
      <c r="I181" s="6" t="str">
        <f>TEXT(Data!$E181,"DDDD")</f>
        <v>Monday</v>
      </c>
      <c r="J181" s="6" t="s">
        <v>14</v>
      </c>
      <c r="K181" s="6">
        <f>ROUND(Data!$G181,0)</f>
        <v>4</v>
      </c>
      <c r="L181" t="str" cm="1">
        <f t="array" ref="L181">_xlfn.IFS(C181&lt;=15,"Very Short",C181&lt;=30,"Short",C181&lt;=60,"Medium",C181&gt;60,"Long")</f>
        <v>Long</v>
      </c>
      <c r="M181" t="str" cm="1">
        <f t="array" ref="M181">_xlfn.IFS(F181&lt;=50,"Low",F181&lt;=100,"Medium",F181&lt;=150,"High",F181&gt;150,"Very High")</f>
        <v>Very High</v>
      </c>
    </row>
    <row r="182" spans="1:13" ht="14.25" customHeight="1" x14ac:dyDescent="0.4">
      <c r="A182" s="6" t="s">
        <v>216</v>
      </c>
      <c r="B182" s="6" t="s">
        <v>46</v>
      </c>
      <c r="C182" s="6">
        <v>62</v>
      </c>
      <c r="D182" s="7" t="s">
        <v>31</v>
      </c>
      <c r="E182" s="11">
        <v>44991</v>
      </c>
      <c r="F182" s="10">
        <v>32</v>
      </c>
      <c r="G182" s="6">
        <v>0.7</v>
      </c>
      <c r="H182" s="6">
        <f>IF(MONTH(Data!$E182)&lt;=6, YEAR(Data!$E182), YEAR(Data!$E182)+1)</f>
        <v>2023</v>
      </c>
      <c r="I182" s="6" t="str">
        <f>TEXT(Data!$E182,"DDDD")</f>
        <v>Monday</v>
      </c>
      <c r="J182" s="6" t="s">
        <v>14</v>
      </c>
      <c r="K182" s="6">
        <f>ROUND(Data!$G182,0)</f>
        <v>1</v>
      </c>
      <c r="L182" t="str" cm="1">
        <f t="array" ref="L182">_xlfn.IFS(C182&lt;=15,"Very Short",C182&lt;=30,"Short",C182&lt;=60,"Medium",C182&gt;60,"Long")</f>
        <v>Long</v>
      </c>
      <c r="M182" t="str" cm="1">
        <f t="array" ref="M182">_xlfn.IFS(F182&lt;=50,"Low",F182&lt;=100,"Medium",F182&lt;=150,"High",F182&gt;150,"Very High")</f>
        <v>Low</v>
      </c>
    </row>
    <row r="183" spans="1:13" ht="14.25" customHeight="1" x14ac:dyDescent="0.4">
      <c r="A183" s="6" t="s">
        <v>217</v>
      </c>
      <c r="B183" s="6" t="s">
        <v>23</v>
      </c>
      <c r="C183" s="6">
        <v>115</v>
      </c>
      <c r="D183" s="7" t="s">
        <v>19</v>
      </c>
      <c r="E183" s="11">
        <v>44992</v>
      </c>
      <c r="F183" s="10">
        <v>48</v>
      </c>
      <c r="G183" s="6">
        <v>4.7</v>
      </c>
      <c r="H183" s="6">
        <f>IF(MONTH(Data!$E183)&lt;=6, YEAR(Data!$E183), YEAR(Data!$E183)+1)</f>
        <v>2023</v>
      </c>
      <c r="I183" s="6" t="str">
        <f>TEXT(Data!$E183,"DDDD")</f>
        <v>Tuesday</v>
      </c>
      <c r="J183" s="6" t="s">
        <v>14</v>
      </c>
      <c r="K183" s="6">
        <f>ROUND(Data!$G183,0)</f>
        <v>5</v>
      </c>
      <c r="L183" t="str" cm="1">
        <f t="array" ref="L183">_xlfn.IFS(C183&lt;=15,"Very Short",C183&lt;=30,"Short",C183&lt;=60,"Medium",C183&gt;60,"Long")</f>
        <v>Long</v>
      </c>
      <c r="M183" t="str" cm="1">
        <f t="array" ref="M183">_xlfn.IFS(F183&lt;=50,"Low",F183&lt;=100,"Medium",F183&lt;=150,"High",F183&gt;150,"Very High")</f>
        <v>Low</v>
      </c>
    </row>
    <row r="184" spans="1:13" ht="14.25" customHeight="1" x14ac:dyDescent="0.4">
      <c r="A184" s="6" t="s">
        <v>218</v>
      </c>
      <c r="B184" s="6" t="s">
        <v>29</v>
      </c>
      <c r="C184" s="6">
        <v>69</v>
      </c>
      <c r="D184" s="7" t="s">
        <v>19</v>
      </c>
      <c r="E184" s="11">
        <v>44992</v>
      </c>
      <c r="F184" s="10">
        <v>132</v>
      </c>
      <c r="G184" s="6">
        <v>4.5</v>
      </c>
      <c r="H184" s="6">
        <f>IF(MONTH(Data!$E184)&lt;=6, YEAR(Data!$E184), YEAR(Data!$E184)+1)</f>
        <v>2023</v>
      </c>
      <c r="I184" s="6" t="str">
        <f>TEXT(Data!$E184,"DDDD")</f>
        <v>Tuesday</v>
      </c>
      <c r="J184" s="6" t="s">
        <v>14</v>
      </c>
      <c r="K184" s="6">
        <f>ROUND(Data!$G184,0)</f>
        <v>5</v>
      </c>
      <c r="L184" t="str" cm="1">
        <f t="array" ref="L184">_xlfn.IFS(C184&lt;=15,"Very Short",C184&lt;=30,"Short",C184&lt;=60,"Medium",C184&gt;60,"Long")</f>
        <v>Long</v>
      </c>
      <c r="M184" t="str" cm="1">
        <f t="array" ref="M184">_xlfn.IFS(F184&lt;=50,"Low",F184&lt;=100,"Medium",F184&lt;=150,"High",F184&gt;150,"Very High")</f>
        <v>High</v>
      </c>
    </row>
    <row r="185" spans="1:13" ht="14.25" customHeight="1" x14ac:dyDescent="0.4">
      <c r="A185" s="6" t="s">
        <v>219</v>
      </c>
      <c r="B185" s="6" t="s">
        <v>40</v>
      </c>
      <c r="C185" s="6">
        <v>103</v>
      </c>
      <c r="D185" s="7" t="s">
        <v>13</v>
      </c>
      <c r="E185" s="11">
        <v>44992</v>
      </c>
      <c r="F185" s="10">
        <v>172</v>
      </c>
      <c r="G185" s="6">
        <v>4.3</v>
      </c>
      <c r="H185" s="6">
        <f>IF(MONTH(Data!$E185)&lt;=6, YEAR(Data!$E185), YEAR(Data!$E185)+1)</f>
        <v>2023</v>
      </c>
      <c r="I185" s="6" t="str">
        <f>TEXT(Data!$E185,"DDDD")</f>
        <v>Tuesday</v>
      </c>
      <c r="J185" s="6" t="s">
        <v>14</v>
      </c>
      <c r="K185" s="6">
        <f>ROUND(Data!$G185,0)</f>
        <v>4</v>
      </c>
      <c r="L185" t="str" cm="1">
        <f t="array" ref="L185">_xlfn.IFS(C185&lt;=15,"Very Short",C185&lt;=30,"Short",C185&lt;=60,"Medium",C185&gt;60,"Long")</f>
        <v>Long</v>
      </c>
      <c r="M185" t="str" cm="1">
        <f t="array" ref="M185">_xlfn.IFS(F185&lt;=50,"Low",F185&lt;=100,"Medium",F185&lt;=150,"High",F185&gt;150,"Very High")</f>
        <v>Very High</v>
      </c>
    </row>
    <row r="186" spans="1:13" ht="14.25" customHeight="1" x14ac:dyDescent="0.4">
      <c r="A186" s="6" t="s">
        <v>220</v>
      </c>
      <c r="B186" s="6" t="s">
        <v>40</v>
      </c>
      <c r="C186" s="6">
        <v>75</v>
      </c>
      <c r="D186" s="7" t="s">
        <v>13</v>
      </c>
      <c r="E186" s="11">
        <v>44992</v>
      </c>
      <c r="F186" s="10">
        <v>111</v>
      </c>
      <c r="G186" s="6">
        <v>3.4</v>
      </c>
      <c r="H186" s="6">
        <f>IF(MONTH(Data!$E186)&lt;=6, YEAR(Data!$E186), YEAR(Data!$E186)+1)</f>
        <v>2023</v>
      </c>
      <c r="I186" s="6" t="str">
        <f>TEXT(Data!$E186,"DDDD")</f>
        <v>Tuesday</v>
      </c>
      <c r="J186" s="6" t="s">
        <v>14</v>
      </c>
      <c r="K186" s="6">
        <f>ROUND(Data!$G186,0)</f>
        <v>3</v>
      </c>
      <c r="L186" t="str" cm="1">
        <f t="array" ref="L186">_xlfn.IFS(C186&lt;=15,"Very Short",C186&lt;=30,"Short",C186&lt;=60,"Medium",C186&gt;60,"Long")</f>
        <v>Long</v>
      </c>
      <c r="M186" t="str" cm="1">
        <f t="array" ref="M186">_xlfn.IFS(F186&lt;=50,"Low",F186&lt;=100,"Medium",F186&lt;=150,"High",F186&gt;150,"Very High")</f>
        <v>High</v>
      </c>
    </row>
    <row r="187" spans="1:13" ht="14.25" customHeight="1" x14ac:dyDescent="0.4">
      <c r="A187" s="6" t="s">
        <v>221</v>
      </c>
      <c r="B187" s="6" t="s">
        <v>38</v>
      </c>
      <c r="C187" s="6">
        <v>92</v>
      </c>
      <c r="D187" s="7" t="s">
        <v>13</v>
      </c>
      <c r="E187" s="11">
        <v>44992</v>
      </c>
      <c r="F187" s="10">
        <v>58</v>
      </c>
      <c r="G187" s="6">
        <v>3.6</v>
      </c>
      <c r="H187" s="6">
        <f>IF(MONTH(Data!$E187)&lt;=6, YEAR(Data!$E187), YEAR(Data!$E187)+1)</f>
        <v>2023</v>
      </c>
      <c r="I187" s="6" t="str">
        <f>TEXT(Data!$E187,"DDDD")</f>
        <v>Tuesday</v>
      </c>
      <c r="J187" s="6" t="s">
        <v>14</v>
      </c>
      <c r="K187" s="6">
        <f>ROUND(Data!$G187,0)</f>
        <v>4</v>
      </c>
      <c r="L187" t="str" cm="1">
        <f t="array" ref="L187">_xlfn.IFS(C187&lt;=15,"Very Short",C187&lt;=30,"Short",C187&lt;=60,"Medium",C187&gt;60,"Long")</f>
        <v>Long</v>
      </c>
      <c r="M187" t="str" cm="1">
        <f t="array" ref="M187">_xlfn.IFS(F187&lt;=50,"Low",F187&lt;=100,"Medium",F187&lt;=150,"High",F187&gt;150,"Very High")</f>
        <v>Medium</v>
      </c>
    </row>
    <row r="188" spans="1:13" ht="14.25" customHeight="1" x14ac:dyDescent="0.4">
      <c r="A188" s="6" t="s">
        <v>222</v>
      </c>
      <c r="B188" s="6" t="s">
        <v>38</v>
      </c>
      <c r="C188" s="6">
        <v>41</v>
      </c>
      <c r="D188" s="7" t="s">
        <v>31</v>
      </c>
      <c r="E188" s="11">
        <v>44992</v>
      </c>
      <c r="F188" s="10">
        <v>68</v>
      </c>
      <c r="G188" s="6">
        <v>4</v>
      </c>
      <c r="H188" s="6">
        <f>IF(MONTH(Data!$E188)&lt;=6, YEAR(Data!$E188), YEAR(Data!$E188)+1)</f>
        <v>2023</v>
      </c>
      <c r="I188" s="6" t="str">
        <f>TEXT(Data!$E188,"DDDD")</f>
        <v>Tuesday</v>
      </c>
      <c r="J188" s="6" t="s">
        <v>27</v>
      </c>
      <c r="K188" s="6">
        <f>ROUND(Data!$G188,0)</f>
        <v>4</v>
      </c>
      <c r="L188" t="str" cm="1">
        <f t="array" ref="L188">_xlfn.IFS(C188&lt;=15,"Very Short",C188&lt;=30,"Short",C188&lt;=60,"Medium",C188&gt;60,"Long")</f>
        <v>Medium</v>
      </c>
      <c r="M188" t="str" cm="1">
        <f t="array" ref="M188">_xlfn.IFS(F188&lt;=50,"Low",F188&lt;=100,"Medium",F188&lt;=150,"High",F188&gt;150,"Very High")</f>
        <v>Medium</v>
      </c>
    </row>
    <row r="189" spans="1:13" ht="14.25" customHeight="1" x14ac:dyDescent="0.4">
      <c r="A189" s="6" t="s">
        <v>223</v>
      </c>
      <c r="B189" s="6" t="s">
        <v>40</v>
      </c>
      <c r="C189" s="6">
        <v>134</v>
      </c>
      <c r="D189" s="7" t="s">
        <v>24</v>
      </c>
      <c r="E189" s="11">
        <v>44992</v>
      </c>
      <c r="F189" s="10">
        <v>160</v>
      </c>
      <c r="G189" s="6">
        <v>4.5</v>
      </c>
      <c r="H189" s="6">
        <f>IF(MONTH(Data!$E189)&lt;=6, YEAR(Data!$E189), YEAR(Data!$E189)+1)</f>
        <v>2023</v>
      </c>
      <c r="I189" s="6" t="str">
        <f>TEXT(Data!$E189,"DDDD")</f>
        <v>Tuesday</v>
      </c>
      <c r="J189" s="6" t="s">
        <v>25</v>
      </c>
      <c r="K189" s="6">
        <f>ROUND(Data!$G189,0)</f>
        <v>5</v>
      </c>
      <c r="L189" t="str" cm="1">
        <f t="array" ref="L189">_xlfn.IFS(C189&lt;=15,"Very Short",C189&lt;=30,"Short",C189&lt;=60,"Medium",C189&gt;60,"Long")</f>
        <v>Long</v>
      </c>
      <c r="M189" t="str" cm="1">
        <f t="array" ref="M189">_xlfn.IFS(F189&lt;=50,"Low",F189&lt;=100,"Medium",F189&lt;=150,"High",F189&gt;150,"Very High")</f>
        <v>Very High</v>
      </c>
    </row>
    <row r="190" spans="1:13" ht="14.25" customHeight="1" x14ac:dyDescent="0.4">
      <c r="A190" s="6" t="s">
        <v>224</v>
      </c>
      <c r="B190" s="6" t="s">
        <v>68</v>
      </c>
      <c r="C190" s="6">
        <v>80</v>
      </c>
      <c r="D190" s="7" t="s">
        <v>35</v>
      </c>
      <c r="E190" s="11">
        <v>44992</v>
      </c>
      <c r="F190" s="10">
        <v>45</v>
      </c>
      <c r="G190" s="6">
        <v>3</v>
      </c>
      <c r="H190" s="6">
        <f>IF(MONTH(Data!$E190)&lt;=6, YEAR(Data!$E190), YEAR(Data!$E190)+1)</f>
        <v>2023</v>
      </c>
      <c r="I190" s="6" t="str">
        <f>TEXT(Data!$E190,"DDDD")</f>
        <v>Tuesday</v>
      </c>
      <c r="J190" s="6" t="s">
        <v>14</v>
      </c>
      <c r="K190" s="6">
        <f>ROUND(Data!$G190,0)</f>
        <v>3</v>
      </c>
      <c r="L190" t="str" cm="1">
        <f t="array" ref="L190">_xlfn.IFS(C190&lt;=15,"Very Short",C190&lt;=30,"Short",C190&lt;=60,"Medium",C190&gt;60,"Long")</f>
        <v>Long</v>
      </c>
      <c r="M190" t="str" cm="1">
        <f t="array" ref="M190">_xlfn.IFS(F190&lt;=50,"Low",F190&lt;=100,"Medium",F190&lt;=150,"High",F190&gt;150,"Very High")</f>
        <v>Low</v>
      </c>
    </row>
    <row r="191" spans="1:13" ht="14.25" customHeight="1" x14ac:dyDescent="0.4">
      <c r="A191" s="6" t="s">
        <v>225</v>
      </c>
      <c r="B191" s="6" t="s">
        <v>88</v>
      </c>
      <c r="C191" s="6">
        <v>103</v>
      </c>
      <c r="D191" s="7" t="s">
        <v>19</v>
      </c>
      <c r="E191" s="11">
        <v>44993</v>
      </c>
      <c r="F191" s="10">
        <v>117</v>
      </c>
      <c r="G191" s="6">
        <v>3</v>
      </c>
      <c r="H191" s="6">
        <f>IF(MONTH(Data!$E191)&lt;=6, YEAR(Data!$E191), YEAR(Data!$E191)+1)</f>
        <v>2023</v>
      </c>
      <c r="I191" s="6" t="str">
        <f>TEXT(Data!$E191,"DDDD")</f>
        <v>Wednesday</v>
      </c>
      <c r="J191" s="6" t="s">
        <v>14</v>
      </c>
      <c r="K191" s="6">
        <f>ROUND(Data!$G191,0)</f>
        <v>3</v>
      </c>
      <c r="L191" t="str" cm="1">
        <f t="array" ref="L191">_xlfn.IFS(C191&lt;=15,"Very Short",C191&lt;=30,"Short",C191&lt;=60,"Medium",C191&gt;60,"Long")</f>
        <v>Long</v>
      </c>
      <c r="M191" t="str" cm="1">
        <f t="array" ref="M191">_xlfn.IFS(F191&lt;=50,"Low",F191&lt;=100,"Medium",F191&lt;=150,"High",F191&gt;150,"Very High")</f>
        <v>High</v>
      </c>
    </row>
    <row r="192" spans="1:13" ht="14.25" customHeight="1" x14ac:dyDescent="0.4">
      <c r="A192" s="6" t="s">
        <v>226</v>
      </c>
      <c r="B192" s="6" t="s">
        <v>50</v>
      </c>
      <c r="C192" s="6">
        <v>20</v>
      </c>
      <c r="D192" s="7" t="s">
        <v>13</v>
      </c>
      <c r="E192" s="11">
        <v>44994</v>
      </c>
      <c r="F192" s="10">
        <v>22</v>
      </c>
      <c r="G192" s="6">
        <v>1.6</v>
      </c>
      <c r="H192" s="6">
        <f>IF(MONTH(Data!$E192)&lt;=6, YEAR(Data!$E192), YEAR(Data!$E192)+1)</f>
        <v>2023</v>
      </c>
      <c r="I192" s="6" t="str">
        <f>TEXT(Data!$E192,"DDDD")</f>
        <v>Thursday</v>
      </c>
      <c r="J192" s="6" t="s">
        <v>47</v>
      </c>
      <c r="K192" s="6">
        <f>ROUND(Data!$G192,0)</f>
        <v>2</v>
      </c>
      <c r="L192" t="str" cm="1">
        <f t="array" ref="L192">_xlfn.IFS(C192&lt;=15,"Very Short",C192&lt;=30,"Short",C192&lt;=60,"Medium",C192&gt;60,"Long")</f>
        <v>Short</v>
      </c>
      <c r="M192" t="str" cm="1">
        <f t="array" ref="M192">_xlfn.IFS(F192&lt;=50,"Low",F192&lt;=100,"Medium",F192&lt;=150,"High",F192&gt;150,"Very High")</f>
        <v>Low</v>
      </c>
    </row>
    <row r="193" spans="1:13" ht="14.25" customHeight="1" x14ac:dyDescent="0.4">
      <c r="A193" s="6" t="s">
        <v>227</v>
      </c>
      <c r="B193" s="6" t="s">
        <v>88</v>
      </c>
      <c r="C193" s="6">
        <v>75</v>
      </c>
      <c r="D193" s="7" t="s">
        <v>35</v>
      </c>
      <c r="E193" s="11">
        <v>44994</v>
      </c>
      <c r="F193" s="10">
        <v>195</v>
      </c>
      <c r="G193" s="6">
        <v>3</v>
      </c>
      <c r="H193" s="6">
        <f>IF(MONTH(Data!$E193)&lt;=6, YEAR(Data!$E193), YEAR(Data!$E193)+1)</f>
        <v>2023</v>
      </c>
      <c r="I193" s="6" t="str">
        <f>TEXT(Data!$E193,"DDDD")</f>
        <v>Thursday</v>
      </c>
      <c r="J193" s="6" t="s">
        <v>14</v>
      </c>
      <c r="K193" s="6">
        <f>ROUND(Data!$G193,0)</f>
        <v>3</v>
      </c>
      <c r="L193" t="str" cm="1">
        <f t="array" ref="L193">_xlfn.IFS(C193&lt;=15,"Very Short",C193&lt;=30,"Short",C193&lt;=60,"Medium",C193&gt;60,"Long")</f>
        <v>Long</v>
      </c>
      <c r="M193" t="str" cm="1">
        <f t="array" ref="M193">_xlfn.IFS(F193&lt;=50,"Low",F193&lt;=100,"Medium",F193&lt;=150,"High",F193&gt;150,"Very High")</f>
        <v>Very High</v>
      </c>
    </row>
    <row r="194" spans="1:13" ht="14.25" customHeight="1" x14ac:dyDescent="0.4">
      <c r="A194" s="6" t="s">
        <v>228</v>
      </c>
      <c r="B194" s="6" t="s">
        <v>38</v>
      </c>
      <c r="C194" s="6">
        <v>80</v>
      </c>
      <c r="D194" s="7" t="s">
        <v>24</v>
      </c>
      <c r="E194" s="11">
        <v>44994</v>
      </c>
      <c r="F194" s="10">
        <v>168</v>
      </c>
      <c r="G194" s="6">
        <v>3.7</v>
      </c>
      <c r="H194" s="6">
        <f>IF(MONTH(Data!$E194)&lt;=6, YEAR(Data!$E194), YEAR(Data!$E194)+1)</f>
        <v>2023</v>
      </c>
      <c r="I194" s="6" t="str">
        <f>TEXT(Data!$E194,"DDDD")</f>
        <v>Thursday</v>
      </c>
      <c r="J194" s="6" t="s">
        <v>14</v>
      </c>
      <c r="K194" s="6">
        <f>ROUND(Data!$G194,0)</f>
        <v>4</v>
      </c>
      <c r="L194" t="str" cm="1">
        <f t="array" ref="L194">_xlfn.IFS(C194&lt;=15,"Very Short",C194&lt;=30,"Short",C194&lt;=60,"Medium",C194&gt;60,"Long")</f>
        <v>Long</v>
      </c>
      <c r="M194" t="str" cm="1">
        <f t="array" ref="M194">_xlfn.IFS(F194&lt;=50,"Low",F194&lt;=100,"Medium",F194&lt;=150,"High",F194&gt;150,"Very High")</f>
        <v>Very High</v>
      </c>
    </row>
    <row r="195" spans="1:13" ht="14.25" customHeight="1" x14ac:dyDescent="0.4">
      <c r="A195" s="6" t="s">
        <v>229</v>
      </c>
      <c r="B195" s="6" t="s">
        <v>29</v>
      </c>
      <c r="C195" s="6">
        <v>85</v>
      </c>
      <c r="D195" s="7" t="s">
        <v>31</v>
      </c>
      <c r="E195" s="11">
        <v>44995</v>
      </c>
      <c r="F195" s="10">
        <v>46</v>
      </c>
      <c r="G195" s="6">
        <v>4.9000000000000004</v>
      </c>
      <c r="H195" s="6">
        <f>IF(MONTH(Data!$E195)&lt;=6, YEAR(Data!$E195), YEAR(Data!$E195)+1)</f>
        <v>2023</v>
      </c>
      <c r="I195" s="6" t="str">
        <f>TEXT(Data!$E195,"DDDD")</f>
        <v>Friday</v>
      </c>
      <c r="J195" s="6" t="s">
        <v>14</v>
      </c>
      <c r="K195" s="6">
        <f>ROUND(Data!$G195,0)</f>
        <v>5</v>
      </c>
      <c r="L195" t="str" cm="1">
        <f t="array" ref="L195">_xlfn.IFS(C195&lt;=15,"Very Short",C195&lt;=30,"Short",C195&lt;=60,"Medium",C195&gt;60,"Long")</f>
        <v>Long</v>
      </c>
      <c r="M195" t="str" cm="1">
        <f t="array" ref="M195">_xlfn.IFS(F195&lt;=50,"Low",F195&lt;=100,"Medium",F195&lt;=150,"High",F195&gt;150,"Very High")</f>
        <v>Low</v>
      </c>
    </row>
    <row r="196" spans="1:13" ht="14.25" customHeight="1" x14ac:dyDescent="0.4">
      <c r="A196" s="6" t="s">
        <v>230</v>
      </c>
      <c r="B196" s="6" t="s">
        <v>16</v>
      </c>
      <c r="C196" s="6">
        <v>155</v>
      </c>
      <c r="D196" s="7" t="s">
        <v>13</v>
      </c>
      <c r="E196" s="11">
        <v>44995</v>
      </c>
      <c r="F196" s="10">
        <v>164</v>
      </c>
      <c r="G196" s="6">
        <v>3.4</v>
      </c>
      <c r="H196" s="6">
        <f>IF(MONTH(Data!$E196)&lt;=6, YEAR(Data!$E196), YEAR(Data!$E196)+1)</f>
        <v>2023</v>
      </c>
      <c r="I196" s="6" t="str">
        <f>TEXT(Data!$E196,"DDDD")</f>
        <v>Friday</v>
      </c>
      <c r="J196" s="6" t="s">
        <v>25</v>
      </c>
      <c r="K196" s="6">
        <f>ROUND(Data!$G196,0)</f>
        <v>3</v>
      </c>
      <c r="L196" t="str" cm="1">
        <f t="array" ref="L196">_xlfn.IFS(C196&lt;=15,"Very Short",C196&lt;=30,"Short",C196&lt;=60,"Medium",C196&gt;60,"Long")</f>
        <v>Long</v>
      </c>
      <c r="M196" t="str" cm="1">
        <f t="array" ref="M196">_xlfn.IFS(F196&lt;=50,"Low",F196&lt;=100,"Medium",F196&lt;=150,"High",F196&gt;150,"Very High")</f>
        <v>Very High</v>
      </c>
    </row>
    <row r="197" spans="1:13" ht="14.25" customHeight="1" x14ac:dyDescent="0.4">
      <c r="A197" s="6" t="s">
        <v>231</v>
      </c>
      <c r="B197" s="6" t="s">
        <v>29</v>
      </c>
      <c r="C197" s="6">
        <v>63</v>
      </c>
      <c r="D197" s="7" t="s">
        <v>31</v>
      </c>
      <c r="E197" s="11">
        <v>44995</v>
      </c>
      <c r="F197" s="10">
        <v>48</v>
      </c>
      <c r="G197" s="6">
        <v>5</v>
      </c>
      <c r="H197" s="6">
        <f>IF(MONTH(Data!$E197)&lt;=6, YEAR(Data!$E197), YEAR(Data!$E197)+1)</f>
        <v>2023</v>
      </c>
      <c r="I197" s="6" t="str">
        <f>TEXT(Data!$E197,"DDDD")</f>
        <v>Friday</v>
      </c>
      <c r="J197" s="6" t="s">
        <v>14</v>
      </c>
      <c r="K197" s="6">
        <f>ROUND(Data!$G197,0)</f>
        <v>5</v>
      </c>
      <c r="L197" t="str" cm="1">
        <f t="array" ref="L197">_xlfn.IFS(C197&lt;=15,"Very Short",C197&lt;=30,"Short",C197&lt;=60,"Medium",C197&gt;60,"Long")</f>
        <v>Long</v>
      </c>
      <c r="M197" t="str" cm="1">
        <f t="array" ref="M197">_xlfn.IFS(F197&lt;=50,"Low",F197&lt;=100,"Medium",F197&lt;=150,"High",F197&gt;150,"Very High")</f>
        <v>Low</v>
      </c>
    </row>
    <row r="198" spans="1:13" ht="14.25" customHeight="1" x14ac:dyDescent="0.4">
      <c r="A198" s="6" t="s">
        <v>232</v>
      </c>
      <c r="B198" s="6" t="s">
        <v>18</v>
      </c>
      <c r="C198" s="6">
        <v>105</v>
      </c>
      <c r="D198" s="7" t="s">
        <v>19</v>
      </c>
      <c r="E198" s="11">
        <v>44995</v>
      </c>
      <c r="F198" s="10">
        <v>96</v>
      </c>
      <c r="G198" s="6">
        <v>5</v>
      </c>
      <c r="H198" s="6">
        <f>IF(MONTH(Data!$E198)&lt;=6, YEAR(Data!$E198), YEAR(Data!$E198)+1)</f>
        <v>2023</v>
      </c>
      <c r="I198" s="6" t="str">
        <f>TEXT(Data!$E198,"DDDD")</f>
        <v>Friday</v>
      </c>
      <c r="J198" s="6" t="s">
        <v>14</v>
      </c>
      <c r="K198" s="6">
        <f>ROUND(Data!$G198,0)</f>
        <v>5</v>
      </c>
      <c r="L198" t="str" cm="1">
        <f t="array" ref="L198">_xlfn.IFS(C198&lt;=15,"Very Short",C198&lt;=30,"Short",C198&lt;=60,"Medium",C198&gt;60,"Long")</f>
        <v>Long</v>
      </c>
      <c r="M198" t="str" cm="1">
        <f t="array" ref="M198">_xlfn.IFS(F198&lt;=50,"Low",F198&lt;=100,"Medium",F198&lt;=150,"High",F198&gt;150,"Very High")</f>
        <v>Medium</v>
      </c>
    </row>
    <row r="199" spans="1:13" ht="14.25" customHeight="1" x14ac:dyDescent="0.4">
      <c r="A199" s="6" t="s">
        <v>233</v>
      </c>
      <c r="B199" s="6" t="s">
        <v>29</v>
      </c>
      <c r="C199" s="6">
        <v>71</v>
      </c>
      <c r="D199" s="7" t="s">
        <v>31</v>
      </c>
      <c r="E199" s="11">
        <v>44995</v>
      </c>
      <c r="F199" s="10">
        <v>105</v>
      </c>
      <c r="G199" s="6">
        <v>4</v>
      </c>
      <c r="H199" s="6">
        <f>IF(MONTH(Data!$E199)&lt;=6, YEAR(Data!$E199), YEAR(Data!$E199)+1)</f>
        <v>2023</v>
      </c>
      <c r="I199" s="6" t="str">
        <f>TEXT(Data!$E199,"DDDD")</f>
        <v>Friday</v>
      </c>
      <c r="J199" s="6" t="s">
        <v>14</v>
      </c>
      <c r="K199" s="6">
        <f>ROUND(Data!$G199,0)</f>
        <v>4</v>
      </c>
      <c r="L199" t="str" cm="1">
        <f t="array" ref="L199">_xlfn.IFS(C199&lt;=15,"Very Short",C199&lt;=30,"Short",C199&lt;=60,"Medium",C199&gt;60,"Long")</f>
        <v>Long</v>
      </c>
      <c r="M199" t="str" cm="1">
        <f t="array" ref="M199">_xlfn.IFS(F199&lt;=50,"Low",F199&lt;=100,"Medium",F199&lt;=150,"High",F199&gt;150,"Very High")</f>
        <v>High</v>
      </c>
    </row>
    <row r="200" spans="1:13" ht="14.25" customHeight="1" x14ac:dyDescent="0.4">
      <c r="A200" s="6" t="s">
        <v>234</v>
      </c>
      <c r="B200" s="6" t="s">
        <v>16</v>
      </c>
      <c r="C200" s="6">
        <v>100</v>
      </c>
      <c r="D200" s="7" t="s">
        <v>31</v>
      </c>
      <c r="E200" s="11">
        <v>44996</v>
      </c>
      <c r="F200" s="10">
        <v>44</v>
      </c>
      <c r="G200" s="6">
        <v>3.6</v>
      </c>
      <c r="H200" s="6">
        <f>IF(MONTH(Data!$E200)&lt;=6, YEAR(Data!$E200), YEAR(Data!$E200)+1)</f>
        <v>2023</v>
      </c>
      <c r="I200" s="6" t="str">
        <f>TEXT(Data!$E200,"DDDD")</f>
        <v>Saturday</v>
      </c>
      <c r="J200" s="6" t="s">
        <v>14</v>
      </c>
      <c r="K200" s="6">
        <f>ROUND(Data!$G200,0)</f>
        <v>4</v>
      </c>
      <c r="L200" t="str" cm="1">
        <f t="array" ref="L200">_xlfn.IFS(C200&lt;=15,"Very Short",C200&lt;=30,"Short",C200&lt;=60,"Medium",C200&gt;60,"Long")</f>
        <v>Long</v>
      </c>
      <c r="M200" t="str" cm="1">
        <f t="array" ref="M200">_xlfn.IFS(F200&lt;=50,"Low",F200&lt;=100,"Medium",F200&lt;=150,"High",F200&gt;150,"Very High")</f>
        <v>Low</v>
      </c>
    </row>
    <row r="201" spans="1:13" ht="14.25" customHeight="1" x14ac:dyDescent="0.4">
      <c r="A201" s="6" t="s">
        <v>235</v>
      </c>
      <c r="B201" s="6" t="s">
        <v>12</v>
      </c>
      <c r="C201" s="6">
        <v>93</v>
      </c>
      <c r="D201" s="7" t="s">
        <v>24</v>
      </c>
      <c r="E201" s="11">
        <v>44996</v>
      </c>
      <c r="F201" s="10">
        <v>132</v>
      </c>
      <c r="G201" s="6">
        <v>3.7</v>
      </c>
      <c r="H201" s="6">
        <f>IF(MONTH(Data!$E201)&lt;=6, YEAR(Data!$E201), YEAR(Data!$E201)+1)</f>
        <v>2023</v>
      </c>
      <c r="I201" s="6" t="str">
        <f>TEXT(Data!$E201,"DDDD")</f>
        <v>Saturday</v>
      </c>
      <c r="J201" s="6" t="s">
        <v>14</v>
      </c>
      <c r="K201" s="6">
        <f>ROUND(Data!$G201,0)</f>
        <v>4</v>
      </c>
      <c r="L201" t="str" cm="1">
        <f t="array" ref="L201">_xlfn.IFS(C201&lt;=15,"Very Short",C201&lt;=30,"Short",C201&lt;=60,"Medium",C201&gt;60,"Long")</f>
        <v>Long</v>
      </c>
      <c r="M201" t="str" cm="1">
        <f t="array" ref="M201">_xlfn.IFS(F201&lt;=50,"Low",F201&lt;=100,"Medium",F201&lt;=150,"High",F201&gt;150,"Very High")</f>
        <v>High</v>
      </c>
    </row>
    <row r="202" spans="1:13" ht="14.25" customHeight="1" x14ac:dyDescent="0.4">
      <c r="A202" s="6" t="s">
        <v>236</v>
      </c>
      <c r="B202" s="6" t="s">
        <v>18</v>
      </c>
      <c r="C202" s="6">
        <v>84</v>
      </c>
      <c r="D202" s="7" t="s">
        <v>13</v>
      </c>
      <c r="E202" s="11">
        <v>44996</v>
      </c>
      <c r="F202" s="10">
        <v>54</v>
      </c>
      <c r="G202" s="6">
        <v>4.2</v>
      </c>
      <c r="H202" s="6">
        <f>IF(MONTH(Data!$E202)&lt;=6, YEAR(Data!$E202), YEAR(Data!$E202)+1)</f>
        <v>2023</v>
      </c>
      <c r="I202" s="6" t="str">
        <f>TEXT(Data!$E202,"DDDD")</f>
        <v>Saturday</v>
      </c>
      <c r="J202" s="6" t="s">
        <v>14</v>
      </c>
      <c r="K202" s="6">
        <f>ROUND(Data!$G202,0)</f>
        <v>4</v>
      </c>
      <c r="L202" t="str" cm="1">
        <f t="array" ref="L202">_xlfn.IFS(C202&lt;=15,"Very Short",C202&lt;=30,"Short",C202&lt;=60,"Medium",C202&gt;60,"Long")</f>
        <v>Long</v>
      </c>
      <c r="M202" t="str" cm="1">
        <f t="array" ref="M202">_xlfn.IFS(F202&lt;=50,"Low",F202&lt;=100,"Medium",F202&lt;=150,"High",F202&gt;150,"Very High")</f>
        <v>Medium</v>
      </c>
    </row>
    <row r="203" spans="1:13" ht="14.25" customHeight="1" x14ac:dyDescent="0.4">
      <c r="A203" s="6" t="s">
        <v>237</v>
      </c>
      <c r="B203" s="6" t="s">
        <v>68</v>
      </c>
      <c r="C203" s="6">
        <v>56</v>
      </c>
      <c r="D203" s="7" t="s">
        <v>35</v>
      </c>
      <c r="E203" s="11">
        <v>44996</v>
      </c>
      <c r="F203" s="10">
        <v>129</v>
      </c>
      <c r="G203" s="6">
        <v>2.1</v>
      </c>
      <c r="H203" s="6">
        <f>IF(MONTH(Data!$E203)&lt;=6, YEAR(Data!$E203), YEAR(Data!$E203)+1)</f>
        <v>2023</v>
      </c>
      <c r="I203" s="6" t="str">
        <f>TEXT(Data!$E203,"DDDD")</f>
        <v>Saturday</v>
      </c>
      <c r="J203" s="6" t="s">
        <v>27</v>
      </c>
      <c r="K203" s="6">
        <f>ROUND(Data!$G203,0)</f>
        <v>2</v>
      </c>
      <c r="L203" t="str" cm="1">
        <f t="array" ref="L203">_xlfn.IFS(C203&lt;=15,"Very Short",C203&lt;=30,"Short",C203&lt;=60,"Medium",C203&gt;60,"Long")</f>
        <v>Medium</v>
      </c>
      <c r="M203" t="str" cm="1">
        <f t="array" ref="M203">_xlfn.IFS(F203&lt;=50,"Low",F203&lt;=100,"Medium",F203&lt;=150,"High",F203&gt;150,"Very High")</f>
        <v>High</v>
      </c>
    </row>
    <row r="204" spans="1:13" ht="14.25" customHeight="1" x14ac:dyDescent="0.4">
      <c r="A204" s="6" t="s">
        <v>238</v>
      </c>
      <c r="B204" s="6" t="s">
        <v>68</v>
      </c>
      <c r="C204" s="6">
        <v>63</v>
      </c>
      <c r="D204" s="7" t="s">
        <v>31</v>
      </c>
      <c r="E204" s="11">
        <v>44996</v>
      </c>
      <c r="F204" s="10">
        <v>42</v>
      </c>
      <c r="G204" s="6">
        <v>4</v>
      </c>
      <c r="H204" s="6">
        <f>IF(MONTH(Data!$E204)&lt;=6, YEAR(Data!$E204), YEAR(Data!$E204)+1)</f>
        <v>2023</v>
      </c>
      <c r="I204" s="6" t="str">
        <f>TEXT(Data!$E204,"DDDD")</f>
        <v>Saturday</v>
      </c>
      <c r="J204" s="6" t="s">
        <v>14</v>
      </c>
      <c r="K204" s="6">
        <f>ROUND(Data!$G204,0)</f>
        <v>4</v>
      </c>
      <c r="L204" t="str" cm="1">
        <f t="array" ref="L204">_xlfn.IFS(C204&lt;=15,"Very Short",C204&lt;=30,"Short",C204&lt;=60,"Medium",C204&gt;60,"Long")</f>
        <v>Long</v>
      </c>
      <c r="M204" t="str" cm="1">
        <f t="array" ref="M204">_xlfn.IFS(F204&lt;=50,"Low",F204&lt;=100,"Medium",F204&lt;=150,"High",F204&gt;150,"Very High")</f>
        <v>Low</v>
      </c>
    </row>
    <row r="205" spans="1:13" ht="14.25" customHeight="1" x14ac:dyDescent="0.4">
      <c r="A205" s="6" t="s">
        <v>239</v>
      </c>
      <c r="B205" s="6" t="s">
        <v>46</v>
      </c>
      <c r="C205" s="6">
        <v>83</v>
      </c>
      <c r="D205" s="7" t="s">
        <v>31</v>
      </c>
      <c r="E205" s="11">
        <v>44996</v>
      </c>
      <c r="F205" s="10">
        <v>42</v>
      </c>
      <c r="G205" s="6">
        <v>4.2</v>
      </c>
      <c r="H205" s="6">
        <f>IF(MONTH(Data!$E205)&lt;=6, YEAR(Data!$E205), YEAR(Data!$E205)+1)</f>
        <v>2023</v>
      </c>
      <c r="I205" s="6" t="str">
        <f>TEXT(Data!$E205,"DDDD")</f>
        <v>Saturday</v>
      </c>
      <c r="J205" s="6" t="s">
        <v>14</v>
      </c>
      <c r="K205" s="6">
        <f>ROUND(Data!$G205,0)</f>
        <v>4</v>
      </c>
      <c r="L205" t="str" cm="1">
        <f t="array" ref="L205">_xlfn.IFS(C205&lt;=15,"Very Short",C205&lt;=30,"Short",C205&lt;=60,"Medium",C205&gt;60,"Long")</f>
        <v>Long</v>
      </c>
      <c r="M205" t="str" cm="1">
        <f t="array" ref="M205">_xlfn.IFS(F205&lt;=50,"Low",F205&lt;=100,"Medium",F205&lt;=150,"High",F205&gt;150,"Very High")</f>
        <v>Low</v>
      </c>
    </row>
    <row r="206" spans="1:13" ht="14.25" customHeight="1" x14ac:dyDescent="0.4">
      <c r="A206" s="6" t="s">
        <v>240</v>
      </c>
      <c r="B206" s="6" t="s">
        <v>38</v>
      </c>
      <c r="C206" s="6">
        <v>134</v>
      </c>
      <c r="D206" s="7" t="s">
        <v>13</v>
      </c>
      <c r="E206" s="11">
        <v>44996</v>
      </c>
      <c r="F206" s="10">
        <v>180</v>
      </c>
      <c r="G206" s="6">
        <v>3.1</v>
      </c>
      <c r="H206" s="6">
        <f>IF(MONTH(Data!$E206)&lt;=6, YEAR(Data!$E206), YEAR(Data!$E206)+1)</f>
        <v>2023</v>
      </c>
      <c r="I206" s="6" t="str">
        <f>TEXT(Data!$E206,"DDDD")</f>
        <v>Saturday</v>
      </c>
      <c r="J206" s="6" t="s">
        <v>25</v>
      </c>
      <c r="K206" s="6">
        <f>ROUND(Data!$G206,0)</f>
        <v>3</v>
      </c>
      <c r="L206" t="str" cm="1">
        <f t="array" ref="L206">_xlfn.IFS(C206&lt;=15,"Very Short",C206&lt;=30,"Short",C206&lt;=60,"Medium",C206&gt;60,"Long")</f>
        <v>Long</v>
      </c>
      <c r="M206" t="str" cm="1">
        <f t="array" ref="M206">_xlfn.IFS(F206&lt;=50,"Low",F206&lt;=100,"Medium",F206&lt;=150,"High",F206&gt;150,"Very High")</f>
        <v>Very High</v>
      </c>
    </row>
    <row r="207" spans="1:13" ht="14.25" customHeight="1" x14ac:dyDescent="0.4">
      <c r="A207" s="6" t="s">
        <v>241</v>
      </c>
      <c r="B207" s="6" t="s">
        <v>23</v>
      </c>
      <c r="C207" s="6">
        <v>73</v>
      </c>
      <c r="D207" s="7" t="s">
        <v>31</v>
      </c>
      <c r="E207" s="11">
        <v>44997</v>
      </c>
      <c r="F207" s="10">
        <v>34</v>
      </c>
      <c r="G207" s="6">
        <v>4.8</v>
      </c>
      <c r="H207" s="6">
        <f>IF(MONTH(Data!$E207)&lt;=6, YEAR(Data!$E207), YEAR(Data!$E207)+1)</f>
        <v>2023</v>
      </c>
      <c r="I207" s="6" t="str">
        <f>TEXT(Data!$E207,"DDDD")</f>
        <v>Sunday</v>
      </c>
      <c r="J207" s="6" t="s">
        <v>14</v>
      </c>
      <c r="K207" s="6">
        <f>ROUND(Data!$G207,0)</f>
        <v>5</v>
      </c>
      <c r="L207" t="str" cm="1">
        <f t="array" ref="L207">_xlfn.IFS(C207&lt;=15,"Very Short",C207&lt;=30,"Short",C207&lt;=60,"Medium",C207&gt;60,"Long")</f>
        <v>Long</v>
      </c>
      <c r="M207" t="str" cm="1">
        <f t="array" ref="M207">_xlfn.IFS(F207&lt;=50,"Low",F207&lt;=100,"Medium",F207&lt;=150,"High",F207&gt;150,"Very High")</f>
        <v>Low</v>
      </c>
    </row>
    <row r="208" spans="1:13" ht="14.25" customHeight="1" x14ac:dyDescent="0.4">
      <c r="A208" s="6" t="s">
        <v>242</v>
      </c>
      <c r="B208" s="6" t="s">
        <v>88</v>
      </c>
      <c r="C208" s="6">
        <v>6</v>
      </c>
      <c r="D208" s="7" t="s">
        <v>35</v>
      </c>
      <c r="E208" s="11">
        <v>44997</v>
      </c>
      <c r="F208" s="10">
        <v>29</v>
      </c>
      <c r="G208" s="6">
        <v>4.7</v>
      </c>
      <c r="H208" s="6">
        <f>IF(MONTH(Data!$E208)&lt;=6, YEAR(Data!$E208), YEAR(Data!$E208)+1)</f>
        <v>2023</v>
      </c>
      <c r="I208" s="6" t="str">
        <f>TEXT(Data!$E208,"DDDD")</f>
        <v>Sunday</v>
      </c>
      <c r="J208" s="6" t="s">
        <v>176</v>
      </c>
      <c r="K208" s="6">
        <f>ROUND(Data!$G208,0)</f>
        <v>5</v>
      </c>
      <c r="L208" t="str" cm="1">
        <f t="array" ref="L208">_xlfn.IFS(C208&lt;=15,"Very Short",C208&lt;=30,"Short",C208&lt;=60,"Medium",C208&gt;60,"Long")</f>
        <v>Very Short</v>
      </c>
      <c r="M208" t="str" cm="1">
        <f t="array" ref="M208">_xlfn.IFS(F208&lt;=50,"Low",F208&lt;=100,"Medium",F208&lt;=150,"High",F208&gt;150,"Very High")</f>
        <v>Low</v>
      </c>
    </row>
    <row r="209" spans="1:13" ht="14.25" customHeight="1" x14ac:dyDescent="0.4">
      <c r="A209" s="6" t="s">
        <v>243</v>
      </c>
      <c r="B209" s="6" t="s">
        <v>58</v>
      </c>
      <c r="C209" s="6">
        <v>46</v>
      </c>
      <c r="D209" s="7" t="s">
        <v>19</v>
      </c>
      <c r="E209" s="11">
        <v>44997</v>
      </c>
      <c r="F209" s="10">
        <v>165</v>
      </c>
      <c r="G209" s="6">
        <v>3.3</v>
      </c>
      <c r="H209" s="6">
        <f>IF(MONTH(Data!$E209)&lt;=6, YEAR(Data!$E209), YEAR(Data!$E209)+1)</f>
        <v>2023</v>
      </c>
      <c r="I209" s="6" t="str">
        <f>TEXT(Data!$E209,"DDDD")</f>
        <v>Sunday</v>
      </c>
      <c r="J209" s="6" t="s">
        <v>27</v>
      </c>
      <c r="K209" s="6">
        <f>ROUND(Data!$G209,0)</f>
        <v>3</v>
      </c>
      <c r="L209" t="str" cm="1">
        <f t="array" ref="L209">_xlfn.IFS(C209&lt;=15,"Very Short",C209&lt;=30,"Short",C209&lt;=60,"Medium",C209&gt;60,"Long")</f>
        <v>Medium</v>
      </c>
      <c r="M209" t="str" cm="1">
        <f t="array" ref="M209">_xlfn.IFS(F209&lt;=50,"Low",F209&lt;=100,"Medium",F209&lt;=150,"High",F209&gt;150,"Very High")</f>
        <v>Very High</v>
      </c>
    </row>
    <row r="210" spans="1:13" ht="14.25" customHeight="1" x14ac:dyDescent="0.4">
      <c r="A210" s="6" t="s">
        <v>244</v>
      </c>
      <c r="B210" s="6" t="s">
        <v>88</v>
      </c>
      <c r="C210" s="6">
        <v>121</v>
      </c>
      <c r="D210" s="7" t="s">
        <v>31</v>
      </c>
      <c r="E210" s="11">
        <v>44998</v>
      </c>
      <c r="F210" s="10">
        <v>32</v>
      </c>
      <c r="G210" s="6">
        <v>3.7</v>
      </c>
      <c r="H210" s="6">
        <f>IF(MONTH(Data!$E210)&lt;=6, YEAR(Data!$E210), YEAR(Data!$E210)+1)</f>
        <v>2023</v>
      </c>
      <c r="I210" s="6" t="str">
        <f>TEXT(Data!$E210,"DDDD")</f>
        <v>Monday</v>
      </c>
      <c r="J210" s="6" t="s">
        <v>25</v>
      </c>
      <c r="K210" s="6">
        <f>ROUND(Data!$G210,0)</f>
        <v>4</v>
      </c>
      <c r="L210" t="str" cm="1">
        <f t="array" ref="L210">_xlfn.IFS(C210&lt;=15,"Very Short",C210&lt;=30,"Short",C210&lt;=60,"Medium",C210&gt;60,"Long")</f>
        <v>Long</v>
      </c>
      <c r="M210" t="str" cm="1">
        <f t="array" ref="M210">_xlfn.IFS(F210&lt;=50,"Low",F210&lt;=100,"Medium",F210&lt;=150,"High",F210&gt;150,"Very High")</f>
        <v>Low</v>
      </c>
    </row>
    <row r="211" spans="1:13" ht="14.25" customHeight="1" x14ac:dyDescent="0.4">
      <c r="A211" s="6" t="s">
        <v>245</v>
      </c>
      <c r="B211" s="6" t="s">
        <v>68</v>
      </c>
      <c r="C211" s="6">
        <v>61</v>
      </c>
      <c r="D211" s="7" t="s">
        <v>24</v>
      </c>
      <c r="E211" s="11">
        <v>44998</v>
      </c>
      <c r="F211" s="10">
        <v>160</v>
      </c>
      <c r="G211" s="6">
        <v>4.9000000000000004</v>
      </c>
      <c r="H211" s="6">
        <f>IF(MONTH(Data!$E211)&lt;=6, YEAR(Data!$E211), YEAR(Data!$E211)+1)</f>
        <v>2023</v>
      </c>
      <c r="I211" s="6" t="str">
        <f>TEXT(Data!$E211,"DDDD")</f>
        <v>Monday</v>
      </c>
      <c r="J211" s="6" t="s">
        <v>14</v>
      </c>
      <c r="K211" s="6">
        <f>ROUND(Data!$G211,0)</f>
        <v>5</v>
      </c>
      <c r="L211" t="str" cm="1">
        <f t="array" ref="L211">_xlfn.IFS(C211&lt;=15,"Very Short",C211&lt;=30,"Short",C211&lt;=60,"Medium",C211&gt;60,"Long")</f>
        <v>Long</v>
      </c>
      <c r="M211" t="str" cm="1">
        <f t="array" ref="M211">_xlfn.IFS(F211&lt;=50,"Low",F211&lt;=100,"Medium",F211&lt;=150,"High",F211&gt;150,"Very High")</f>
        <v>Very High</v>
      </c>
    </row>
    <row r="212" spans="1:13" ht="14.25" customHeight="1" x14ac:dyDescent="0.4">
      <c r="A212" s="6" t="s">
        <v>246</v>
      </c>
      <c r="B212" s="6" t="s">
        <v>38</v>
      </c>
      <c r="C212" s="6">
        <v>144</v>
      </c>
      <c r="D212" s="7" t="s">
        <v>13</v>
      </c>
      <c r="E212" s="11">
        <v>44998</v>
      </c>
      <c r="F212" s="10">
        <v>140</v>
      </c>
      <c r="G212" s="6">
        <v>3.5</v>
      </c>
      <c r="H212" s="6">
        <f>IF(MONTH(Data!$E212)&lt;=6, YEAR(Data!$E212), YEAR(Data!$E212)+1)</f>
        <v>2023</v>
      </c>
      <c r="I212" s="6" t="str">
        <f>TEXT(Data!$E212,"DDDD")</f>
        <v>Monday</v>
      </c>
      <c r="J212" s="6" t="s">
        <v>25</v>
      </c>
      <c r="K212" s="6">
        <f>ROUND(Data!$G212,0)</f>
        <v>4</v>
      </c>
      <c r="L212" t="str" cm="1">
        <f t="array" ref="L212">_xlfn.IFS(C212&lt;=15,"Very Short",C212&lt;=30,"Short",C212&lt;=60,"Medium",C212&gt;60,"Long")</f>
        <v>Long</v>
      </c>
      <c r="M212" t="str" cm="1">
        <f t="array" ref="M212">_xlfn.IFS(F212&lt;=50,"Low",F212&lt;=100,"Medium",F212&lt;=150,"High",F212&gt;150,"Very High")</f>
        <v>High</v>
      </c>
    </row>
    <row r="213" spans="1:13" ht="14.25" customHeight="1" x14ac:dyDescent="0.4">
      <c r="A213" s="6" t="s">
        <v>247</v>
      </c>
      <c r="B213" s="6" t="s">
        <v>58</v>
      </c>
      <c r="C213" s="6">
        <v>145</v>
      </c>
      <c r="D213" s="7" t="s">
        <v>13</v>
      </c>
      <c r="E213" s="11">
        <v>44998</v>
      </c>
      <c r="F213" s="10">
        <v>136</v>
      </c>
      <c r="G213" s="6">
        <v>4.4000000000000004</v>
      </c>
      <c r="H213" s="6">
        <f>IF(MONTH(Data!$E213)&lt;=6, YEAR(Data!$E213), YEAR(Data!$E213)+1)</f>
        <v>2023</v>
      </c>
      <c r="I213" s="6" t="str">
        <f>TEXT(Data!$E213,"DDDD")</f>
        <v>Monday</v>
      </c>
      <c r="J213" s="6" t="s">
        <v>25</v>
      </c>
      <c r="K213" s="6">
        <f>ROUND(Data!$G213,0)</f>
        <v>4</v>
      </c>
      <c r="L213" t="str" cm="1">
        <f t="array" ref="L213">_xlfn.IFS(C213&lt;=15,"Very Short",C213&lt;=30,"Short",C213&lt;=60,"Medium",C213&gt;60,"Long")</f>
        <v>Long</v>
      </c>
      <c r="M213" t="str" cm="1">
        <f t="array" ref="M213">_xlfn.IFS(F213&lt;=50,"Low",F213&lt;=100,"Medium",F213&lt;=150,"High",F213&gt;150,"Very High")</f>
        <v>High</v>
      </c>
    </row>
    <row r="214" spans="1:13" ht="14.25" customHeight="1" x14ac:dyDescent="0.4">
      <c r="A214" s="6" t="s">
        <v>248</v>
      </c>
      <c r="B214" s="6" t="s">
        <v>18</v>
      </c>
      <c r="C214" s="6">
        <v>85</v>
      </c>
      <c r="D214" s="7" t="s">
        <v>35</v>
      </c>
      <c r="E214" s="11">
        <v>44998</v>
      </c>
      <c r="F214" s="10">
        <v>66</v>
      </c>
      <c r="G214" s="6">
        <v>2.8</v>
      </c>
      <c r="H214" s="6">
        <f>IF(MONTH(Data!$E214)&lt;=6, YEAR(Data!$E214), YEAR(Data!$E214)+1)</f>
        <v>2023</v>
      </c>
      <c r="I214" s="6" t="str">
        <f>TEXT(Data!$E214,"DDDD")</f>
        <v>Monday</v>
      </c>
      <c r="J214" s="6" t="s">
        <v>14</v>
      </c>
      <c r="K214" s="6">
        <f>ROUND(Data!$G214,0)</f>
        <v>3</v>
      </c>
      <c r="L214" t="str" cm="1">
        <f t="array" ref="L214">_xlfn.IFS(C214&lt;=15,"Very Short",C214&lt;=30,"Short",C214&lt;=60,"Medium",C214&gt;60,"Long")</f>
        <v>Long</v>
      </c>
      <c r="M214" t="str" cm="1">
        <f t="array" ref="M214">_xlfn.IFS(F214&lt;=50,"Low",F214&lt;=100,"Medium",F214&lt;=150,"High",F214&gt;150,"Very High")</f>
        <v>Medium</v>
      </c>
    </row>
    <row r="215" spans="1:13" ht="14.25" customHeight="1" x14ac:dyDescent="0.4">
      <c r="A215" s="6" t="s">
        <v>249</v>
      </c>
      <c r="B215" s="6" t="s">
        <v>58</v>
      </c>
      <c r="C215" s="6">
        <v>13</v>
      </c>
      <c r="D215" s="7" t="s">
        <v>24</v>
      </c>
      <c r="E215" s="11">
        <v>44999</v>
      </c>
      <c r="F215" s="10">
        <v>63</v>
      </c>
      <c r="G215" s="6">
        <v>4.0999999999999996</v>
      </c>
      <c r="H215" s="6">
        <f>IF(MONTH(Data!$E215)&lt;=6, YEAR(Data!$E215), YEAR(Data!$E215)+1)</f>
        <v>2023</v>
      </c>
      <c r="I215" s="6" t="str">
        <f>TEXT(Data!$E215,"DDDD")</f>
        <v>Tuesday</v>
      </c>
      <c r="J215" s="6" t="s">
        <v>47</v>
      </c>
      <c r="K215" s="6">
        <f>ROUND(Data!$G215,0)</f>
        <v>4</v>
      </c>
      <c r="L215" t="str" cm="1">
        <f t="array" ref="L215">_xlfn.IFS(C215&lt;=15,"Very Short",C215&lt;=30,"Short",C215&lt;=60,"Medium",C215&gt;60,"Long")</f>
        <v>Very Short</v>
      </c>
      <c r="M215" t="str" cm="1">
        <f t="array" ref="M215">_xlfn.IFS(F215&lt;=50,"Low",F215&lt;=100,"Medium",F215&lt;=150,"High",F215&gt;150,"Very High")</f>
        <v>Medium</v>
      </c>
    </row>
    <row r="216" spans="1:13" ht="14.25" customHeight="1" x14ac:dyDescent="0.4">
      <c r="A216" s="6" t="s">
        <v>250</v>
      </c>
      <c r="B216" s="6" t="s">
        <v>12</v>
      </c>
      <c r="C216" s="6">
        <v>142</v>
      </c>
      <c r="D216" s="7" t="s">
        <v>31</v>
      </c>
      <c r="E216" s="11">
        <v>44999</v>
      </c>
      <c r="F216" s="10">
        <v>44</v>
      </c>
      <c r="G216" s="6">
        <v>3.5</v>
      </c>
      <c r="H216" s="6">
        <f>IF(MONTH(Data!$E216)&lt;=6, YEAR(Data!$E216), YEAR(Data!$E216)+1)</f>
        <v>2023</v>
      </c>
      <c r="I216" s="6" t="str">
        <f>TEXT(Data!$E216,"DDDD")</f>
        <v>Tuesday</v>
      </c>
      <c r="J216" s="6" t="s">
        <v>25</v>
      </c>
      <c r="K216" s="6">
        <f>ROUND(Data!$G216,0)</f>
        <v>4</v>
      </c>
      <c r="L216" t="str" cm="1">
        <f t="array" ref="L216">_xlfn.IFS(C216&lt;=15,"Very Short",C216&lt;=30,"Short",C216&lt;=60,"Medium",C216&gt;60,"Long")</f>
        <v>Long</v>
      </c>
      <c r="M216" t="str" cm="1">
        <f t="array" ref="M216">_xlfn.IFS(F216&lt;=50,"Low",F216&lt;=100,"Medium",F216&lt;=150,"High",F216&gt;150,"Very High")</f>
        <v>Low</v>
      </c>
    </row>
    <row r="217" spans="1:13" ht="14.25" customHeight="1" x14ac:dyDescent="0.4">
      <c r="A217" s="6" t="s">
        <v>251</v>
      </c>
      <c r="B217" s="6" t="s">
        <v>38</v>
      </c>
      <c r="C217" s="6">
        <v>28</v>
      </c>
      <c r="D217" s="7" t="s">
        <v>19</v>
      </c>
      <c r="E217" s="11">
        <v>44999</v>
      </c>
      <c r="F217" s="10">
        <v>78</v>
      </c>
      <c r="G217" s="6">
        <v>3.8</v>
      </c>
      <c r="H217" s="6">
        <f>IF(MONTH(Data!$E217)&lt;=6, YEAR(Data!$E217), YEAR(Data!$E217)+1)</f>
        <v>2023</v>
      </c>
      <c r="I217" s="6" t="str">
        <f>TEXT(Data!$E217,"DDDD")</f>
        <v>Tuesday</v>
      </c>
      <c r="J217" s="6" t="s">
        <v>47</v>
      </c>
      <c r="K217" s="6">
        <f>ROUND(Data!$G217,0)</f>
        <v>4</v>
      </c>
      <c r="L217" t="str" cm="1">
        <f t="array" ref="L217">_xlfn.IFS(C217&lt;=15,"Very Short",C217&lt;=30,"Short",C217&lt;=60,"Medium",C217&gt;60,"Long")</f>
        <v>Short</v>
      </c>
      <c r="M217" t="str" cm="1">
        <f t="array" ref="M217">_xlfn.IFS(F217&lt;=50,"Low",F217&lt;=100,"Medium",F217&lt;=150,"High",F217&gt;150,"Very High")</f>
        <v>Medium</v>
      </c>
    </row>
    <row r="218" spans="1:13" ht="14.25" customHeight="1" x14ac:dyDescent="0.4">
      <c r="A218" s="6" t="s">
        <v>252</v>
      </c>
      <c r="B218" s="6" t="s">
        <v>38</v>
      </c>
      <c r="C218" s="6">
        <v>119</v>
      </c>
      <c r="D218" s="7" t="s">
        <v>31</v>
      </c>
      <c r="E218" s="11">
        <v>44999</v>
      </c>
      <c r="F218" s="10">
        <v>20</v>
      </c>
      <c r="G218" s="6">
        <v>3.9</v>
      </c>
      <c r="H218" s="6">
        <f>IF(MONTH(Data!$E218)&lt;=6, YEAR(Data!$E218), YEAR(Data!$E218)+1)</f>
        <v>2023</v>
      </c>
      <c r="I218" s="6" t="str">
        <f>TEXT(Data!$E218,"DDDD")</f>
        <v>Tuesday</v>
      </c>
      <c r="J218" s="6" t="s">
        <v>14</v>
      </c>
      <c r="K218" s="6">
        <f>ROUND(Data!$G218,0)</f>
        <v>4</v>
      </c>
      <c r="L218" t="str" cm="1">
        <f t="array" ref="L218">_xlfn.IFS(C218&lt;=15,"Very Short",C218&lt;=30,"Short",C218&lt;=60,"Medium",C218&gt;60,"Long")</f>
        <v>Long</v>
      </c>
      <c r="M218" t="str" cm="1">
        <f t="array" ref="M218">_xlfn.IFS(F218&lt;=50,"Low",F218&lt;=100,"Medium",F218&lt;=150,"High",F218&gt;150,"Very High")</f>
        <v>Low</v>
      </c>
    </row>
    <row r="219" spans="1:13" ht="14.25" customHeight="1" x14ac:dyDescent="0.4">
      <c r="A219" s="6" t="s">
        <v>253</v>
      </c>
      <c r="B219" s="6" t="s">
        <v>88</v>
      </c>
      <c r="C219" s="6">
        <v>65</v>
      </c>
      <c r="D219" s="7" t="s">
        <v>35</v>
      </c>
      <c r="E219" s="11">
        <v>44999</v>
      </c>
      <c r="F219" s="10">
        <v>84</v>
      </c>
      <c r="G219" s="6">
        <v>2.5</v>
      </c>
      <c r="H219" s="6">
        <f>IF(MONTH(Data!$E219)&lt;=6, YEAR(Data!$E219), YEAR(Data!$E219)+1)</f>
        <v>2023</v>
      </c>
      <c r="I219" s="6" t="str">
        <f>TEXT(Data!$E219,"DDDD")</f>
        <v>Tuesday</v>
      </c>
      <c r="J219" s="6" t="s">
        <v>14</v>
      </c>
      <c r="K219" s="6">
        <f>ROUND(Data!$G219,0)</f>
        <v>3</v>
      </c>
      <c r="L219" t="str" cm="1">
        <f t="array" ref="L219">_xlfn.IFS(C219&lt;=15,"Very Short",C219&lt;=30,"Short",C219&lt;=60,"Medium",C219&gt;60,"Long")</f>
        <v>Long</v>
      </c>
      <c r="M219" t="str" cm="1">
        <f t="array" ref="M219">_xlfn.IFS(F219&lt;=50,"Low",F219&lt;=100,"Medium",F219&lt;=150,"High",F219&gt;150,"Very High")</f>
        <v>Medium</v>
      </c>
    </row>
    <row r="220" spans="1:13" ht="14.25" customHeight="1" x14ac:dyDescent="0.4">
      <c r="A220" s="6" t="s">
        <v>254</v>
      </c>
      <c r="B220" s="6" t="s">
        <v>40</v>
      </c>
      <c r="C220" s="6">
        <v>68</v>
      </c>
      <c r="D220" s="7" t="s">
        <v>35</v>
      </c>
      <c r="E220" s="11">
        <v>44999</v>
      </c>
      <c r="F220" s="10">
        <v>32</v>
      </c>
      <c r="G220" s="6">
        <v>4.9000000000000004</v>
      </c>
      <c r="H220" s="6">
        <f>IF(MONTH(Data!$E220)&lt;=6, YEAR(Data!$E220), YEAR(Data!$E220)+1)</f>
        <v>2023</v>
      </c>
      <c r="I220" s="6" t="str">
        <f>TEXT(Data!$E220,"DDDD")</f>
        <v>Tuesday</v>
      </c>
      <c r="J220" s="6" t="s">
        <v>14</v>
      </c>
      <c r="K220" s="6">
        <f>ROUND(Data!$G220,0)</f>
        <v>5</v>
      </c>
      <c r="L220" t="str" cm="1">
        <f t="array" ref="L220">_xlfn.IFS(C220&lt;=15,"Very Short",C220&lt;=30,"Short",C220&lt;=60,"Medium",C220&gt;60,"Long")</f>
        <v>Long</v>
      </c>
      <c r="M220" t="str" cm="1">
        <f t="array" ref="M220">_xlfn.IFS(F220&lt;=50,"Low",F220&lt;=100,"Medium",F220&lt;=150,"High",F220&gt;150,"Very High")</f>
        <v>Low</v>
      </c>
    </row>
    <row r="221" spans="1:13" ht="14.25" customHeight="1" x14ac:dyDescent="0.4">
      <c r="A221" s="6" t="s">
        <v>255</v>
      </c>
      <c r="B221" s="6" t="s">
        <v>46</v>
      </c>
      <c r="C221" s="6">
        <v>72</v>
      </c>
      <c r="D221" s="7" t="s">
        <v>19</v>
      </c>
      <c r="E221" s="11">
        <v>44999</v>
      </c>
      <c r="F221" s="10">
        <v>132</v>
      </c>
      <c r="G221" s="6">
        <v>3.4</v>
      </c>
      <c r="H221" s="6">
        <f>IF(MONTH(Data!$E221)&lt;=6, YEAR(Data!$E221), YEAR(Data!$E221)+1)</f>
        <v>2023</v>
      </c>
      <c r="I221" s="6" t="str">
        <f>TEXT(Data!$E221,"DDDD")</f>
        <v>Tuesday</v>
      </c>
      <c r="J221" s="6" t="s">
        <v>14</v>
      </c>
      <c r="K221" s="6">
        <f>ROUND(Data!$G221,0)</f>
        <v>3</v>
      </c>
      <c r="L221" t="str" cm="1">
        <f t="array" ref="L221">_xlfn.IFS(C221&lt;=15,"Very Short",C221&lt;=30,"Short",C221&lt;=60,"Medium",C221&gt;60,"Long")</f>
        <v>Long</v>
      </c>
      <c r="M221" t="str" cm="1">
        <f t="array" ref="M221">_xlfn.IFS(F221&lt;=50,"Low",F221&lt;=100,"Medium",F221&lt;=150,"High",F221&gt;150,"Very High")</f>
        <v>High</v>
      </c>
    </row>
    <row r="222" spans="1:13" ht="14.25" customHeight="1" x14ac:dyDescent="0.4">
      <c r="A222" s="6" t="s">
        <v>256</v>
      </c>
      <c r="B222" s="6" t="s">
        <v>46</v>
      </c>
      <c r="C222" s="6">
        <v>63</v>
      </c>
      <c r="D222" s="7" t="s">
        <v>13</v>
      </c>
      <c r="E222" s="11">
        <v>44999</v>
      </c>
      <c r="F222" s="10">
        <v>105</v>
      </c>
      <c r="G222" s="6">
        <v>3.3</v>
      </c>
      <c r="H222" s="6">
        <f>IF(MONTH(Data!$E222)&lt;=6, YEAR(Data!$E222), YEAR(Data!$E222)+1)</f>
        <v>2023</v>
      </c>
      <c r="I222" s="6" t="str">
        <f>TEXT(Data!$E222,"DDDD")</f>
        <v>Tuesday</v>
      </c>
      <c r="J222" s="6" t="s">
        <v>14</v>
      </c>
      <c r="K222" s="6">
        <f>ROUND(Data!$G222,0)</f>
        <v>3</v>
      </c>
      <c r="L222" t="str" cm="1">
        <f t="array" ref="L222">_xlfn.IFS(C222&lt;=15,"Very Short",C222&lt;=30,"Short",C222&lt;=60,"Medium",C222&gt;60,"Long")</f>
        <v>Long</v>
      </c>
      <c r="M222" t="str" cm="1">
        <f t="array" ref="M222">_xlfn.IFS(F222&lt;=50,"Low",F222&lt;=100,"Medium",F222&lt;=150,"High",F222&gt;150,"Very High")</f>
        <v>High</v>
      </c>
    </row>
    <row r="223" spans="1:13" ht="14.25" customHeight="1" x14ac:dyDescent="0.4">
      <c r="A223" s="6" t="s">
        <v>257</v>
      </c>
      <c r="B223" s="6" t="s">
        <v>16</v>
      </c>
      <c r="C223" s="6">
        <v>139</v>
      </c>
      <c r="D223" s="7" t="s">
        <v>31</v>
      </c>
      <c r="E223" s="11">
        <v>45000</v>
      </c>
      <c r="F223" s="10">
        <v>48</v>
      </c>
      <c r="G223" s="6">
        <v>4.7</v>
      </c>
      <c r="H223" s="6">
        <f>IF(MONTH(Data!$E223)&lt;=6, YEAR(Data!$E223), YEAR(Data!$E223)+1)</f>
        <v>2023</v>
      </c>
      <c r="I223" s="6" t="str">
        <f>TEXT(Data!$E223,"DDDD")</f>
        <v>Wednesday</v>
      </c>
      <c r="J223" s="6" t="s">
        <v>25</v>
      </c>
      <c r="K223" s="6">
        <f>ROUND(Data!$G223,0)</f>
        <v>5</v>
      </c>
      <c r="L223" t="str" cm="1">
        <f t="array" ref="L223">_xlfn.IFS(C223&lt;=15,"Very Short",C223&lt;=30,"Short",C223&lt;=60,"Medium",C223&gt;60,"Long")</f>
        <v>Long</v>
      </c>
      <c r="M223" t="str" cm="1">
        <f t="array" ref="M223">_xlfn.IFS(F223&lt;=50,"Low",F223&lt;=100,"Medium",F223&lt;=150,"High",F223&gt;150,"Very High")</f>
        <v>Low</v>
      </c>
    </row>
    <row r="224" spans="1:13" ht="14.25" customHeight="1" x14ac:dyDescent="0.4">
      <c r="A224" s="6" t="s">
        <v>258</v>
      </c>
      <c r="B224" s="6" t="s">
        <v>38</v>
      </c>
      <c r="C224" s="6">
        <v>59</v>
      </c>
      <c r="D224" s="7" t="s">
        <v>31</v>
      </c>
      <c r="E224" s="11">
        <v>45000</v>
      </c>
      <c r="F224" s="10">
        <v>64</v>
      </c>
      <c r="G224" s="6">
        <v>4</v>
      </c>
      <c r="H224" s="6">
        <f>IF(MONTH(Data!$E224)&lt;=6, YEAR(Data!$E224), YEAR(Data!$E224)+1)</f>
        <v>2023</v>
      </c>
      <c r="I224" s="6" t="str">
        <f>TEXT(Data!$E224,"DDDD")</f>
        <v>Wednesday</v>
      </c>
      <c r="J224" s="6" t="s">
        <v>27</v>
      </c>
      <c r="K224" s="6">
        <f>ROUND(Data!$G224,0)</f>
        <v>4</v>
      </c>
      <c r="L224" t="str" cm="1">
        <f t="array" ref="L224">_xlfn.IFS(C224&lt;=15,"Very Short",C224&lt;=30,"Short",C224&lt;=60,"Medium",C224&gt;60,"Long")</f>
        <v>Medium</v>
      </c>
      <c r="M224" t="str" cm="1">
        <f t="array" ref="M224">_xlfn.IFS(F224&lt;=50,"Low",F224&lt;=100,"Medium",F224&lt;=150,"High",F224&gt;150,"Very High")</f>
        <v>Medium</v>
      </c>
    </row>
    <row r="225" spans="1:13" ht="14.25" customHeight="1" x14ac:dyDescent="0.4">
      <c r="A225" s="6" t="s">
        <v>259</v>
      </c>
      <c r="B225" s="6" t="s">
        <v>50</v>
      </c>
      <c r="C225" s="6">
        <v>138</v>
      </c>
      <c r="D225" s="7" t="s">
        <v>13</v>
      </c>
      <c r="E225" s="11">
        <v>45000</v>
      </c>
      <c r="F225" s="10">
        <v>44</v>
      </c>
      <c r="G225" s="6">
        <v>3.8</v>
      </c>
      <c r="H225" s="6">
        <f>IF(MONTH(Data!$E225)&lt;=6, YEAR(Data!$E225), YEAR(Data!$E225)+1)</f>
        <v>2023</v>
      </c>
      <c r="I225" s="6" t="str">
        <f>TEXT(Data!$E225,"DDDD")</f>
        <v>Wednesday</v>
      </c>
      <c r="J225" s="6" t="s">
        <v>25</v>
      </c>
      <c r="K225" s="6">
        <f>ROUND(Data!$G225,0)</f>
        <v>4</v>
      </c>
      <c r="L225" t="str" cm="1">
        <f t="array" ref="L225">_xlfn.IFS(C225&lt;=15,"Very Short",C225&lt;=30,"Short",C225&lt;=60,"Medium",C225&gt;60,"Long")</f>
        <v>Long</v>
      </c>
      <c r="M225" t="str" cm="1">
        <f t="array" ref="M225">_xlfn.IFS(F225&lt;=50,"Low",F225&lt;=100,"Medium",F225&lt;=150,"High",F225&gt;150,"Very High")</f>
        <v>Low</v>
      </c>
    </row>
    <row r="226" spans="1:13" ht="14.25" customHeight="1" x14ac:dyDescent="0.4">
      <c r="A226" s="6" t="s">
        <v>260</v>
      </c>
      <c r="B226" s="6" t="s">
        <v>16</v>
      </c>
      <c r="C226" s="6">
        <v>47</v>
      </c>
      <c r="D226" s="7" t="s">
        <v>19</v>
      </c>
      <c r="E226" s="11">
        <v>45000</v>
      </c>
      <c r="F226" s="10">
        <v>120</v>
      </c>
      <c r="G226" s="6">
        <v>3.1</v>
      </c>
      <c r="H226" s="6">
        <f>IF(MONTH(Data!$E226)&lt;=6, YEAR(Data!$E226), YEAR(Data!$E226)+1)</f>
        <v>2023</v>
      </c>
      <c r="I226" s="6" t="str">
        <f>TEXT(Data!$E226,"DDDD")</f>
        <v>Wednesday</v>
      </c>
      <c r="J226" s="6" t="s">
        <v>27</v>
      </c>
      <c r="K226" s="6">
        <f>ROUND(Data!$G226,0)</f>
        <v>3</v>
      </c>
      <c r="L226" t="str" cm="1">
        <f t="array" ref="L226">_xlfn.IFS(C226&lt;=15,"Very Short",C226&lt;=30,"Short",C226&lt;=60,"Medium",C226&gt;60,"Long")</f>
        <v>Medium</v>
      </c>
      <c r="M226" t="str" cm="1">
        <f t="array" ref="M226">_xlfn.IFS(F226&lt;=50,"Low",F226&lt;=100,"Medium",F226&lt;=150,"High",F226&gt;150,"Very High")</f>
        <v>High</v>
      </c>
    </row>
    <row r="227" spans="1:13" ht="14.25" customHeight="1" x14ac:dyDescent="0.4">
      <c r="A227" s="6" t="s">
        <v>261</v>
      </c>
      <c r="B227" s="6" t="s">
        <v>50</v>
      </c>
      <c r="C227" s="6">
        <v>74</v>
      </c>
      <c r="D227" s="7" t="s">
        <v>19</v>
      </c>
      <c r="E227" s="11">
        <v>45000</v>
      </c>
      <c r="F227" s="10">
        <v>144</v>
      </c>
      <c r="G227" s="6">
        <v>4.8</v>
      </c>
      <c r="H227" s="6">
        <f>IF(MONTH(Data!$E227)&lt;=6, YEAR(Data!$E227), YEAR(Data!$E227)+1)</f>
        <v>2023</v>
      </c>
      <c r="I227" s="6" t="str">
        <f>TEXT(Data!$E227,"DDDD")</f>
        <v>Wednesday</v>
      </c>
      <c r="J227" s="6" t="s">
        <v>14</v>
      </c>
      <c r="K227" s="6">
        <f>ROUND(Data!$G227,0)</f>
        <v>5</v>
      </c>
      <c r="L227" t="str" cm="1">
        <f t="array" ref="L227">_xlfn.IFS(C227&lt;=15,"Very Short",C227&lt;=30,"Short",C227&lt;=60,"Medium",C227&gt;60,"Long")</f>
        <v>Long</v>
      </c>
      <c r="M227" t="str" cm="1">
        <f t="array" ref="M227">_xlfn.IFS(F227&lt;=50,"Low",F227&lt;=100,"Medium",F227&lt;=150,"High",F227&gt;150,"Very High")</f>
        <v>High</v>
      </c>
    </row>
    <row r="228" spans="1:13" ht="14.25" customHeight="1" x14ac:dyDescent="0.4">
      <c r="A228" s="6" t="s">
        <v>262</v>
      </c>
      <c r="B228" s="6" t="s">
        <v>46</v>
      </c>
      <c r="C228" s="6">
        <v>65</v>
      </c>
      <c r="D228" s="7" t="s">
        <v>19</v>
      </c>
      <c r="E228" s="11">
        <v>45000</v>
      </c>
      <c r="F228" s="10">
        <v>87</v>
      </c>
      <c r="G228" s="6">
        <v>2.7</v>
      </c>
      <c r="H228" s="6">
        <f>IF(MONTH(Data!$E228)&lt;=6, YEAR(Data!$E228), YEAR(Data!$E228)+1)</f>
        <v>2023</v>
      </c>
      <c r="I228" s="6" t="str">
        <f>TEXT(Data!$E228,"DDDD")</f>
        <v>Wednesday</v>
      </c>
      <c r="J228" s="6" t="s">
        <v>14</v>
      </c>
      <c r="K228" s="6">
        <f>ROUND(Data!$G228,0)</f>
        <v>3</v>
      </c>
      <c r="L228" t="str" cm="1">
        <f t="array" ref="L228">_xlfn.IFS(C228&lt;=15,"Very Short",C228&lt;=30,"Short",C228&lt;=60,"Medium",C228&gt;60,"Long")</f>
        <v>Long</v>
      </c>
      <c r="M228" t="str" cm="1">
        <f t="array" ref="M228">_xlfn.IFS(F228&lt;=50,"Low",F228&lt;=100,"Medium",F228&lt;=150,"High",F228&gt;150,"Very High")</f>
        <v>Medium</v>
      </c>
    </row>
    <row r="229" spans="1:13" ht="14.25" customHeight="1" x14ac:dyDescent="0.4">
      <c r="A229" s="6" t="s">
        <v>263</v>
      </c>
      <c r="B229" s="6" t="s">
        <v>23</v>
      </c>
      <c r="C229" s="6">
        <v>123</v>
      </c>
      <c r="D229" s="7" t="s">
        <v>35</v>
      </c>
      <c r="E229" s="11">
        <v>45000</v>
      </c>
      <c r="F229" s="10">
        <v>36</v>
      </c>
      <c r="G229" s="6">
        <v>3.6</v>
      </c>
      <c r="H229" s="6">
        <f>IF(MONTH(Data!$E229)&lt;=6, YEAR(Data!$E229), YEAR(Data!$E229)+1)</f>
        <v>2023</v>
      </c>
      <c r="I229" s="6" t="str">
        <f>TEXT(Data!$E229,"DDDD")</f>
        <v>Wednesday</v>
      </c>
      <c r="J229" s="6" t="s">
        <v>25</v>
      </c>
      <c r="K229" s="6">
        <f>ROUND(Data!$G229,0)</f>
        <v>4</v>
      </c>
      <c r="L229" t="str" cm="1">
        <f t="array" ref="L229">_xlfn.IFS(C229&lt;=15,"Very Short",C229&lt;=30,"Short",C229&lt;=60,"Medium",C229&gt;60,"Long")</f>
        <v>Long</v>
      </c>
      <c r="M229" t="str" cm="1">
        <f t="array" ref="M229">_xlfn.IFS(F229&lt;=50,"Low",F229&lt;=100,"Medium",F229&lt;=150,"High",F229&gt;150,"Very High")</f>
        <v>Low</v>
      </c>
    </row>
    <row r="230" spans="1:13" ht="14.25" customHeight="1" x14ac:dyDescent="0.4">
      <c r="A230" s="6" t="s">
        <v>264</v>
      </c>
      <c r="B230" s="6" t="s">
        <v>46</v>
      </c>
      <c r="C230" s="6">
        <v>90</v>
      </c>
      <c r="D230" s="7" t="s">
        <v>31</v>
      </c>
      <c r="E230" s="11">
        <v>45001</v>
      </c>
      <c r="F230" s="10">
        <v>72</v>
      </c>
      <c r="G230" s="6">
        <v>4.7</v>
      </c>
      <c r="H230" s="6">
        <f>IF(MONTH(Data!$E230)&lt;=6, YEAR(Data!$E230), YEAR(Data!$E230)+1)</f>
        <v>2023</v>
      </c>
      <c r="I230" s="6" t="str">
        <f>TEXT(Data!$E230,"DDDD")</f>
        <v>Thursday</v>
      </c>
      <c r="J230" s="6" t="s">
        <v>14</v>
      </c>
      <c r="K230" s="6">
        <f>ROUND(Data!$G230,0)</f>
        <v>5</v>
      </c>
      <c r="L230" t="str" cm="1">
        <f t="array" ref="L230">_xlfn.IFS(C230&lt;=15,"Very Short",C230&lt;=30,"Short",C230&lt;=60,"Medium",C230&gt;60,"Long")</f>
        <v>Long</v>
      </c>
      <c r="M230" t="str" cm="1">
        <f t="array" ref="M230">_xlfn.IFS(F230&lt;=50,"Low",F230&lt;=100,"Medium",F230&lt;=150,"High",F230&gt;150,"Very High")</f>
        <v>Medium</v>
      </c>
    </row>
    <row r="231" spans="1:13" ht="14.25" customHeight="1" x14ac:dyDescent="0.4">
      <c r="A231" s="6" t="s">
        <v>265</v>
      </c>
      <c r="B231" s="6" t="s">
        <v>68</v>
      </c>
      <c r="C231" s="6">
        <v>127</v>
      </c>
      <c r="D231" s="7" t="s">
        <v>13</v>
      </c>
      <c r="E231" s="11">
        <v>45001</v>
      </c>
      <c r="F231" s="10">
        <v>150</v>
      </c>
      <c r="G231" s="6">
        <v>4.4000000000000004</v>
      </c>
      <c r="H231" s="6">
        <f>IF(MONTH(Data!$E231)&lt;=6, YEAR(Data!$E231), YEAR(Data!$E231)+1)</f>
        <v>2023</v>
      </c>
      <c r="I231" s="6" t="str">
        <f>TEXT(Data!$E231,"DDDD")</f>
        <v>Thursday</v>
      </c>
      <c r="J231" s="6" t="s">
        <v>25</v>
      </c>
      <c r="K231" s="6">
        <f>ROUND(Data!$G231,0)</f>
        <v>4</v>
      </c>
      <c r="L231" t="str" cm="1">
        <f t="array" ref="L231">_xlfn.IFS(C231&lt;=15,"Very Short",C231&lt;=30,"Short",C231&lt;=60,"Medium",C231&gt;60,"Long")</f>
        <v>Long</v>
      </c>
      <c r="M231" t="str" cm="1">
        <f t="array" ref="M231">_xlfn.IFS(F231&lt;=50,"Low",F231&lt;=100,"Medium",F231&lt;=150,"High",F231&gt;150,"Very High")</f>
        <v>High</v>
      </c>
    </row>
    <row r="232" spans="1:13" ht="14.25" customHeight="1" x14ac:dyDescent="0.4">
      <c r="A232" s="6" t="s">
        <v>266</v>
      </c>
      <c r="B232" s="6" t="s">
        <v>21</v>
      </c>
      <c r="C232" s="6">
        <v>60</v>
      </c>
      <c r="D232" s="7" t="s">
        <v>19</v>
      </c>
      <c r="E232" s="11">
        <v>45001</v>
      </c>
      <c r="F232" s="10">
        <v>68</v>
      </c>
      <c r="G232" s="6">
        <v>4.3</v>
      </c>
      <c r="H232" s="6">
        <f>IF(MONTH(Data!$E232)&lt;=6, YEAR(Data!$E232), YEAR(Data!$E232)+1)</f>
        <v>2023</v>
      </c>
      <c r="I232" s="6" t="str">
        <f>TEXT(Data!$E232,"DDDD")</f>
        <v>Thursday</v>
      </c>
      <c r="J232" s="6" t="s">
        <v>27</v>
      </c>
      <c r="K232" s="6">
        <f>ROUND(Data!$G232,0)</f>
        <v>4</v>
      </c>
      <c r="L232" t="str" cm="1">
        <f t="array" ref="L232">_xlfn.IFS(C232&lt;=15,"Very Short",C232&lt;=30,"Short",C232&lt;=60,"Medium",C232&gt;60,"Long")</f>
        <v>Medium</v>
      </c>
      <c r="M232" t="str" cm="1">
        <f t="array" ref="M232">_xlfn.IFS(F232&lt;=50,"Low",F232&lt;=100,"Medium",F232&lt;=150,"High",F232&gt;150,"Very High")</f>
        <v>Medium</v>
      </c>
    </row>
    <row r="233" spans="1:13" ht="14.25" customHeight="1" x14ac:dyDescent="0.4">
      <c r="A233" s="6" t="s">
        <v>267</v>
      </c>
      <c r="B233" s="6" t="s">
        <v>16</v>
      </c>
      <c r="C233" s="6">
        <v>94</v>
      </c>
      <c r="D233" s="7" t="s">
        <v>13</v>
      </c>
      <c r="E233" s="11">
        <v>45001</v>
      </c>
      <c r="F233" s="10">
        <v>99</v>
      </c>
      <c r="G233" s="6">
        <v>4.9000000000000004</v>
      </c>
      <c r="H233" s="6">
        <f>IF(MONTH(Data!$E233)&lt;=6, YEAR(Data!$E233), YEAR(Data!$E233)+1)</f>
        <v>2023</v>
      </c>
      <c r="I233" s="6" t="str">
        <f>TEXT(Data!$E233,"DDDD")</f>
        <v>Thursday</v>
      </c>
      <c r="J233" s="6" t="s">
        <v>14</v>
      </c>
      <c r="K233" s="6">
        <f>ROUND(Data!$G233,0)</f>
        <v>5</v>
      </c>
      <c r="L233" t="str" cm="1">
        <f t="array" ref="L233">_xlfn.IFS(C233&lt;=15,"Very Short",C233&lt;=30,"Short",C233&lt;=60,"Medium",C233&gt;60,"Long")</f>
        <v>Long</v>
      </c>
      <c r="M233" t="str" cm="1">
        <f t="array" ref="M233">_xlfn.IFS(F233&lt;=50,"Low",F233&lt;=100,"Medium",F233&lt;=150,"High",F233&gt;150,"Very High")</f>
        <v>Medium</v>
      </c>
    </row>
    <row r="234" spans="1:13" ht="14.25" customHeight="1" x14ac:dyDescent="0.4">
      <c r="A234" s="6" t="s">
        <v>268</v>
      </c>
      <c r="B234" s="6" t="s">
        <v>23</v>
      </c>
      <c r="C234" s="6">
        <v>54</v>
      </c>
      <c r="D234" s="7" t="s">
        <v>19</v>
      </c>
      <c r="E234" s="11">
        <v>45001</v>
      </c>
      <c r="F234" s="10">
        <v>26</v>
      </c>
      <c r="G234" s="6">
        <v>4.8</v>
      </c>
      <c r="H234" s="6">
        <f>IF(MONTH(Data!$E234)&lt;=6, YEAR(Data!$E234), YEAR(Data!$E234)+1)</f>
        <v>2023</v>
      </c>
      <c r="I234" s="6" t="str">
        <f>TEXT(Data!$E234,"DDDD")</f>
        <v>Thursday</v>
      </c>
      <c r="J234" s="6" t="s">
        <v>27</v>
      </c>
      <c r="K234" s="6">
        <f>ROUND(Data!$G234,0)</f>
        <v>5</v>
      </c>
      <c r="L234" t="str" cm="1">
        <f t="array" ref="L234">_xlfn.IFS(C234&lt;=15,"Very Short",C234&lt;=30,"Short",C234&lt;=60,"Medium",C234&gt;60,"Long")</f>
        <v>Medium</v>
      </c>
      <c r="M234" t="str" cm="1">
        <f t="array" ref="M234">_xlfn.IFS(F234&lt;=50,"Low",F234&lt;=100,"Medium",F234&lt;=150,"High",F234&gt;150,"Very High")</f>
        <v>Low</v>
      </c>
    </row>
    <row r="235" spans="1:13" ht="14.25" customHeight="1" x14ac:dyDescent="0.4">
      <c r="A235" s="6" t="s">
        <v>269</v>
      </c>
      <c r="B235" s="6" t="s">
        <v>46</v>
      </c>
      <c r="C235" s="6">
        <v>104</v>
      </c>
      <c r="D235" s="7" t="s">
        <v>19</v>
      </c>
      <c r="E235" s="11">
        <v>45001</v>
      </c>
      <c r="F235" s="10">
        <v>88</v>
      </c>
      <c r="G235" s="6">
        <v>3.2</v>
      </c>
      <c r="H235" s="6">
        <f>IF(MONTH(Data!$E235)&lt;=6, YEAR(Data!$E235), YEAR(Data!$E235)+1)</f>
        <v>2023</v>
      </c>
      <c r="I235" s="6" t="str">
        <f>TEXT(Data!$E235,"DDDD")</f>
        <v>Thursday</v>
      </c>
      <c r="J235" s="6" t="s">
        <v>14</v>
      </c>
      <c r="K235" s="6">
        <f>ROUND(Data!$G235,0)</f>
        <v>3</v>
      </c>
      <c r="L235" t="str" cm="1">
        <f t="array" ref="L235">_xlfn.IFS(C235&lt;=15,"Very Short",C235&lt;=30,"Short",C235&lt;=60,"Medium",C235&gt;60,"Long")</f>
        <v>Long</v>
      </c>
      <c r="M235" t="str" cm="1">
        <f t="array" ref="M235">_xlfn.IFS(F235&lt;=50,"Low",F235&lt;=100,"Medium",F235&lt;=150,"High",F235&gt;150,"Very High")</f>
        <v>Medium</v>
      </c>
    </row>
    <row r="236" spans="1:13" ht="14.25" customHeight="1" x14ac:dyDescent="0.4">
      <c r="A236" s="6" t="s">
        <v>270</v>
      </c>
      <c r="B236" s="6" t="s">
        <v>29</v>
      </c>
      <c r="C236" s="6">
        <v>100</v>
      </c>
      <c r="D236" s="7" t="s">
        <v>19</v>
      </c>
      <c r="E236" s="11">
        <v>45001</v>
      </c>
      <c r="F236" s="10">
        <v>124</v>
      </c>
      <c r="G236" s="6">
        <v>3.4</v>
      </c>
      <c r="H236" s="6">
        <f>IF(MONTH(Data!$E236)&lt;=6, YEAR(Data!$E236), YEAR(Data!$E236)+1)</f>
        <v>2023</v>
      </c>
      <c r="I236" s="6" t="str">
        <f>TEXT(Data!$E236,"DDDD")</f>
        <v>Thursday</v>
      </c>
      <c r="J236" s="6" t="s">
        <v>14</v>
      </c>
      <c r="K236" s="6">
        <f>ROUND(Data!$G236,0)</f>
        <v>3</v>
      </c>
      <c r="L236" t="str" cm="1">
        <f t="array" ref="L236">_xlfn.IFS(C236&lt;=15,"Very Short",C236&lt;=30,"Short",C236&lt;=60,"Medium",C236&gt;60,"Long")</f>
        <v>Long</v>
      </c>
      <c r="M236" t="str" cm="1">
        <f t="array" ref="M236">_xlfn.IFS(F236&lt;=50,"Low",F236&lt;=100,"Medium",F236&lt;=150,"High",F236&gt;150,"Very High")</f>
        <v>High</v>
      </c>
    </row>
    <row r="237" spans="1:13" ht="14.25" customHeight="1" x14ac:dyDescent="0.4">
      <c r="A237" s="6" t="s">
        <v>271</v>
      </c>
      <c r="B237" s="6" t="s">
        <v>50</v>
      </c>
      <c r="C237" s="6">
        <v>84</v>
      </c>
      <c r="D237" s="7" t="s">
        <v>19</v>
      </c>
      <c r="E237" s="11">
        <v>45001</v>
      </c>
      <c r="F237" s="10">
        <v>72</v>
      </c>
      <c r="G237" s="6">
        <v>3.5</v>
      </c>
      <c r="H237" s="6">
        <f>IF(MONTH(Data!$E237)&lt;=6, YEAR(Data!$E237), YEAR(Data!$E237)+1)</f>
        <v>2023</v>
      </c>
      <c r="I237" s="6" t="str">
        <f>TEXT(Data!$E237,"DDDD")</f>
        <v>Thursday</v>
      </c>
      <c r="J237" s="6" t="s">
        <v>14</v>
      </c>
      <c r="K237" s="6">
        <f>ROUND(Data!$G237,0)</f>
        <v>4</v>
      </c>
      <c r="L237" t="str" cm="1">
        <f t="array" ref="L237">_xlfn.IFS(C237&lt;=15,"Very Short",C237&lt;=30,"Short",C237&lt;=60,"Medium",C237&gt;60,"Long")</f>
        <v>Long</v>
      </c>
      <c r="M237" t="str" cm="1">
        <f t="array" ref="M237">_xlfn.IFS(F237&lt;=50,"Low",F237&lt;=100,"Medium",F237&lt;=150,"High",F237&gt;150,"Very High")</f>
        <v>Medium</v>
      </c>
    </row>
    <row r="238" spans="1:13" ht="14.25" customHeight="1" x14ac:dyDescent="0.4">
      <c r="A238" s="6" t="s">
        <v>272</v>
      </c>
      <c r="B238" s="6" t="s">
        <v>12</v>
      </c>
      <c r="C238" s="6">
        <v>92</v>
      </c>
      <c r="D238" s="7" t="s">
        <v>24</v>
      </c>
      <c r="E238" s="11">
        <v>45002</v>
      </c>
      <c r="F238" s="10">
        <v>125</v>
      </c>
      <c r="G238" s="6">
        <v>4.9000000000000004</v>
      </c>
      <c r="H238" s="6">
        <f>IF(MONTH(Data!$E238)&lt;=6, YEAR(Data!$E238), YEAR(Data!$E238)+1)</f>
        <v>2023</v>
      </c>
      <c r="I238" s="6" t="str">
        <f>TEXT(Data!$E238,"DDDD")</f>
        <v>Friday</v>
      </c>
      <c r="J238" s="6" t="s">
        <v>14</v>
      </c>
      <c r="K238" s="6">
        <f>ROUND(Data!$G238,0)</f>
        <v>5</v>
      </c>
      <c r="L238" t="str" cm="1">
        <f t="array" ref="L238">_xlfn.IFS(C238&lt;=15,"Very Short",C238&lt;=30,"Short",C238&lt;=60,"Medium",C238&gt;60,"Long")</f>
        <v>Long</v>
      </c>
      <c r="M238" t="str" cm="1">
        <f t="array" ref="M238">_xlfn.IFS(F238&lt;=50,"Low",F238&lt;=100,"Medium",F238&lt;=150,"High",F238&gt;150,"Very High")</f>
        <v>High</v>
      </c>
    </row>
    <row r="239" spans="1:13" ht="14.25" customHeight="1" x14ac:dyDescent="0.4">
      <c r="A239" s="6" t="s">
        <v>273</v>
      </c>
      <c r="B239" s="6" t="s">
        <v>34</v>
      </c>
      <c r="C239" s="6">
        <v>64</v>
      </c>
      <c r="D239" s="7" t="s">
        <v>13</v>
      </c>
      <c r="E239" s="11">
        <v>45002</v>
      </c>
      <c r="F239" s="10">
        <v>22</v>
      </c>
      <c r="G239" s="6">
        <v>4.0999999999999996</v>
      </c>
      <c r="H239" s="6">
        <f>IF(MONTH(Data!$E239)&lt;=6, YEAR(Data!$E239), YEAR(Data!$E239)+1)</f>
        <v>2023</v>
      </c>
      <c r="I239" s="6" t="str">
        <f>TEXT(Data!$E239,"DDDD")</f>
        <v>Friday</v>
      </c>
      <c r="J239" s="6" t="s">
        <v>14</v>
      </c>
      <c r="K239" s="6">
        <f>ROUND(Data!$G239,0)</f>
        <v>4</v>
      </c>
      <c r="L239" t="str" cm="1">
        <f t="array" ref="L239">_xlfn.IFS(C239&lt;=15,"Very Short",C239&lt;=30,"Short",C239&lt;=60,"Medium",C239&gt;60,"Long")</f>
        <v>Long</v>
      </c>
      <c r="M239" t="str" cm="1">
        <f t="array" ref="M239">_xlfn.IFS(F239&lt;=50,"Low",F239&lt;=100,"Medium",F239&lt;=150,"High",F239&gt;150,"Very High")</f>
        <v>Low</v>
      </c>
    </row>
    <row r="240" spans="1:13" ht="14.25" customHeight="1" x14ac:dyDescent="0.4">
      <c r="A240" s="6" t="s">
        <v>274</v>
      </c>
      <c r="B240" s="6" t="s">
        <v>18</v>
      </c>
      <c r="C240" s="6">
        <v>89</v>
      </c>
      <c r="D240" s="7" t="s">
        <v>31</v>
      </c>
      <c r="E240" s="11">
        <v>45003</v>
      </c>
      <c r="F240" s="10">
        <v>70</v>
      </c>
      <c r="G240" s="6">
        <v>4.9000000000000004</v>
      </c>
      <c r="H240" s="6">
        <f>IF(MONTH(Data!$E240)&lt;=6, YEAR(Data!$E240), YEAR(Data!$E240)+1)</f>
        <v>2023</v>
      </c>
      <c r="I240" s="6" t="str">
        <f>TEXT(Data!$E240,"DDDD")</f>
        <v>Saturday</v>
      </c>
      <c r="J240" s="6" t="s">
        <v>14</v>
      </c>
      <c r="K240" s="6">
        <f>ROUND(Data!$G240,0)</f>
        <v>5</v>
      </c>
      <c r="L240" t="str" cm="1">
        <f t="array" ref="L240">_xlfn.IFS(C240&lt;=15,"Very Short",C240&lt;=30,"Short",C240&lt;=60,"Medium",C240&gt;60,"Long")</f>
        <v>Long</v>
      </c>
      <c r="M240" t="str" cm="1">
        <f t="array" ref="M240">_xlfn.IFS(F240&lt;=50,"Low",F240&lt;=100,"Medium",F240&lt;=150,"High",F240&gt;150,"Very High")</f>
        <v>Medium</v>
      </c>
    </row>
    <row r="241" spans="1:13" ht="14.25" customHeight="1" x14ac:dyDescent="0.4">
      <c r="A241" s="6" t="s">
        <v>275</v>
      </c>
      <c r="B241" s="6" t="s">
        <v>55</v>
      </c>
      <c r="C241" s="6">
        <v>40</v>
      </c>
      <c r="D241" s="7" t="s">
        <v>19</v>
      </c>
      <c r="E241" s="11">
        <v>45003</v>
      </c>
      <c r="F241" s="10">
        <v>24</v>
      </c>
      <c r="G241" s="6">
        <v>4.3</v>
      </c>
      <c r="H241" s="6">
        <f>IF(MONTH(Data!$E241)&lt;=6, YEAR(Data!$E241), YEAR(Data!$E241)+1)</f>
        <v>2023</v>
      </c>
      <c r="I241" s="6" t="str">
        <f>TEXT(Data!$E241,"DDDD")</f>
        <v>Saturday</v>
      </c>
      <c r="J241" s="6" t="s">
        <v>27</v>
      </c>
      <c r="K241" s="6">
        <f>ROUND(Data!$G241,0)</f>
        <v>4</v>
      </c>
      <c r="L241" t="str" cm="1">
        <f t="array" ref="L241">_xlfn.IFS(C241&lt;=15,"Very Short",C241&lt;=30,"Short",C241&lt;=60,"Medium",C241&gt;60,"Long")</f>
        <v>Medium</v>
      </c>
      <c r="M241" t="str" cm="1">
        <f t="array" ref="M241">_xlfn.IFS(F241&lt;=50,"Low",F241&lt;=100,"Medium",F241&lt;=150,"High",F241&gt;150,"Very High")</f>
        <v>Low</v>
      </c>
    </row>
    <row r="242" spans="1:13" ht="14.25" customHeight="1" x14ac:dyDescent="0.4">
      <c r="A242" s="6" t="s">
        <v>276</v>
      </c>
      <c r="B242" s="6" t="s">
        <v>38</v>
      </c>
      <c r="C242" s="6">
        <v>75</v>
      </c>
      <c r="D242" s="7" t="s">
        <v>35</v>
      </c>
      <c r="E242" s="11">
        <v>45003</v>
      </c>
      <c r="F242" s="10">
        <v>32</v>
      </c>
      <c r="G242" s="6">
        <v>4.0999999999999996</v>
      </c>
      <c r="H242" s="6">
        <f>IF(MONTH(Data!$E242)&lt;=6, YEAR(Data!$E242), YEAR(Data!$E242)+1)</f>
        <v>2023</v>
      </c>
      <c r="I242" s="6" t="str">
        <f>TEXT(Data!$E242,"DDDD")</f>
        <v>Saturday</v>
      </c>
      <c r="J242" s="6" t="s">
        <v>14</v>
      </c>
      <c r="K242" s="6">
        <f>ROUND(Data!$G242,0)</f>
        <v>4</v>
      </c>
      <c r="L242" t="str" cm="1">
        <f t="array" ref="L242">_xlfn.IFS(C242&lt;=15,"Very Short",C242&lt;=30,"Short",C242&lt;=60,"Medium",C242&gt;60,"Long")</f>
        <v>Long</v>
      </c>
      <c r="M242" t="str" cm="1">
        <f t="array" ref="M242">_xlfn.IFS(F242&lt;=50,"Low",F242&lt;=100,"Medium",F242&lt;=150,"High",F242&gt;150,"Very High")</f>
        <v>Low</v>
      </c>
    </row>
    <row r="243" spans="1:13" ht="14.25" customHeight="1" x14ac:dyDescent="0.4">
      <c r="A243" s="6" t="s">
        <v>277</v>
      </c>
      <c r="B243" s="6" t="s">
        <v>68</v>
      </c>
      <c r="C243" s="6">
        <v>106</v>
      </c>
      <c r="D243" s="7" t="s">
        <v>24</v>
      </c>
      <c r="E243" s="11">
        <v>45003</v>
      </c>
      <c r="F243" s="10">
        <v>112</v>
      </c>
      <c r="G243" s="6">
        <v>4.4000000000000004</v>
      </c>
      <c r="H243" s="6">
        <f>IF(MONTH(Data!$E243)&lt;=6, YEAR(Data!$E243), YEAR(Data!$E243)+1)</f>
        <v>2023</v>
      </c>
      <c r="I243" s="6" t="str">
        <f>TEXT(Data!$E243,"DDDD")</f>
        <v>Saturday</v>
      </c>
      <c r="J243" s="6" t="s">
        <v>14</v>
      </c>
      <c r="K243" s="6">
        <f>ROUND(Data!$G243,0)</f>
        <v>4</v>
      </c>
      <c r="L243" t="str" cm="1">
        <f t="array" ref="L243">_xlfn.IFS(C243&lt;=15,"Very Short",C243&lt;=30,"Short",C243&lt;=60,"Medium",C243&gt;60,"Long")</f>
        <v>Long</v>
      </c>
      <c r="M243" t="str" cm="1">
        <f t="array" ref="M243">_xlfn.IFS(F243&lt;=50,"Low",F243&lt;=100,"Medium",F243&lt;=150,"High",F243&gt;150,"Very High")</f>
        <v>High</v>
      </c>
    </row>
    <row r="244" spans="1:13" ht="14.25" customHeight="1" x14ac:dyDescent="0.4">
      <c r="A244" s="6" t="s">
        <v>278</v>
      </c>
      <c r="B244" s="6" t="s">
        <v>34</v>
      </c>
      <c r="C244" s="6">
        <v>58</v>
      </c>
      <c r="D244" s="7" t="s">
        <v>19</v>
      </c>
      <c r="E244" s="11">
        <v>45004</v>
      </c>
      <c r="F244" s="10">
        <v>43</v>
      </c>
      <c r="G244" s="6">
        <v>4.5</v>
      </c>
      <c r="H244" s="6">
        <f>IF(MONTH(Data!$E244)&lt;=6, YEAR(Data!$E244), YEAR(Data!$E244)+1)</f>
        <v>2023</v>
      </c>
      <c r="I244" s="6" t="str">
        <f>TEXT(Data!$E244,"DDDD")</f>
        <v>Sunday</v>
      </c>
      <c r="J244" s="6" t="s">
        <v>27</v>
      </c>
      <c r="K244" s="6">
        <f>ROUND(Data!$G244,0)</f>
        <v>5</v>
      </c>
      <c r="L244" t="str" cm="1">
        <f t="array" ref="L244">_xlfn.IFS(C244&lt;=15,"Very Short",C244&lt;=30,"Short",C244&lt;=60,"Medium",C244&gt;60,"Long")</f>
        <v>Medium</v>
      </c>
      <c r="M244" t="str" cm="1">
        <f t="array" ref="M244">_xlfn.IFS(F244&lt;=50,"Low",F244&lt;=100,"Medium",F244&lt;=150,"High",F244&gt;150,"Very High")</f>
        <v>Low</v>
      </c>
    </row>
    <row r="245" spans="1:13" ht="14.25" customHeight="1" x14ac:dyDescent="0.4">
      <c r="A245" s="6" t="s">
        <v>279</v>
      </c>
      <c r="B245" s="6" t="s">
        <v>50</v>
      </c>
      <c r="C245" s="6">
        <v>84</v>
      </c>
      <c r="D245" s="7" t="s">
        <v>24</v>
      </c>
      <c r="E245" s="11">
        <v>45004</v>
      </c>
      <c r="F245" s="10">
        <v>22</v>
      </c>
      <c r="G245" s="6">
        <v>3.5</v>
      </c>
      <c r="H245" s="6">
        <f>IF(MONTH(Data!$E245)&lt;=6, YEAR(Data!$E245), YEAR(Data!$E245)+1)</f>
        <v>2023</v>
      </c>
      <c r="I245" s="6" t="str">
        <f>TEXT(Data!$E245,"DDDD")</f>
        <v>Sunday</v>
      </c>
      <c r="J245" s="6" t="s">
        <v>14</v>
      </c>
      <c r="K245" s="6">
        <f>ROUND(Data!$G245,0)</f>
        <v>4</v>
      </c>
      <c r="L245" t="str" cm="1">
        <f t="array" ref="L245">_xlfn.IFS(C245&lt;=15,"Very Short",C245&lt;=30,"Short",C245&lt;=60,"Medium",C245&gt;60,"Long")</f>
        <v>Long</v>
      </c>
      <c r="M245" t="str" cm="1">
        <f t="array" ref="M245">_xlfn.IFS(F245&lt;=50,"Low",F245&lt;=100,"Medium",F245&lt;=150,"High",F245&gt;150,"Very High")</f>
        <v>Low</v>
      </c>
    </row>
    <row r="246" spans="1:13" ht="14.25" customHeight="1" x14ac:dyDescent="0.4">
      <c r="A246" s="6" t="s">
        <v>280</v>
      </c>
      <c r="B246" s="6" t="s">
        <v>46</v>
      </c>
      <c r="C246" s="6">
        <v>140</v>
      </c>
      <c r="D246" s="7" t="s">
        <v>24</v>
      </c>
      <c r="E246" s="11">
        <v>45004</v>
      </c>
      <c r="F246" s="10">
        <v>93</v>
      </c>
      <c r="G246" s="6">
        <v>4.4000000000000004</v>
      </c>
      <c r="H246" s="6">
        <f>IF(MONTH(Data!$E246)&lt;=6, YEAR(Data!$E246), YEAR(Data!$E246)+1)</f>
        <v>2023</v>
      </c>
      <c r="I246" s="6" t="str">
        <f>TEXT(Data!$E246,"DDDD")</f>
        <v>Sunday</v>
      </c>
      <c r="J246" s="6" t="s">
        <v>25</v>
      </c>
      <c r="K246" s="6">
        <f>ROUND(Data!$G246,0)</f>
        <v>4</v>
      </c>
      <c r="L246" t="str" cm="1">
        <f t="array" ref="L246">_xlfn.IFS(C246&lt;=15,"Very Short",C246&lt;=30,"Short",C246&lt;=60,"Medium",C246&gt;60,"Long")</f>
        <v>Long</v>
      </c>
      <c r="M246" t="str" cm="1">
        <f t="array" ref="M246">_xlfn.IFS(F246&lt;=50,"Low",F246&lt;=100,"Medium",F246&lt;=150,"High",F246&gt;150,"Very High")</f>
        <v>Medium</v>
      </c>
    </row>
    <row r="247" spans="1:13" ht="14.25" customHeight="1" x14ac:dyDescent="0.4">
      <c r="A247" s="6" t="s">
        <v>281</v>
      </c>
      <c r="B247" s="6" t="s">
        <v>34</v>
      </c>
      <c r="C247" s="6">
        <v>67</v>
      </c>
      <c r="D247" s="7" t="s">
        <v>24</v>
      </c>
      <c r="E247" s="11">
        <v>45004</v>
      </c>
      <c r="F247" s="10">
        <v>45</v>
      </c>
      <c r="G247" s="6">
        <v>3.5</v>
      </c>
      <c r="H247" s="6">
        <f>IF(MONTH(Data!$E247)&lt;=6, YEAR(Data!$E247), YEAR(Data!$E247)+1)</f>
        <v>2023</v>
      </c>
      <c r="I247" s="6" t="str">
        <f>TEXT(Data!$E247,"DDDD")</f>
        <v>Sunday</v>
      </c>
      <c r="J247" s="6" t="s">
        <v>14</v>
      </c>
      <c r="K247" s="6">
        <f>ROUND(Data!$G247,0)</f>
        <v>4</v>
      </c>
      <c r="L247" t="str" cm="1">
        <f t="array" ref="L247">_xlfn.IFS(C247&lt;=15,"Very Short",C247&lt;=30,"Short",C247&lt;=60,"Medium",C247&gt;60,"Long")</f>
        <v>Long</v>
      </c>
      <c r="M247" t="str" cm="1">
        <f t="array" ref="M247">_xlfn.IFS(F247&lt;=50,"Low",F247&lt;=100,"Medium",F247&lt;=150,"High",F247&gt;150,"Very High")</f>
        <v>Low</v>
      </c>
    </row>
    <row r="248" spans="1:13" ht="14.25" customHeight="1" x14ac:dyDescent="0.4">
      <c r="A248" s="6" t="s">
        <v>282</v>
      </c>
      <c r="B248" s="6" t="s">
        <v>16</v>
      </c>
      <c r="C248" s="6">
        <v>126</v>
      </c>
      <c r="D248" s="7" t="s">
        <v>24</v>
      </c>
      <c r="E248" s="11">
        <v>45005</v>
      </c>
      <c r="F248" s="10">
        <v>96</v>
      </c>
      <c r="G248" s="6">
        <v>3.8</v>
      </c>
      <c r="H248" s="6">
        <f>IF(MONTH(Data!$E248)&lt;=6, YEAR(Data!$E248), YEAR(Data!$E248)+1)</f>
        <v>2023</v>
      </c>
      <c r="I248" s="6" t="str">
        <f>TEXT(Data!$E248,"DDDD")</f>
        <v>Monday</v>
      </c>
      <c r="J248" s="6" t="s">
        <v>25</v>
      </c>
      <c r="K248" s="6">
        <f>ROUND(Data!$G248,0)</f>
        <v>4</v>
      </c>
      <c r="L248" t="str" cm="1">
        <f t="array" ref="L248">_xlfn.IFS(C248&lt;=15,"Very Short",C248&lt;=30,"Short",C248&lt;=60,"Medium",C248&gt;60,"Long")</f>
        <v>Long</v>
      </c>
      <c r="M248" t="str" cm="1">
        <f t="array" ref="M248">_xlfn.IFS(F248&lt;=50,"Low",F248&lt;=100,"Medium",F248&lt;=150,"High",F248&gt;150,"Very High")</f>
        <v>Medium</v>
      </c>
    </row>
    <row r="249" spans="1:13" ht="14.25" customHeight="1" x14ac:dyDescent="0.4">
      <c r="A249" s="6" t="s">
        <v>283</v>
      </c>
      <c r="B249" s="6" t="s">
        <v>16</v>
      </c>
      <c r="C249" s="6">
        <v>89</v>
      </c>
      <c r="D249" s="7" t="s">
        <v>19</v>
      </c>
      <c r="E249" s="11">
        <v>45005</v>
      </c>
      <c r="F249" s="10">
        <v>96</v>
      </c>
      <c r="G249" s="6">
        <v>3.3</v>
      </c>
      <c r="H249" s="6">
        <f>IF(MONTH(Data!$E249)&lt;=6, YEAR(Data!$E249), YEAR(Data!$E249)+1)</f>
        <v>2023</v>
      </c>
      <c r="I249" s="6" t="str">
        <f>TEXT(Data!$E249,"DDDD")</f>
        <v>Monday</v>
      </c>
      <c r="J249" s="6" t="s">
        <v>14</v>
      </c>
      <c r="K249" s="6">
        <f>ROUND(Data!$G249,0)</f>
        <v>3</v>
      </c>
      <c r="L249" t="str" cm="1">
        <f t="array" ref="L249">_xlfn.IFS(C249&lt;=15,"Very Short",C249&lt;=30,"Short",C249&lt;=60,"Medium",C249&gt;60,"Long")</f>
        <v>Long</v>
      </c>
      <c r="M249" t="str" cm="1">
        <f t="array" ref="M249">_xlfn.IFS(F249&lt;=50,"Low",F249&lt;=100,"Medium",F249&lt;=150,"High",F249&gt;150,"Very High")</f>
        <v>Medium</v>
      </c>
    </row>
    <row r="250" spans="1:13" ht="14.25" customHeight="1" x14ac:dyDescent="0.4">
      <c r="A250" s="6" t="s">
        <v>284</v>
      </c>
      <c r="B250" s="6" t="s">
        <v>18</v>
      </c>
      <c r="C250" s="6">
        <v>56</v>
      </c>
      <c r="D250" s="7" t="s">
        <v>13</v>
      </c>
      <c r="E250" s="11">
        <v>45005</v>
      </c>
      <c r="F250" s="10">
        <v>31</v>
      </c>
      <c r="G250" s="6">
        <v>4.4000000000000004</v>
      </c>
      <c r="H250" s="6">
        <f>IF(MONTH(Data!$E250)&lt;=6, YEAR(Data!$E250), YEAR(Data!$E250)+1)</f>
        <v>2023</v>
      </c>
      <c r="I250" s="6" t="str">
        <f>TEXT(Data!$E250,"DDDD")</f>
        <v>Monday</v>
      </c>
      <c r="J250" s="6" t="s">
        <v>27</v>
      </c>
      <c r="K250" s="6">
        <f>ROUND(Data!$G250,0)</f>
        <v>4</v>
      </c>
      <c r="L250" t="str" cm="1">
        <f t="array" ref="L250">_xlfn.IFS(C250&lt;=15,"Very Short",C250&lt;=30,"Short",C250&lt;=60,"Medium",C250&gt;60,"Long")</f>
        <v>Medium</v>
      </c>
      <c r="M250" t="str" cm="1">
        <f t="array" ref="M250">_xlfn.IFS(F250&lt;=50,"Low",F250&lt;=100,"Medium",F250&lt;=150,"High",F250&gt;150,"Very High")</f>
        <v>Low</v>
      </c>
    </row>
    <row r="251" spans="1:13" ht="14.25" customHeight="1" x14ac:dyDescent="0.4">
      <c r="A251" s="6" t="s">
        <v>285</v>
      </c>
      <c r="B251" s="6" t="s">
        <v>23</v>
      </c>
      <c r="C251" s="6">
        <v>48</v>
      </c>
      <c r="D251" s="7" t="s">
        <v>19</v>
      </c>
      <c r="E251" s="11">
        <v>45005</v>
      </c>
      <c r="F251" s="10">
        <v>200</v>
      </c>
      <c r="G251" s="6">
        <v>3.9</v>
      </c>
      <c r="H251" s="6">
        <f>IF(MONTH(Data!$E251)&lt;=6, YEAR(Data!$E251), YEAR(Data!$E251)+1)</f>
        <v>2023</v>
      </c>
      <c r="I251" s="6" t="str">
        <f>TEXT(Data!$E251,"DDDD")</f>
        <v>Monday</v>
      </c>
      <c r="J251" s="6" t="s">
        <v>27</v>
      </c>
      <c r="K251" s="6">
        <f>ROUND(Data!$G251,0)</f>
        <v>4</v>
      </c>
      <c r="L251" t="str" cm="1">
        <f t="array" ref="L251">_xlfn.IFS(C251&lt;=15,"Very Short",C251&lt;=30,"Short",C251&lt;=60,"Medium",C251&gt;60,"Long")</f>
        <v>Medium</v>
      </c>
      <c r="M251" t="str" cm="1">
        <f t="array" ref="M251">_xlfn.IFS(F251&lt;=50,"Low",F251&lt;=100,"Medium",F251&lt;=150,"High",F251&gt;150,"Very High")</f>
        <v>Very High</v>
      </c>
    </row>
    <row r="252" spans="1:13" ht="14.25" customHeight="1" x14ac:dyDescent="0.4">
      <c r="A252" s="6" t="s">
        <v>286</v>
      </c>
      <c r="B252" s="6" t="s">
        <v>16</v>
      </c>
      <c r="C252" s="6">
        <v>55</v>
      </c>
      <c r="D252" s="7" t="s">
        <v>13</v>
      </c>
      <c r="E252" s="11">
        <v>45005</v>
      </c>
      <c r="F252" s="10">
        <v>99</v>
      </c>
      <c r="G252" s="6">
        <v>2.7</v>
      </c>
      <c r="H252" s="6">
        <f>IF(MONTH(Data!$E252)&lt;=6, YEAR(Data!$E252), YEAR(Data!$E252)+1)</f>
        <v>2023</v>
      </c>
      <c r="I252" s="6" t="str">
        <f>TEXT(Data!$E252,"DDDD")</f>
        <v>Monday</v>
      </c>
      <c r="J252" s="6" t="s">
        <v>27</v>
      </c>
      <c r="K252" s="6">
        <f>ROUND(Data!$G252,0)</f>
        <v>3</v>
      </c>
      <c r="L252" t="str" cm="1">
        <f t="array" ref="L252">_xlfn.IFS(C252&lt;=15,"Very Short",C252&lt;=30,"Short",C252&lt;=60,"Medium",C252&gt;60,"Long")</f>
        <v>Medium</v>
      </c>
      <c r="M252" t="str" cm="1">
        <f t="array" ref="M252">_xlfn.IFS(F252&lt;=50,"Low",F252&lt;=100,"Medium",F252&lt;=150,"High",F252&gt;150,"Very High")</f>
        <v>Medium</v>
      </c>
    </row>
    <row r="253" spans="1:13" ht="14.25" customHeight="1" x14ac:dyDescent="0.4">
      <c r="A253" s="6" t="s">
        <v>287</v>
      </c>
      <c r="B253" s="6" t="s">
        <v>21</v>
      </c>
      <c r="C253" s="6">
        <v>88</v>
      </c>
      <c r="D253" s="7" t="s">
        <v>35</v>
      </c>
      <c r="E253" s="11">
        <v>45005</v>
      </c>
      <c r="F253" s="10">
        <v>144</v>
      </c>
      <c r="G253" s="6">
        <v>2.9</v>
      </c>
      <c r="H253" s="6">
        <f>IF(MONTH(Data!$E253)&lt;=6, YEAR(Data!$E253), YEAR(Data!$E253)+1)</f>
        <v>2023</v>
      </c>
      <c r="I253" s="6" t="str">
        <f>TEXT(Data!$E253,"DDDD")</f>
        <v>Monday</v>
      </c>
      <c r="J253" s="6" t="s">
        <v>14</v>
      </c>
      <c r="K253" s="6">
        <f>ROUND(Data!$G253,0)</f>
        <v>3</v>
      </c>
      <c r="L253" t="str" cm="1">
        <f t="array" ref="L253">_xlfn.IFS(C253&lt;=15,"Very Short",C253&lt;=30,"Short",C253&lt;=60,"Medium",C253&gt;60,"Long")</f>
        <v>Long</v>
      </c>
      <c r="M253" t="str" cm="1">
        <f t="array" ref="M253">_xlfn.IFS(F253&lt;=50,"Low",F253&lt;=100,"Medium",F253&lt;=150,"High",F253&gt;150,"Very High")</f>
        <v>High</v>
      </c>
    </row>
    <row r="254" spans="1:13" ht="14.25" customHeight="1" x14ac:dyDescent="0.4">
      <c r="A254" s="6" t="s">
        <v>288</v>
      </c>
      <c r="B254" s="6" t="s">
        <v>18</v>
      </c>
      <c r="C254" s="6">
        <v>102</v>
      </c>
      <c r="D254" s="7" t="s">
        <v>24</v>
      </c>
      <c r="E254" s="11">
        <v>45006</v>
      </c>
      <c r="F254" s="10">
        <v>81</v>
      </c>
      <c r="G254" s="6">
        <v>4</v>
      </c>
      <c r="H254" s="6">
        <f>IF(MONTH(Data!$E254)&lt;=6, YEAR(Data!$E254), YEAR(Data!$E254)+1)</f>
        <v>2023</v>
      </c>
      <c r="I254" s="6" t="str">
        <f>TEXT(Data!$E254,"DDDD")</f>
        <v>Tuesday</v>
      </c>
      <c r="J254" s="6" t="s">
        <v>14</v>
      </c>
      <c r="K254" s="6">
        <f>ROUND(Data!$G254,0)</f>
        <v>4</v>
      </c>
      <c r="L254" t="str" cm="1">
        <f t="array" ref="L254">_xlfn.IFS(C254&lt;=15,"Very Short",C254&lt;=30,"Short",C254&lt;=60,"Medium",C254&gt;60,"Long")</f>
        <v>Long</v>
      </c>
      <c r="M254" t="str" cm="1">
        <f t="array" ref="M254">_xlfn.IFS(F254&lt;=50,"Low",F254&lt;=100,"Medium",F254&lt;=150,"High",F254&gt;150,"Very High")</f>
        <v>Medium</v>
      </c>
    </row>
    <row r="255" spans="1:13" ht="14.25" customHeight="1" x14ac:dyDescent="0.4">
      <c r="A255" s="6" t="s">
        <v>289</v>
      </c>
      <c r="B255" s="6" t="s">
        <v>21</v>
      </c>
      <c r="C255" s="6">
        <v>155</v>
      </c>
      <c r="D255" s="7" t="s">
        <v>35</v>
      </c>
      <c r="E255" s="11">
        <v>45006</v>
      </c>
      <c r="F255" s="10">
        <v>70</v>
      </c>
      <c r="G255" s="6">
        <v>4.4000000000000004</v>
      </c>
      <c r="H255" s="6">
        <f>IF(MONTH(Data!$E255)&lt;=6, YEAR(Data!$E255), YEAR(Data!$E255)+1)</f>
        <v>2023</v>
      </c>
      <c r="I255" s="6" t="str">
        <f>TEXT(Data!$E255,"DDDD")</f>
        <v>Tuesday</v>
      </c>
      <c r="J255" s="6" t="s">
        <v>25</v>
      </c>
      <c r="K255" s="6">
        <f>ROUND(Data!$G255,0)</f>
        <v>4</v>
      </c>
      <c r="L255" t="str" cm="1">
        <f t="array" ref="L255">_xlfn.IFS(C255&lt;=15,"Very Short",C255&lt;=30,"Short",C255&lt;=60,"Medium",C255&gt;60,"Long")</f>
        <v>Long</v>
      </c>
      <c r="M255" t="str" cm="1">
        <f t="array" ref="M255">_xlfn.IFS(F255&lt;=50,"Low",F255&lt;=100,"Medium",F255&lt;=150,"High",F255&gt;150,"Very High")</f>
        <v>Medium</v>
      </c>
    </row>
    <row r="256" spans="1:13" ht="14.25" customHeight="1" x14ac:dyDescent="0.4">
      <c r="A256" s="6" t="s">
        <v>290</v>
      </c>
      <c r="B256" s="6" t="s">
        <v>16</v>
      </c>
      <c r="C256" s="6">
        <v>63</v>
      </c>
      <c r="D256" s="7" t="s">
        <v>35</v>
      </c>
      <c r="E256" s="11">
        <v>45006</v>
      </c>
      <c r="F256" s="10">
        <v>148</v>
      </c>
      <c r="G256" s="6">
        <v>5</v>
      </c>
      <c r="H256" s="6">
        <f>IF(MONTH(Data!$E256)&lt;=6, YEAR(Data!$E256), YEAR(Data!$E256)+1)</f>
        <v>2023</v>
      </c>
      <c r="I256" s="6" t="str">
        <f>TEXT(Data!$E256,"DDDD")</f>
        <v>Tuesday</v>
      </c>
      <c r="J256" s="6" t="s">
        <v>14</v>
      </c>
      <c r="K256" s="6">
        <f>ROUND(Data!$G256,0)</f>
        <v>5</v>
      </c>
      <c r="L256" t="str" cm="1">
        <f t="array" ref="L256">_xlfn.IFS(C256&lt;=15,"Very Short",C256&lt;=30,"Short",C256&lt;=60,"Medium",C256&gt;60,"Long")</f>
        <v>Long</v>
      </c>
      <c r="M256" t="str" cm="1">
        <f t="array" ref="M256">_xlfn.IFS(F256&lt;=50,"Low",F256&lt;=100,"Medium",F256&lt;=150,"High",F256&gt;150,"Very High")</f>
        <v>High</v>
      </c>
    </row>
    <row r="257" spans="1:13" ht="14.25" customHeight="1" x14ac:dyDescent="0.4">
      <c r="A257" s="6" t="s">
        <v>291</v>
      </c>
      <c r="B257" s="6" t="s">
        <v>29</v>
      </c>
      <c r="C257" s="6">
        <v>59</v>
      </c>
      <c r="D257" s="7" t="s">
        <v>24</v>
      </c>
      <c r="E257" s="11">
        <v>45006</v>
      </c>
      <c r="F257" s="10">
        <v>215</v>
      </c>
      <c r="G257" s="6">
        <v>4.0999999999999996</v>
      </c>
      <c r="H257" s="6">
        <f>IF(MONTH(Data!$E257)&lt;=6, YEAR(Data!$E257), YEAR(Data!$E257)+1)</f>
        <v>2023</v>
      </c>
      <c r="I257" s="6" t="str">
        <f>TEXT(Data!$E257,"DDDD")</f>
        <v>Tuesday</v>
      </c>
      <c r="J257" s="6" t="s">
        <v>27</v>
      </c>
      <c r="K257" s="6">
        <f>ROUND(Data!$G257,0)</f>
        <v>4</v>
      </c>
      <c r="L257" t="str" cm="1">
        <f t="array" ref="L257">_xlfn.IFS(C257&lt;=15,"Very Short",C257&lt;=30,"Short",C257&lt;=60,"Medium",C257&gt;60,"Long")</f>
        <v>Medium</v>
      </c>
      <c r="M257" t="str" cm="1">
        <f t="array" ref="M257">_xlfn.IFS(F257&lt;=50,"Low",F257&lt;=100,"Medium",F257&lt;=150,"High",F257&gt;150,"Very High")</f>
        <v>Very High</v>
      </c>
    </row>
    <row r="258" spans="1:13" ht="14.25" customHeight="1" x14ac:dyDescent="0.4">
      <c r="A258" s="6" t="s">
        <v>292</v>
      </c>
      <c r="B258" s="6" t="s">
        <v>29</v>
      </c>
      <c r="C258" s="6">
        <v>144</v>
      </c>
      <c r="D258" s="7" t="s">
        <v>19</v>
      </c>
      <c r="E258" s="11">
        <v>45006</v>
      </c>
      <c r="F258" s="10">
        <v>124</v>
      </c>
      <c r="G258" s="6">
        <v>4.4000000000000004</v>
      </c>
      <c r="H258" s="6">
        <f>IF(MONTH(Data!$E258)&lt;=6, YEAR(Data!$E258), YEAR(Data!$E258)+1)</f>
        <v>2023</v>
      </c>
      <c r="I258" s="6" t="str">
        <f>TEXT(Data!$E258,"DDDD")</f>
        <v>Tuesday</v>
      </c>
      <c r="J258" s="6" t="s">
        <v>25</v>
      </c>
      <c r="K258" s="6">
        <f>ROUND(Data!$G258,0)</f>
        <v>4</v>
      </c>
      <c r="L258" t="str" cm="1">
        <f t="array" ref="L258">_xlfn.IFS(C258&lt;=15,"Very Short",C258&lt;=30,"Short",C258&lt;=60,"Medium",C258&gt;60,"Long")</f>
        <v>Long</v>
      </c>
      <c r="M258" t="str" cm="1">
        <f t="array" ref="M258">_xlfn.IFS(F258&lt;=50,"Low",F258&lt;=100,"Medium",F258&lt;=150,"High",F258&gt;150,"Very High")</f>
        <v>High</v>
      </c>
    </row>
    <row r="259" spans="1:13" ht="14.25" customHeight="1" x14ac:dyDescent="0.4">
      <c r="A259" s="6" t="s">
        <v>293</v>
      </c>
      <c r="B259" s="6" t="s">
        <v>50</v>
      </c>
      <c r="C259" s="6">
        <v>113</v>
      </c>
      <c r="D259" s="7" t="s">
        <v>31</v>
      </c>
      <c r="E259" s="11">
        <v>45006</v>
      </c>
      <c r="F259" s="10">
        <v>168</v>
      </c>
      <c r="G259" s="6">
        <v>4.0999999999999996</v>
      </c>
      <c r="H259" s="6">
        <f>IF(MONTH(Data!$E259)&lt;=6, YEAR(Data!$E259), YEAR(Data!$E259)+1)</f>
        <v>2023</v>
      </c>
      <c r="I259" s="6" t="str">
        <f>TEXT(Data!$E259,"DDDD")</f>
        <v>Tuesday</v>
      </c>
      <c r="J259" s="6" t="s">
        <v>14</v>
      </c>
      <c r="K259" s="6">
        <f>ROUND(Data!$G259,0)</f>
        <v>4</v>
      </c>
      <c r="L259" t="str" cm="1">
        <f t="array" ref="L259">_xlfn.IFS(C259&lt;=15,"Very Short",C259&lt;=30,"Short",C259&lt;=60,"Medium",C259&gt;60,"Long")</f>
        <v>Long</v>
      </c>
      <c r="M259" t="str" cm="1">
        <f t="array" ref="M259">_xlfn.IFS(F259&lt;=50,"Low",F259&lt;=100,"Medium",F259&lt;=150,"High",F259&gt;150,"Very High")</f>
        <v>Very High</v>
      </c>
    </row>
    <row r="260" spans="1:13" ht="14.25" customHeight="1" x14ac:dyDescent="0.4">
      <c r="A260" s="6" t="s">
        <v>294</v>
      </c>
      <c r="B260" s="6" t="s">
        <v>58</v>
      </c>
      <c r="C260" s="6">
        <v>154</v>
      </c>
      <c r="D260" s="7" t="s">
        <v>13</v>
      </c>
      <c r="E260" s="11">
        <v>45006</v>
      </c>
      <c r="F260" s="10">
        <v>90</v>
      </c>
      <c r="G260" s="6">
        <v>4.5</v>
      </c>
      <c r="H260" s="6">
        <f>IF(MONTH(Data!$E260)&lt;=6, YEAR(Data!$E260), YEAR(Data!$E260)+1)</f>
        <v>2023</v>
      </c>
      <c r="I260" s="6" t="str">
        <f>TEXT(Data!$E260,"DDDD")</f>
        <v>Tuesday</v>
      </c>
      <c r="J260" s="6" t="s">
        <v>25</v>
      </c>
      <c r="K260" s="6">
        <f>ROUND(Data!$G260,0)</f>
        <v>5</v>
      </c>
      <c r="L260" t="str" cm="1">
        <f t="array" ref="L260">_xlfn.IFS(C260&lt;=15,"Very Short",C260&lt;=30,"Short",C260&lt;=60,"Medium",C260&gt;60,"Long")</f>
        <v>Long</v>
      </c>
      <c r="M260" t="str" cm="1">
        <f t="array" ref="M260">_xlfn.IFS(F260&lt;=50,"Low",F260&lt;=100,"Medium",F260&lt;=150,"High",F260&gt;150,"Very High")</f>
        <v>Medium</v>
      </c>
    </row>
    <row r="261" spans="1:13" ht="14.25" customHeight="1" x14ac:dyDescent="0.4">
      <c r="A261" s="6" t="s">
        <v>295</v>
      </c>
      <c r="B261" s="6" t="s">
        <v>58</v>
      </c>
      <c r="C261" s="6">
        <v>58</v>
      </c>
      <c r="D261" s="7" t="s">
        <v>24</v>
      </c>
      <c r="E261" s="11">
        <v>45007</v>
      </c>
      <c r="F261" s="10">
        <v>176</v>
      </c>
      <c r="G261" s="6">
        <v>4.2</v>
      </c>
      <c r="H261" s="6">
        <f>IF(MONTH(Data!$E261)&lt;=6, YEAR(Data!$E261), YEAR(Data!$E261)+1)</f>
        <v>2023</v>
      </c>
      <c r="I261" s="6" t="str">
        <f>TEXT(Data!$E261,"DDDD")</f>
        <v>Wednesday</v>
      </c>
      <c r="J261" s="6" t="s">
        <v>27</v>
      </c>
      <c r="K261" s="6">
        <f>ROUND(Data!$G261,0)</f>
        <v>4</v>
      </c>
      <c r="L261" t="str" cm="1">
        <f t="array" ref="L261">_xlfn.IFS(C261&lt;=15,"Very Short",C261&lt;=30,"Short",C261&lt;=60,"Medium",C261&gt;60,"Long")</f>
        <v>Medium</v>
      </c>
      <c r="M261" t="str" cm="1">
        <f t="array" ref="M261">_xlfn.IFS(F261&lt;=50,"Low",F261&lt;=100,"Medium",F261&lt;=150,"High",F261&gt;150,"Very High")</f>
        <v>Very High</v>
      </c>
    </row>
    <row r="262" spans="1:13" ht="14.25" customHeight="1" x14ac:dyDescent="0.4">
      <c r="A262" s="6" t="s">
        <v>296</v>
      </c>
      <c r="B262" s="6" t="s">
        <v>23</v>
      </c>
      <c r="C262" s="6">
        <v>63</v>
      </c>
      <c r="D262" s="7" t="s">
        <v>35</v>
      </c>
      <c r="E262" s="11">
        <v>45007</v>
      </c>
      <c r="F262" s="10">
        <v>87</v>
      </c>
      <c r="G262" s="6">
        <v>4.5999999999999996</v>
      </c>
      <c r="H262" s="6">
        <f>IF(MONTH(Data!$E262)&lt;=6, YEAR(Data!$E262), YEAR(Data!$E262)+1)</f>
        <v>2023</v>
      </c>
      <c r="I262" s="6" t="str">
        <f>TEXT(Data!$E262,"DDDD")</f>
        <v>Wednesday</v>
      </c>
      <c r="J262" s="6" t="s">
        <v>14</v>
      </c>
      <c r="K262" s="6">
        <f>ROUND(Data!$G262,0)</f>
        <v>5</v>
      </c>
      <c r="L262" t="str" cm="1">
        <f t="array" ref="L262">_xlfn.IFS(C262&lt;=15,"Very Short",C262&lt;=30,"Short",C262&lt;=60,"Medium",C262&gt;60,"Long")</f>
        <v>Long</v>
      </c>
      <c r="M262" t="str" cm="1">
        <f t="array" ref="M262">_xlfn.IFS(F262&lt;=50,"Low",F262&lt;=100,"Medium",F262&lt;=150,"High",F262&gt;150,"Very High")</f>
        <v>Medium</v>
      </c>
    </row>
    <row r="263" spans="1:13" ht="14.25" customHeight="1" x14ac:dyDescent="0.4">
      <c r="A263" s="6" t="s">
        <v>297</v>
      </c>
      <c r="B263" s="6" t="s">
        <v>46</v>
      </c>
      <c r="C263" s="6">
        <v>59</v>
      </c>
      <c r="D263" s="7" t="s">
        <v>19</v>
      </c>
      <c r="E263" s="11">
        <v>45007</v>
      </c>
      <c r="F263" s="10">
        <v>128</v>
      </c>
      <c r="G263" s="6">
        <v>4.5</v>
      </c>
      <c r="H263" s="6">
        <f>IF(MONTH(Data!$E263)&lt;=6, YEAR(Data!$E263), YEAR(Data!$E263)+1)</f>
        <v>2023</v>
      </c>
      <c r="I263" s="6" t="str">
        <f>TEXT(Data!$E263,"DDDD")</f>
        <v>Wednesday</v>
      </c>
      <c r="J263" s="6" t="s">
        <v>27</v>
      </c>
      <c r="K263" s="6">
        <f>ROUND(Data!$G263,0)</f>
        <v>5</v>
      </c>
      <c r="L263" t="str" cm="1">
        <f t="array" ref="L263">_xlfn.IFS(C263&lt;=15,"Very Short",C263&lt;=30,"Short",C263&lt;=60,"Medium",C263&gt;60,"Long")</f>
        <v>Medium</v>
      </c>
      <c r="M263" t="str" cm="1">
        <f t="array" ref="M263">_xlfn.IFS(F263&lt;=50,"Low",F263&lt;=100,"Medium",F263&lt;=150,"High",F263&gt;150,"Very High")</f>
        <v>High</v>
      </c>
    </row>
    <row r="264" spans="1:13" ht="14.25" customHeight="1" x14ac:dyDescent="0.4">
      <c r="A264" s="6" t="s">
        <v>298</v>
      </c>
      <c r="B264" s="6" t="s">
        <v>88</v>
      </c>
      <c r="C264" s="6">
        <v>129</v>
      </c>
      <c r="D264" s="7" t="s">
        <v>35</v>
      </c>
      <c r="E264" s="11">
        <v>45007</v>
      </c>
      <c r="F264" s="10">
        <v>120</v>
      </c>
      <c r="G264" s="6">
        <v>4.0999999999999996</v>
      </c>
      <c r="H264" s="6">
        <f>IF(MONTH(Data!$E264)&lt;=6, YEAR(Data!$E264), YEAR(Data!$E264)+1)</f>
        <v>2023</v>
      </c>
      <c r="I264" s="6" t="str">
        <f>TEXT(Data!$E264,"DDDD")</f>
        <v>Wednesday</v>
      </c>
      <c r="J264" s="6" t="s">
        <v>25</v>
      </c>
      <c r="K264" s="6">
        <f>ROUND(Data!$G264,0)</f>
        <v>4</v>
      </c>
      <c r="L264" t="str" cm="1">
        <f t="array" ref="L264">_xlfn.IFS(C264&lt;=15,"Very Short",C264&lt;=30,"Short",C264&lt;=60,"Medium",C264&gt;60,"Long")</f>
        <v>Long</v>
      </c>
      <c r="M264" t="str" cm="1">
        <f t="array" ref="M264">_xlfn.IFS(F264&lt;=50,"Low",F264&lt;=100,"Medium",F264&lt;=150,"High",F264&gt;150,"Very High")</f>
        <v>High</v>
      </c>
    </row>
    <row r="265" spans="1:13" ht="14.25" customHeight="1" x14ac:dyDescent="0.4">
      <c r="A265" s="6" t="s">
        <v>299</v>
      </c>
      <c r="B265" s="6" t="s">
        <v>40</v>
      </c>
      <c r="C265" s="6">
        <v>101</v>
      </c>
      <c r="D265" s="7" t="s">
        <v>31</v>
      </c>
      <c r="E265" s="11">
        <v>45007</v>
      </c>
      <c r="F265" s="10">
        <v>130</v>
      </c>
      <c r="G265" s="6">
        <v>4.8</v>
      </c>
      <c r="H265" s="6">
        <f>IF(MONTH(Data!$E265)&lt;=6, YEAR(Data!$E265), YEAR(Data!$E265)+1)</f>
        <v>2023</v>
      </c>
      <c r="I265" s="6" t="str">
        <f>TEXT(Data!$E265,"DDDD")</f>
        <v>Wednesday</v>
      </c>
      <c r="J265" s="6" t="s">
        <v>14</v>
      </c>
      <c r="K265" s="6">
        <f>ROUND(Data!$G265,0)</f>
        <v>5</v>
      </c>
      <c r="L265" t="str" cm="1">
        <f t="array" ref="L265">_xlfn.IFS(C265&lt;=15,"Very Short",C265&lt;=30,"Short",C265&lt;=60,"Medium",C265&gt;60,"Long")</f>
        <v>Long</v>
      </c>
      <c r="M265" t="str" cm="1">
        <f t="array" ref="M265">_xlfn.IFS(F265&lt;=50,"Low",F265&lt;=100,"Medium",F265&lt;=150,"High",F265&gt;150,"Very High")</f>
        <v>High</v>
      </c>
    </row>
    <row r="266" spans="1:13" ht="14.25" customHeight="1" x14ac:dyDescent="0.4">
      <c r="A266" s="6" t="s">
        <v>300</v>
      </c>
      <c r="B266" s="6" t="s">
        <v>55</v>
      </c>
      <c r="C266" s="6">
        <v>154</v>
      </c>
      <c r="D266" s="7" t="s">
        <v>19</v>
      </c>
      <c r="E266" s="11">
        <v>45007</v>
      </c>
      <c r="F266" s="10">
        <v>172</v>
      </c>
      <c r="G266" s="6">
        <v>3.1</v>
      </c>
      <c r="H266" s="6">
        <f>IF(MONTH(Data!$E266)&lt;=6, YEAR(Data!$E266), YEAR(Data!$E266)+1)</f>
        <v>2023</v>
      </c>
      <c r="I266" s="6" t="str">
        <f>TEXT(Data!$E266,"DDDD")</f>
        <v>Wednesday</v>
      </c>
      <c r="J266" s="6" t="s">
        <v>25</v>
      </c>
      <c r="K266" s="6">
        <f>ROUND(Data!$G266,0)</f>
        <v>3</v>
      </c>
      <c r="L266" t="str" cm="1">
        <f t="array" ref="L266">_xlfn.IFS(C266&lt;=15,"Very Short",C266&lt;=30,"Short",C266&lt;=60,"Medium",C266&gt;60,"Long")</f>
        <v>Long</v>
      </c>
      <c r="M266" t="str" cm="1">
        <f t="array" ref="M266">_xlfn.IFS(F266&lt;=50,"Low",F266&lt;=100,"Medium",F266&lt;=150,"High",F266&gt;150,"Very High")</f>
        <v>Very High</v>
      </c>
    </row>
    <row r="267" spans="1:13" ht="14.25" customHeight="1" x14ac:dyDescent="0.4">
      <c r="A267" s="6" t="s">
        <v>301</v>
      </c>
      <c r="B267" s="6" t="s">
        <v>34</v>
      </c>
      <c r="C267" s="6">
        <v>131</v>
      </c>
      <c r="D267" s="7" t="s">
        <v>19</v>
      </c>
      <c r="E267" s="11">
        <v>45007</v>
      </c>
      <c r="F267" s="10">
        <v>58</v>
      </c>
      <c r="G267" s="6">
        <v>4.9000000000000004</v>
      </c>
      <c r="H267" s="6">
        <f>IF(MONTH(Data!$E267)&lt;=6, YEAR(Data!$E267), YEAR(Data!$E267)+1)</f>
        <v>2023</v>
      </c>
      <c r="I267" s="6" t="str">
        <f>TEXT(Data!$E267,"DDDD")</f>
        <v>Wednesday</v>
      </c>
      <c r="J267" s="6" t="s">
        <v>25</v>
      </c>
      <c r="K267" s="6">
        <f>ROUND(Data!$G267,0)</f>
        <v>5</v>
      </c>
      <c r="L267" t="str" cm="1">
        <f t="array" ref="L267">_xlfn.IFS(C267&lt;=15,"Very Short",C267&lt;=30,"Short",C267&lt;=60,"Medium",C267&gt;60,"Long")</f>
        <v>Long</v>
      </c>
      <c r="M267" t="str" cm="1">
        <f t="array" ref="M267">_xlfn.IFS(F267&lt;=50,"Low",F267&lt;=100,"Medium",F267&lt;=150,"High",F267&gt;150,"Very High")</f>
        <v>Medium</v>
      </c>
    </row>
    <row r="268" spans="1:13" ht="14.25" customHeight="1" x14ac:dyDescent="0.4">
      <c r="A268" s="6" t="s">
        <v>302</v>
      </c>
      <c r="B268" s="6" t="s">
        <v>29</v>
      </c>
      <c r="C268" s="6">
        <v>111</v>
      </c>
      <c r="D268" s="7" t="s">
        <v>31</v>
      </c>
      <c r="E268" s="11">
        <v>45008</v>
      </c>
      <c r="F268" s="10">
        <v>86</v>
      </c>
      <c r="G268" s="6">
        <v>4.0999999999999996</v>
      </c>
      <c r="H268" s="6">
        <f>IF(MONTH(Data!$E268)&lt;=6, YEAR(Data!$E268), YEAR(Data!$E268)+1)</f>
        <v>2023</v>
      </c>
      <c r="I268" s="6" t="str">
        <f>TEXT(Data!$E268,"DDDD")</f>
        <v>Thursday</v>
      </c>
      <c r="J268" s="6" t="s">
        <v>14</v>
      </c>
      <c r="K268" s="6">
        <f>ROUND(Data!$G268,0)</f>
        <v>4</v>
      </c>
      <c r="L268" t="str" cm="1">
        <f t="array" ref="L268">_xlfn.IFS(C268&lt;=15,"Very Short",C268&lt;=30,"Short",C268&lt;=60,"Medium",C268&gt;60,"Long")</f>
        <v>Long</v>
      </c>
      <c r="M268" t="str" cm="1">
        <f t="array" ref="M268">_xlfn.IFS(F268&lt;=50,"Low",F268&lt;=100,"Medium",F268&lt;=150,"High",F268&gt;150,"Very High")</f>
        <v>Medium</v>
      </c>
    </row>
    <row r="269" spans="1:13" ht="14.25" customHeight="1" x14ac:dyDescent="0.4">
      <c r="A269" s="6" t="s">
        <v>303</v>
      </c>
      <c r="B269" s="6" t="s">
        <v>58</v>
      </c>
      <c r="C269" s="6">
        <v>142</v>
      </c>
      <c r="D269" s="7" t="s">
        <v>31</v>
      </c>
      <c r="E269" s="11">
        <v>45009</v>
      </c>
      <c r="F269" s="10">
        <v>31</v>
      </c>
      <c r="G269" s="6">
        <v>4.4000000000000004</v>
      </c>
      <c r="H269" s="6">
        <f>IF(MONTH(Data!$E269)&lt;=6, YEAR(Data!$E269), YEAR(Data!$E269)+1)</f>
        <v>2023</v>
      </c>
      <c r="I269" s="6" t="str">
        <f>TEXT(Data!$E269,"DDDD")</f>
        <v>Friday</v>
      </c>
      <c r="J269" s="6" t="s">
        <v>25</v>
      </c>
      <c r="K269" s="6">
        <f>ROUND(Data!$G269,0)</f>
        <v>4</v>
      </c>
      <c r="L269" t="str" cm="1">
        <f t="array" ref="L269">_xlfn.IFS(C269&lt;=15,"Very Short",C269&lt;=30,"Short",C269&lt;=60,"Medium",C269&gt;60,"Long")</f>
        <v>Long</v>
      </c>
      <c r="M269" t="str" cm="1">
        <f t="array" ref="M269">_xlfn.IFS(F269&lt;=50,"Low",F269&lt;=100,"Medium",F269&lt;=150,"High",F269&gt;150,"Very High")</f>
        <v>Low</v>
      </c>
    </row>
    <row r="270" spans="1:13" ht="14.25" customHeight="1" x14ac:dyDescent="0.4">
      <c r="A270" s="6" t="s">
        <v>304</v>
      </c>
      <c r="B270" s="6" t="s">
        <v>18</v>
      </c>
      <c r="C270" s="6">
        <v>93</v>
      </c>
      <c r="D270" s="7" t="s">
        <v>35</v>
      </c>
      <c r="E270" s="11">
        <v>45009</v>
      </c>
      <c r="F270" s="10">
        <v>72</v>
      </c>
      <c r="G270" s="6">
        <v>4.4000000000000004</v>
      </c>
      <c r="H270" s="6">
        <f>IF(MONTH(Data!$E270)&lt;=6, YEAR(Data!$E270), YEAR(Data!$E270)+1)</f>
        <v>2023</v>
      </c>
      <c r="I270" s="6" t="str">
        <f>TEXT(Data!$E270,"DDDD")</f>
        <v>Friday</v>
      </c>
      <c r="J270" s="6" t="s">
        <v>14</v>
      </c>
      <c r="K270" s="6">
        <f>ROUND(Data!$G270,0)</f>
        <v>4</v>
      </c>
      <c r="L270" t="str" cm="1">
        <f t="array" ref="L270">_xlfn.IFS(C270&lt;=15,"Very Short",C270&lt;=30,"Short",C270&lt;=60,"Medium",C270&gt;60,"Long")</f>
        <v>Long</v>
      </c>
      <c r="M270" t="str" cm="1">
        <f t="array" ref="M270">_xlfn.IFS(F270&lt;=50,"Low",F270&lt;=100,"Medium",F270&lt;=150,"High",F270&gt;150,"Very High")</f>
        <v>Medium</v>
      </c>
    </row>
    <row r="271" spans="1:13" ht="14.25" customHeight="1" x14ac:dyDescent="0.4">
      <c r="A271" s="6" t="s">
        <v>305</v>
      </c>
      <c r="B271" s="6" t="s">
        <v>58</v>
      </c>
      <c r="C271" s="6">
        <v>125</v>
      </c>
      <c r="D271" s="7" t="s">
        <v>13</v>
      </c>
      <c r="E271" s="11">
        <v>45010</v>
      </c>
      <c r="F271" s="10">
        <v>27</v>
      </c>
      <c r="G271" s="6">
        <v>3</v>
      </c>
      <c r="H271" s="6">
        <f>IF(MONTH(Data!$E271)&lt;=6, YEAR(Data!$E271), YEAR(Data!$E271)+1)</f>
        <v>2023</v>
      </c>
      <c r="I271" s="6" t="str">
        <f>TEXT(Data!$E271,"DDDD")</f>
        <v>Saturday</v>
      </c>
      <c r="J271" s="6" t="s">
        <v>25</v>
      </c>
      <c r="K271" s="6">
        <f>ROUND(Data!$G271,0)</f>
        <v>3</v>
      </c>
      <c r="L271" t="str" cm="1">
        <f t="array" ref="L271">_xlfn.IFS(C271&lt;=15,"Very Short",C271&lt;=30,"Short",C271&lt;=60,"Medium",C271&gt;60,"Long")</f>
        <v>Long</v>
      </c>
      <c r="M271" t="str" cm="1">
        <f t="array" ref="M271">_xlfn.IFS(F271&lt;=50,"Low",F271&lt;=100,"Medium",F271&lt;=150,"High",F271&gt;150,"Very High")</f>
        <v>Low</v>
      </c>
    </row>
    <row r="272" spans="1:13" ht="14.25" customHeight="1" x14ac:dyDescent="0.4">
      <c r="A272" s="6" t="s">
        <v>306</v>
      </c>
      <c r="B272" s="6" t="s">
        <v>88</v>
      </c>
      <c r="C272" s="6">
        <v>76</v>
      </c>
      <c r="D272" s="7" t="s">
        <v>19</v>
      </c>
      <c r="E272" s="11">
        <v>45010</v>
      </c>
      <c r="F272" s="10">
        <v>110</v>
      </c>
      <c r="G272" s="6">
        <v>4.4000000000000004</v>
      </c>
      <c r="H272" s="6">
        <f>IF(MONTH(Data!$E272)&lt;=6, YEAR(Data!$E272), YEAR(Data!$E272)+1)</f>
        <v>2023</v>
      </c>
      <c r="I272" s="6" t="str">
        <f>TEXT(Data!$E272,"DDDD")</f>
        <v>Saturday</v>
      </c>
      <c r="J272" s="6" t="s">
        <v>14</v>
      </c>
      <c r="K272" s="6">
        <f>ROUND(Data!$G272,0)</f>
        <v>4</v>
      </c>
      <c r="L272" t="str" cm="1">
        <f t="array" ref="L272">_xlfn.IFS(C272&lt;=15,"Very Short",C272&lt;=30,"Short",C272&lt;=60,"Medium",C272&gt;60,"Long")</f>
        <v>Long</v>
      </c>
      <c r="M272" t="str" cm="1">
        <f t="array" ref="M272">_xlfn.IFS(F272&lt;=50,"Low",F272&lt;=100,"Medium",F272&lt;=150,"High",F272&gt;150,"Very High")</f>
        <v>High</v>
      </c>
    </row>
    <row r="273" spans="1:13" ht="14.25" customHeight="1" x14ac:dyDescent="0.4">
      <c r="A273" s="6" t="s">
        <v>307</v>
      </c>
      <c r="B273" s="6" t="s">
        <v>50</v>
      </c>
      <c r="C273" s="6">
        <v>69</v>
      </c>
      <c r="D273" s="7" t="s">
        <v>35</v>
      </c>
      <c r="E273" s="11">
        <v>45010</v>
      </c>
      <c r="F273" s="10">
        <v>126</v>
      </c>
      <c r="G273" s="6">
        <v>3.7</v>
      </c>
      <c r="H273" s="6">
        <f>IF(MONTH(Data!$E273)&lt;=6, YEAR(Data!$E273), YEAR(Data!$E273)+1)</f>
        <v>2023</v>
      </c>
      <c r="I273" s="6" t="str">
        <f>TEXT(Data!$E273,"DDDD")</f>
        <v>Saturday</v>
      </c>
      <c r="J273" s="6" t="s">
        <v>14</v>
      </c>
      <c r="K273" s="6">
        <f>ROUND(Data!$G273,0)</f>
        <v>4</v>
      </c>
      <c r="L273" t="str" cm="1">
        <f t="array" ref="L273">_xlfn.IFS(C273&lt;=15,"Very Short",C273&lt;=30,"Short",C273&lt;=60,"Medium",C273&gt;60,"Long")</f>
        <v>Long</v>
      </c>
      <c r="M273" t="str" cm="1">
        <f t="array" ref="M273">_xlfn.IFS(F273&lt;=50,"Low",F273&lt;=100,"Medium",F273&lt;=150,"High",F273&gt;150,"Very High")</f>
        <v>High</v>
      </c>
    </row>
    <row r="274" spans="1:13" ht="14.25" customHeight="1" x14ac:dyDescent="0.4">
      <c r="A274" s="6" t="s">
        <v>308</v>
      </c>
      <c r="B274" s="6" t="s">
        <v>46</v>
      </c>
      <c r="C274" s="6">
        <v>149</v>
      </c>
      <c r="D274" s="7" t="s">
        <v>13</v>
      </c>
      <c r="E274" s="11">
        <v>45010</v>
      </c>
      <c r="F274" s="10">
        <v>60</v>
      </c>
      <c r="G274" s="6">
        <v>3.9</v>
      </c>
      <c r="H274" s="6">
        <f>IF(MONTH(Data!$E274)&lt;=6, YEAR(Data!$E274), YEAR(Data!$E274)+1)</f>
        <v>2023</v>
      </c>
      <c r="I274" s="6" t="str">
        <f>TEXT(Data!$E274,"DDDD")</f>
        <v>Saturday</v>
      </c>
      <c r="J274" s="6" t="s">
        <v>25</v>
      </c>
      <c r="K274" s="6">
        <f>ROUND(Data!$G274,0)</f>
        <v>4</v>
      </c>
      <c r="L274" t="str" cm="1">
        <f t="array" ref="L274">_xlfn.IFS(C274&lt;=15,"Very Short",C274&lt;=30,"Short",C274&lt;=60,"Medium",C274&gt;60,"Long")</f>
        <v>Long</v>
      </c>
      <c r="M274" t="str" cm="1">
        <f t="array" ref="M274">_xlfn.IFS(F274&lt;=50,"Low",F274&lt;=100,"Medium",F274&lt;=150,"High",F274&gt;150,"Very High")</f>
        <v>Medium</v>
      </c>
    </row>
    <row r="275" spans="1:13" ht="14.25" customHeight="1" x14ac:dyDescent="0.4">
      <c r="A275" s="6" t="s">
        <v>309</v>
      </c>
      <c r="B275" s="6" t="s">
        <v>58</v>
      </c>
      <c r="C275" s="6">
        <v>57</v>
      </c>
      <c r="D275" s="7" t="s">
        <v>35</v>
      </c>
      <c r="E275" s="11">
        <v>45010</v>
      </c>
      <c r="F275" s="10">
        <v>35</v>
      </c>
      <c r="G275" s="6">
        <v>3.5</v>
      </c>
      <c r="H275" s="6">
        <f>IF(MONTH(Data!$E275)&lt;=6, YEAR(Data!$E275), YEAR(Data!$E275)+1)</f>
        <v>2023</v>
      </c>
      <c r="I275" s="6" t="str">
        <f>TEXT(Data!$E275,"DDDD")</f>
        <v>Saturday</v>
      </c>
      <c r="J275" s="6" t="s">
        <v>27</v>
      </c>
      <c r="K275" s="6">
        <f>ROUND(Data!$G275,0)</f>
        <v>4</v>
      </c>
      <c r="L275" t="str" cm="1">
        <f t="array" ref="L275">_xlfn.IFS(C275&lt;=15,"Very Short",C275&lt;=30,"Short",C275&lt;=60,"Medium",C275&gt;60,"Long")</f>
        <v>Medium</v>
      </c>
      <c r="M275" t="str" cm="1">
        <f t="array" ref="M275">_xlfn.IFS(F275&lt;=50,"Low",F275&lt;=100,"Medium",F275&lt;=150,"High",F275&gt;150,"Very High")</f>
        <v>Low</v>
      </c>
    </row>
    <row r="276" spans="1:13" ht="14.25" customHeight="1" x14ac:dyDescent="0.4">
      <c r="A276" s="6" t="s">
        <v>310</v>
      </c>
      <c r="B276" s="6" t="s">
        <v>16</v>
      </c>
      <c r="C276" s="6">
        <v>113</v>
      </c>
      <c r="D276" s="7" t="s">
        <v>19</v>
      </c>
      <c r="E276" s="11">
        <v>45010</v>
      </c>
      <c r="F276" s="10">
        <v>81</v>
      </c>
      <c r="G276" s="6">
        <v>3.5</v>
      </c>
      <c r="H276" s="6">
        <f>IF(MONTH(Data!$E276)&lt;=6, YEAR(Data!$E276), YEAR(Data!$E276)+1)</f>
        <v>2023</v>
      </c>
      <c r="I276" s="6" t="str">
        <f>TEXT(Data!$E276,"DDDD")</f>
        <v>Saturday</v>
      </c>
      <c r="J276" s="6" t="s">
        <v>14</v>
      </c>
      <c r="K276" s="6">
        <f>ROUND(Data!$G276,0)</f>
        <v>4</v>
      </c>
      <c r="L276" t="str" cm="1">
        <f t="array" ref="L276">_xlfn.IFS(C276&lt;=15,"Very Short",C276&lt;=30,"Short",C276&lt;=60,"Medium",C276&gt;60,"Long")</f>
        <v>Long</v>
      </c>
      <c r="M276" t="str" cm="1">
        <f t="array" ref="M276">_xlfn.IFS(F276&lt;=50,"Low",F276&lt;=100,"Medium",F276&lt;=150,"High",F276&gt;150,"Very High")</f>
        <v>Medium</v>
      </c>
    </row>
    <row r="277" spans="1:13" ht="14.25" customHeight="1" x14ac:dyDescent="0.4">
      <c r="A277" s="6" t="s">
        <v>311</v>
      </c>
      <c r="B277" s="6" t="s">
        <v>12</v>
      </c>
      <c r="C277" s="6">
        <v>160</v>
      </c>
      <c r="D277" s="7" t="s">
        <v>13</v>
      </c>
      <c r="E277" s="11">
        <v>45010</v>
      </c>
      <c r="F277" s="10">
        <v>116</v>
      </c>
      <c r="G277" s="6">
        <v>3.4</v>
      </c>
      <c r="H277" s="6">
        <f>IF(MONTH(Data!$E277)&lt;=6, YEAR(Data!$E277), YEAR(Data!$E277)+1)</f>
        <v>2023</v>
      </c>
      <c r="I277" s="6" t="str">
        <f>TEXT(Data!$E277,"DDDD")</f>
        <v>Saturday</v>
      </c>
      <c r="J277" s="6" t="s">
        <v>25</v>
      </c>
      <c r="K277" s="6">
        <f>ROUND(Data!$G277,0)</f>
        <v>3</v>
      </c>
      <c r="L277" t="str" cm="1">
        <f t="array" ref="L277">_xlfn.IFS(C277&lt;=15,"Very Short",C277&lt;=30,"Short",C277&lt;=60,"Medium",C277&gt;60,"Long")</f>
        <v>Long</v>
      </c>
      <c r="M277" t="str" cm="1">
        <f t="array" ref="M277">_xlfn.IFS(F277&lt;=50,"Low",F277&lt;=100,"Medium",F277&lt;=150,"High",F277&gt;150,"Very High")</f>
        <v>High</v>
      </c>
    </row>
    <row r="278" spans="1:13" ht="14.25" customHeight="1" x14ac:dyDescent="0.4">
      <c r="A278" s="6" t="s">
        <v>312</v>
      </c>
      <c r="B278" s="6" t="s">
        <v>23</v>
      </c>
      <c r="C278" s="6">
        <v>158</v>
      </c>
      <c r="D278" s="7" t="s">
        <v>24</v>
      </c>
      <c r="E278" s="11">
        <v>45010</v>
      </c>
      <c r="F278" s="10">
        <v>60</v>
      </c>
      <c r="G278" s="6">
        <v>4.5</v>
      </c>
      <c r="H278" s="6">
        <f>IF(MONTH(Data!$E278)&lt;=6, YEAR(Data!$E278), YEAR(Data!$E278)+1)</f>
        <v>2023</v>
      </c>
      <c r="I278" s="6" t="str">
        <f>TEXT(Data!$E278,"DDDD")</f>
        <v>Saturday</v>
      </c>
      <c r="J278" s="6" t="s">
        <v>25</v>
      </c>
      <c r="K278" s="6">
        <f>ROUND(Data!$G278,0)</f>
        <v>5</v>
      </c>
      <c r="L278" t="str" cm="1">
        <f t="array" ref="L278">_xlfn.IFS(C278&lt;=15,"Very Short",C278&lt;=30,"Short",C278&lt;=60,"Medium",C278&gt;60,"Long")</f>
        <v>Long</v>
      </c>
      <c r="M278" t="str" cm="1">
        <f t="array" ref="M278">_xlfn.IFS(F278&lt;=50,"Low",F278&lt;=100,"Medium",F278&lt;=150,"High",F278&gt;150,"Very High")</f>
        <v>Medium</v>
      </c>
    </row>
    <row r="279" spans="1:13" ht="14.25" customHeight="1" x14ac:dyDescent="0.4">
      <c r="A279" s="6" t="s">
        <v>313</v>
      </c>
      <c r="B279" s="6" t="s">
        <v>50</v>
      </c>
      <c r="C279" s="6">
        <v>77</v>
      </c>
      <c r="D279" s="7" t="s">
        <v>13</v>
      </c>
      <c r="E279" s="11">
        <v>45011</v>
      </c>
      <c r="F279" s="10">
        <v>130</v>
      </c>
      <c r="G279" s="6">
        <v>4.2</v>
      </c>
      <c r="H279" s="6">
        <f>IF(MONTH(Data!$E279)&lt;=6, YEAR(Data!$E279), YEAR(Data!$E279)+1)</f>
        <v>2023</v>
      </c>
      <c r="I279" s="6" t="str">
        <f>TEXT(Data!$E279,"DDDD")</f>
        <v>Sunday</v>
      </c>
      <c r="J279" s="6" t="s">
        <v>14</v>
      </c>
      <c r="K279" s="6">
        <f>ROUND(Data!$G279,0)</f>
        <v>4</v>
      </c>
      <c r="L279" t="str" cm="1">
        <f t="array" ref="L279">_xlfn.IFS(C279&lt;=15,"Very Short",C279&lt;=30,"Short",C279&lt;=60,"Medium",C279&gt;60,"Long")</f>
        <v>Long</v>
      </c>
      <c r="M279" t="str" cm="1">
        <f t="array" ref="M279">_xlfn.IFS(F279&lt;=50,"Low",F279&lt;=100,"Medium",F279&lt;=150,"High",F279&gt;150,"Very High")</f>
        <v>High</v>
      </c>
    </row>
    <row r="280" spans="1:13" ht="14.25" customHeight="1" x14ac:dyDescent="0.4">
      <c r="A280" s="6" t="s">
        <v>314</v>
      </c>
      <c r="B280" s="6" t="s">
        <v>38</v>
      </c>
      <c r="C280" s="6">
        <v>118</v>
      </c>
      <c r="D280" s="7" t="s">
        <v>31</v>
      </c>
      <c r="E280" s="11">
        <v>45011</v>
      </c>
      <c r="F280" s="10">
        <v>99</v>
      </c>
      <c r="G280" s="6">
        <v>5</v>
      </c>
      <c r="H280" s="6">
        <f>IF(MONTH(Data!$E280)&lt;=6, YEAR(Data!$E280), YEAR(Data!$E280)+1)</f>
        <v>2023</v>
      </c>
      <c r="I280" s="6" t="str">
        <f>TEXT(Data!$E280,"DDDD")</f>
        <v>Sunday</v>
      </c>
      <c r="J280" s="6" t="s">
        <v>14</v>
      </c>
      <c r="K280" s="6">
        <f>ROUND(Data!$G280,0)</f>
        <v>5</v>
      </c>
      <c r="L280" t="str" cm="1">
        <f t="array" ref="L280">_xlfn.IFS(C280&lt;=15,"Very Short",C280&lt;=30,"Short",C280&lt;=60,"Medium",C280&gt;60,"Long")</f>
        <v>Long</v>
      </c>
      <c r="M280" t="str" cm="1">
        <f t="array" ref="M280">_xlfn.IFS(F280&lt;=50,"Low",F280&lt;=100,"Medium",F280&lt;=150,"High",F280&gt;150,"Very High")</f>
        <v>Medium</v>
      </c>
    </row>
    <row r="281" spans="1:13" ht="14.25" customHeight="1" x14ac:dyDescent="0.4">
      <c r="A281" s="6" t="s">
        <v>315</v>
      </c>
      <c r="B281" s="6" t="s">
        <v>55</v>
      </c>
      <c r="C281" s="6">
        <v>75</v>
      </c>
      <c r="D281" s="7" t="s">
        <v>19</v>
      </c>
      <c r="E281" s="11">
        <v>45011</v>
      </c>
      <c r="F281" s="10">
        <v>135</v>
      </c>
      <c r="G281" s="6">
        <v>4.7</v>
      </c>
      <c r="H281" s="6">
        <f>IF(MONTH(Data!$E281)&lt;=6, YEAR(Data!$E281), YEAR(Data!$E281)+1)</f>
        <v>2023</v>
      </c>
      <c r="I281" s="6" t="str">
        <f>TEXT(Data!$E281,"DDDD")</f>
        <v>Sunday</v>
      </c>
      <c r="J281" s="6" t="s">
        <v>14</v>
      </c>
      <c r="K281" s="6">
        <f>ROUND(Data!$G281,0)</f>
        <v>5</v>
      </c>
      <c r="L281" t="str" cm="1">
        <f t="array" ref="L281">_xlfn.IFS(C281&lt;=15,"Very Short",C281&lt;=30,"Short",C281&lt;=60,"Medium",C281&gt;60,"Long")</f>
        <v>Long</v>
      </c>
      <c r="M281" t="str" cm="1">
        <f t="array" ref="M281">_xlfn.IFS(F281&lt;=50,"Low",F281&lt;=100,"Medium",F281&lt;=150,"High",F281&gt;150,"Very High")</f>
        <v>High</v>
      </c>
    </row>
    <row r="282" spans="1:13" ht="14.25" customHeight="1" x14ac:dyDescent="0.4">
      <c r="A282" s="6" t="s">
        <v>316</v>
      </c>
      <c r="B282" s="6" t="s">
        <v>16</v>
      </c>
      <c r="C282" s="6">
        <v>103</v>
      </c>
      <c r="D282" s="7" t="s">
        <v>13</v>
      </c>
      <c r="E282" s="11">
        <v>45011</v>
      </c>
      <c r="F282" s="10">
        <v>42</v>
      </c>
      <c r="G282" s="6">
        <v>2.8</v>
      </c>
      <c r="H282" s="6">
        <f>IF(MONTH(Data!$E282)&lt;=6, YEAR(Data!$E282), YEAR(Data!$E282)+1)</f>
        <v>2023</v>
      </c>
      <c r="I282" s="6" t="str">
        <f>TEXT(Data!$E282,"DDDD")</f>
        <v>Sunday</v>
      </c>
      <c r="J282" s="6" t="s">
        <v>14</v>
      </c>
      <c r="K282" s="6">
        <f>ROUND(Data!$G282,0)</f>
        <v>3</v>
      </c>
      <c r="L282" t="str" cm="1">
        <f t="array" ref="L282">_xlfn.IFS(C282&lt;=15,"Very Short",C282&lt;=30,"Short",C282&lt;=60,"Medium",C282&gt;60,"Long")</f>
        <v>Long</v>
      </c>
      <c r="M282" t="str" cm="1">
        <f t="array" ref="M282">_xlfn.IFS(F282&lt;=50,"Low",F282&lt;=100,"Medium",F282&lt;=150,"High",F282&gt;150,"Very High")</f>
        <v>Low</v>
      </c>
    </row>
    <row r="283" spans="1:13" ht="14.25" customHeight="1" x14ac:dyDescent="0.4">
      <c r="A283" s="6" t="s">
        <v>317</v>
      </c>
      <c r="B283" s="6" t="s">
        <v>50</v>
      </c>
      <c r="C283" s="6">
        <v>116</v>
      </c>
      <c r="D283" s="7" t="s">
        <v>31</v>
      </c>
      <c r="E283" s="11">
        <v>45012</v>
      </c>
      <c r="F283" s="10">
        <v>63</v>
      </c>
      <c r="G283" s="6">
        <v>3.4</v>
      </c>
      <c r="H283" s="6">
        <f>IF(MONTH(Data!$E283)&lt;=6, YEAR(Data!$E283), YEAR(Data!$E283)+1)</f>
        <v>2023</v>
      </c>
      <c r="I283" s="6" t="str">
        <f>TEXT(Data!$E283,"DDDD")</f>
        <v>Monday</v>
      </c>
      <c r="J283" s="6" t="s">
        <v>14</v>
      </c>
      <c r="K283" s="6">
        <f>ROUND(Data!$G283,0)</f>
        <v>3</v>
      </c>
      <c r="L283" t="str" cm="1">
        <f t="array" ref="L283">_xlfn.IFS(C283&lt;=15,"Very Short",C283&lt;=30,"Short",C283&lt;=60,"Medium",C283&gt;60,"Long")</f>
        <v>Long</v>
      </c>
      <c r="M283" t="str" cm="1">
        <f t="array" ref="M283">_xlfn.IFS(F283&lt;=50,"Low",F283&lt;=100,"Medium",F283&lt;=150,"High",F283&gt;150,"Very High")</f>
        <v>Medium</v>
      </c>
    </row>
    <row r="284" spans="1:13" ht="14.25" customHeight="1" x14ac:dyDescent="0.4">
      <c r="A284" s="6" t="s">
        <v>318</v>
      </c>
      <c r="B284" s="6" t="s">
        <v>29</v>
      </c>
      <c r="C284" s="6">
        <v>61</v>
      </c>
      <c r="D284" s="7" t="s">
        <v>24</v>
      </c>
      <c r="E284" s="11">
        <v>45012</v>
      </c>
      <c r="F284" s="10">
        <v>140</v>
      </c>
      <c r="G284" s="6">
        <v>1.8</v>
      </c>
      <c r="H284" s="6">
        <f>IF(MONTH(Data!$E284)&lt;=6, YEAR(Data!$E284), YEAR(Data!$E284)+1)</f>
        <v>2023</v>
      </c>
      <c r="I284" s="6" t="str">
        <f>TEXT(Data!$E284,"DDDD")</f>
        <v>Monday</v>
      </c>
      <c r="J284" s="6" t="s">
        <v>14</v>
      </c>
      <c r="K284" s="6">
        <f>ROUND(Data!$G284,0)</f>
        <v>2</v>
      </c>
      <c r="L284" t="str" cm="1">
        <f t="array" ref="L284">_xlfn.IFS(C284&lt;=15,"Very Short",C284&lt;=30,"Short",C284&lt;=60,"Medium",C284&gt;60,"Long")</f>
        <v>Long</v>
      </c>
      <c r="M284" t="str" cm="1">
        <f t="array" ref="M284">_xlfn.IFS(F284&lt;=50,"Low",F284&lt;=100,"Medium",F284&lt;=150,"High",F284&gt;150,"Very High")</f>
        <v>High</v>
      </c>
    </row>
    <row r="285" spans="1:13" ht="14.25" customHeight="1" x14ac:dyDescent="0.4">
      <c r="A285" s="6" t="s">
        <v>319</v>
      </c>
      <c r="B285" s="6" t="s">
        <v>58</v>
      </c>
      <c r="C285" s="6">
        <v>126</v>
      </c>
      <c r="D285" s="7" t="s">
        <v>19</v>
      </c>
      <c r="E285" s="11">
        <v>45012</v>
      </c>
      <c r="F285" s="10">
        <v>128</v>
      </c>
      <c r="G285" s="6">
        <v>4.2</v>
      </c>
      <c r="H285" s="6">
        <f>IF(MONTH(Data!$E285)&lt;=6, YEAR(Data!$E285), YEAR(Data!$E285)+1)</f>
        <v>2023</v>
      </c>
      <c r="I285" s="6" t="str">
        <f>TEXT(Data!$E285,"DDDD")</f>
        <v>Monday</v>
      </c>
      <c r="J285" s="6" t="s">
        <v>25</v>
      </c>
      <c r="K285" s="6">
        <f>ROUND(Data!$G285,0)</f>
        <v>4</v>
      </c>
      <c r="L285" t="str" cm="1">
        <f t="array" ref="L285">_xlfn.IFS(C285&lt;=15,"Very Short",C285&lt;=30,"Short",C285&lt;=60,"Medium",C285&gt;60,"Long")</f>
        <v>Long</v>
      </c>
      <c r="M285" t="str" cm="1">
        <f t="array" ref="M285">_xlfn.IFS(F285&lt;=50,"Low",F285&lt;=100,"Medium",F285&lt;=150,"High",F285&gt;150,"Very High")</f>
        <v>High</v>
      </c>
    </row>
    <row r="286" spans="1:13" ht="14.25" customHeight="1" x14ac:dyDescent="0.4">
      <c r="A286" s="6" t="s">
        <v>320</v>
      </c>
      <c r="B286" s="6" t="s">
        <v>40</v>
      </c>
      <c r="C286" s="6">
        <v>141</v>
      </c>
      <c r="D286" s="7" t="s">
        <v>35</v>
      </c>
      <c r="E286" s="11">
        <v>45012</v>
      </c>
      <c r="F286" s="10">
        <v>80</v>
      </c>
      <c r="G286" s="6">
        <v>4.4000000000000004</v>
      </c>
      <c r="H286" s="6">
        <f>IF(MONTH(Data!$E286)&lt;=6, YEAR(Data!$E286), YEAR(Data!$E286)+1)</f>
        <v>2023</v>
      </c>
      <c r="I286" s="6" t="str">
        <f>TEXT(Data!$E286,"DDDD")</f>
        <v>Monday</v>
      </c>
      <c r="J286" s="6" t="s">
        <v>25</v>
      </c>
      <c r="K286" s="6">
        <f>ROUND(Data!$G286,0)</f>
        <v>4</v>
      </c>
      <c r="L286" t="str" cm="1">
        <f t="array" ref="L286">_xlfn.IFS(C286&lt;=15,"Very Short",C286&lt;=30,"Short",C286&lt;=60,"Medium",C286&gt;60,"Long")</f>
        <v>Long</v>
      </c>
      <c r="M286" t="str" cm="1">
        <f t="array" ref="M286">_xlfn.IFS(F286&lt;=50,"Low",F286&lt;=100,"Medium",F286&lt;=150,"High",F286&gt;150,"Very High")</f>
        <v>Medium</v>
      </c>
    </row>
    <row r="287" spans="1:13" ht="14.25" customHeight="1" x14ac:dyDescent="0.4">
      <c r="A287" s="6" t="s">
        <v>321</v>
      </c>
      <c r="B287" s="6" t="s">
        <v>23</v>
      </c>
      <c r="C287" s="6">
        <v>95</v>
      </c>
      <c r="D287" s="7" t="s">
        <v>31</v>
      </c>
      <c r="E287" s="11">
        <v>45012</v>
      </c>
      <c r="F287" s="10">
        <v>28</v>
      </c>
      <c r="G287" s="6">
        <v>2.7</v>
      </c>
      <c r="H287" s="6">
        <f>IF(MONTH(Data!$E287)&lt;=6, YEAR(Data!$E287), YEAR(Data!$E287)+1)</f>
        <v>2023</v>
      </c>
      <c r="I287" s="6" t="str">
        <f>TEXT(Data!$E287,"DDDD")</f>
        <v>Monday</v>
      </c>
      <c r="J287" s="6" t="s">
        <v>14</v>
      </c>
      <c r="K287" s="6">
        <f>ROUND(Data!$G287,0)</f>
        <v>3</v>
      </c>
      <c r="L287" t="str" cm="1">
        <f t="array" ref="L287">_xlfn.IFS(C287&lt;=15,"Very Short",C287&lt;=30,"Short",C287&lt;=60,"Medium",C287&gt;60,"Long")</f>
        <v>Long</v>
      </c>
      <c r="M287" t="str" cm="1">
        <f t="array" ref="M287">_xlfn.IFS(F287&lt;=50,"Low",F287&lt;=100,"Medium",F287&lt;=150,"High",F287&gt;150,"Very High")</f>
        <v>Low</v>
      </c>
    </row>
    <row r="288" spans="1:13" ht="14.25" customHeight="1" x14ac:dyDescent="0.4">
      <c r="A288" s="6" t="s">
        <v>322</v>
      </c>
      <c r="B288" s="6" t="s">
        <v>55</v>
      </c>
      <c r="C288" s="6">
        <v>39</v>
      </c>
      <c r="D288" s="7" t="s">
        <v>24</v>
      </c>
      <c r="E288" s="11">
        <v>45013</v>
      </c>
      <c r="F288" s="10">
        <v>81</v>
      </c>
      <c r="G288" s="6">
        <v>5</v>
      </c>
      <c r="H288" s="6">
        <f>IF(MONTH(Data!$E288)&lt;=6, YEAR(Data!$E288), YEAR(Data!$E288)+1)</f>
        <v>2023</v>
      </c>
      <c r="I288" s="6" t="str">
        <f>TEXT(Data!$E288,"DDDD")</f>
        <v>Tuesday</v>
      </c>
      <c r="J288" s="6" t="s">
        <v>27</v>
      </c>
      <c r="K288" s="6">
        <f>ROUND(Data!$G288,0)</f>
        <v>5</v>
      </c>
      <c r="L288" t="str" cm="1">
        <f t="array" ref="L288">_xlfn.IFS(C288&lt;=15,"Very Short",C288&lt;=30,"Short",C288&lt;=60,"Medium",C288&gt;60,"Long")</f>
        <v>Medium</v>
      </c>
      <c r="M288" t="str" cm="1">
        <f t="array" ref="M288">_xlfn.IFS(F288&lt;=50,"Low",F288&lt;=100,"Medium",F288&lt;=150,"High",F288&gt;150,"Very High")</f>
        <v>Medium</v>
      </c>
    </row>
    <row r="289" spans="1:13" ht="14.25" customHeight="1" x14ac:dyDescent="0.4">
      <c r="A289" s="6" t="s">
        <v>323</v>
      </c>
      <c r="B289" s="6" t="s">
        <v>16</v>
      </c>
      <c r="C289" s="6">
        <v>127</v>
      </c>
      <c r="D289" s="7" t="s">
        <v>19</v>
      </c>
      <c r="E289" s="11">
        <v>45013</v>
      </c>
      <c r="F289" s="10">
        <v>99</v>
      </c>
      <c r="G289" s="6">
        <v>3.9</v>
      </c>
      <c r="H289" s="6">
        <f>IF(MONTH(Data!$E289)&lt;=6, YEAR(Data!$E289), YEAR(Data!$E289)+1)</f>
        <v>2023</v>
      </c>
      <c r="I289" s="6" t="str">
        <f>TEXT(Data!$E289,"DDDD")</f>
        <v>Tuesday</v>
      </c>
      <c r="J289" s="6" t="s">
        <v>25</v>
      </c>
      <c r="K289" s="6">
        <f>ROUND(Data!$G289,0)</f>
        <v>4</v>
      </c>
      <c r="L289" t="str" cm="1">
        <f t="array" ref="L289">_xlfn.IFS(C289&lt;=15,"Very Short",C289&lt;=30,"Short",C289&lt;=60,"Medium",C289&gt;60,"Long")</f>
        <v>Long</v>
      </c>
      <c r="M289" t="str" cm="1">
        <f t="array" ref="M289">_xlfn.IFS(F289&lt;=50,"Low",F289&lt;=100,"Medium",F289&lt;=150,"High",F289&gt;150,"Very High")</f>
        <v>Medium</v>
      </c>
    </row>
    <row r="290" spans="1:13" ht="14.25" customHeight="1" x14ac:dyDescent="0.4">
      <c r="A290" s="6" t="s">
        <v>324</v>
      </c>
      <c r="B290" s="6" t="s">
        <v>29</v>
      </c>
      <c r="C290" s="6">
        <v>78</v>
      </c>
      <c r="D290" s="7" t="s">
        <v>19</v>
      </c>
      <c r="E290" s="11">
        <v>45013</v>
      </c>
      <c r="F290" s="10">
        <v>43</v>
      </c>
      <c r="G290" s="6">
        <v>3.8</v>
      </c>
      <c r="H290" s="6">
        <f>IF(MONTH(Data!$E290)&lt;=6, YEAR(Data!$E290), YEAR(Data!$E290)+1)</f>
        <v>2023</v>
      </c>
      <c r="I290" s="6" t="str">
        <f>TEXT(Data!$E290,"DDDD")</f>
        <v>Tuesday</v>
      </c>
      <c r="J290" s="6" t="s">
        <v>14</v>
      </c>
      <c r="K290" s="6">
        <f>ROUND(Data!$G290,0)</f>
        <v>4</v>
      </c>
      <c r="L290" t="str" cm="1">
        <f t="array" ref="L290">_xlfn.IFS(C290&lt;=15,"Very Short",C290&lt;=30,"Short",C290&lt;=60,"Medium",C290&gt;60,"Long")</f>
        <v>Long</v>
      </c>
      <c r="M290" t="str" cm="1">
        <f t="array" ref="M290">_xlfn.IFS(F290&lt;=50,"Low",F290&lt;=100,"Medium",F290&lt;=150,"High",F290&gt;150,"Very High")</f>
        <v>Low</v>
      </c>
    </row>
    <row r="291" spans="1:13" ht="14.25" customHeight="1" x14ac:dyDescent="0.4">
      <c r="A291" s="6" t="s">
        <v>325</v>
      </c>
      <c r="B291" s="6" t="s">
        <v>38</v>
      </c>
      <c r="C291" s="6">
        <v>40</v>
      </c>
      <c r="D291" s="7" t="s">
        <v>19</v>
      </c>
      <c r="E291" s="11">
        <v>45013</v>
      </c>
      <c r="F291" s="10">
        <v>34</v>
      </c>
      <c r="G291" s="6">
        <v>4.5999999999999996</v>
      </c>
      <c r="H291" s="6">
        <f>IF(MONTH(Data!$E291)&lt;=6, YEAR(Data!$E291), YEAR(Data!$E291)+1)</f>
        <v>2023</v>
      </c>
      <c r="I291" s="6" t="str">
        <f>TEXT(Data!$E291,"DDDD")</f>
        <v>Tuesday</v>
      </c>
      <c r="J291" s="6" t="s">
        <v>27</v>
      </c>
      <c r="K291" s="6">
        <f>ROUND(Data!$G291,0)</f>
        <v>5</v>
      </c>
      <c r="L291" t="str" cm="1">
        <f t="array" ref="L291">_xlfn.IFS(C291&lt;=15,"Very Short",C291&lt;=30,"Short",C291&lt;=60,"Medium",C291&gt;60,"Long")</f>
        <v>Medium</v>
      </c>
      <c r="M291" t="str" cm="1">
        <f t="array" ref="M291">_xlfn.IFS(F291&lt;=50,"Low",F291&lt;=100,"Medium",F291&lt;=150,"High",F291&gt;150,"Very High")</f>
        <v>Low</v>
      </c>
    </row>
    <row r="292" spans="1:13" ht="14.25" customHeight="1" x14ac:dyDescent="0.4">
      <c r="A292" s="6" t="s">
        <v>326</v>
      </c>
      <c r="B292" s="6" t="s">
        <v>29</v>
      </c>
      <c r="C292" s="6">
        <v>56</v>
      </c>
      <c r="D292" s="7" t="s">
        <v>24</v>
      </c>
      <c r="E292" s="11">
        <v>45013</v>
      </c>
      <c r="F292" s="10">
        <v>225</v>
      </c>
      <c r="G292" s="6">
        <v>4.5999999999999996</v>
      </c>
      <c r="H292" s="6">
        <f>IF(MONTH(Data!$E292)&lt;=6, YEAR(Data!$E292), YEAR(Data!$E292)+1)</f>
        <v>2023</v>
      </c>
      <c r="I292" s="6" t="str">
        <f>TEXT(Data!$E292,"DDDD")</f>
        <v>Tuesday</v>
      </c>
      <c r="J292" s="6" t="s">
        <v>27</v>
      </c>
      <c r="K292" s="6">
        <f>ROUND(Data!$G292,0)</f>
        <v>5</v>
      </c>
      <c r="L292" t="str" cm="1">
        <f t="array" ref="L292">_xlfn.IFS(C292&lt;=15,"Very Short",C292&lt;=30,"Short",C292&lt;=60,"Medium",C292&gt;60,"Long")</f>
        <v>Medium</v>
      </c>
      <c r="M292" t="str" cm="1">
        <f t="array" ref="M292">_xlfn.IFS(F292&lt;=50,"Low",F292&lt;=100,"Medium",F292&lt;=150,"High",F292&gt;150,"Very High")</f>
        <v>Very High</v>
      </c>
    </row>
    <row r="293" spans="1:13" ht="14.25" customHeight="1" x14ac:dyDescent="0.4">
      <c r="A293" s="6" t="s">
        <v>327</v>
      </c>
      <c r="B293" s="6" t="s">
        <v>55</v>
      </c>
      <c r="C293" s="6">
        <v>59</v>
      </c>
      <c r="D293" s="7" t="s">
        <v>35</v>
      </c>
      <c r="E293" s="11">
        <v>45013</v>
      </c>
      <c r="F293" s="10">
        <v>210</v>
      </c>
      <c r="G293" s="6">
        <v>4.5</v>
      </c>
      <c r="H293" s="6">
        <f>IF(MONTH(Data!$E293)&lt;=6, YEAR(Data!$E293), YEAR(Data!$E293)+1)</f>
        <v>2023</v>
      </c>
      <c r="I293" s="6" t="str">
        <f>TEXT(Data!$E293,"DDDD")</f>
        <v>Tuesday</v>
      </c>
      <c r="J293" s="6" t="s">
        <v>27</v>
      </c>
      <c r="K293" s="6">
        <f>ROUND(Data!$G293,0)</f>
        <v>5</v>
      </c>
      <c r="L293" t="str" cm="1">
        <f t="array" ref="L293">_xlfn.IFS(C293&lt;=15,"Very Short",C293&lt;=30,"Short",C293&lt;=60,"Medium",C293&gt;60,"Long")</f>
        <v>Medium</v>
      </c>
      <c r="M293" t="str" cm="1">
        <f t="array" ref="M293">_xlfn.IFS(F293&lt;=50,"Low",F293&lt;=100,"Medium",F293&lt;=150,"High",F293&gt;150,"Very High")</f>
        <v>Very High</v>
      </c>
    </row>
    <row r="294" spans="1:13" ht="14.25" customHeight="1" x14ac:dyDescent="0.4">
      <c r="A294" s="6" t="s">
        <v>328</v>
      </c>
      <c r="B294" s="6" t="s">
        <v>58</v>
      </c>
      <c r="C294" s="6">
        <v>30</v>
      </c>
      <c r="D294" s="7" t="s">
        <v>19</v>
      </c>
      <c r="E294" s="11">
        <v>45013</v>
      </c>
      <c r="F294" s="10">
        <v>168</v>
      </c>
      <c r="G294" s="6">
        <v>4.2</v>
      </c>
      <c r="H294" s="6">
        <f>IF(MONTH(Data!$E294)&lt;=6, YEAR(Data!$E294), YEAR(Data!$E294)+1)</f>
        <v>2023</v>
      </c>
      <c r="I294" s="6" t="str">
        <f>TEXT(Data!$E294,"DDDD")</f>
        <v>Tuesday</v>
      </c>
      <c r="J294" s="6" t="s">
        <v>47</v>
      </c>
      <c r="K294" s="6">
        <f>ROUND(Data!$G294,0)</f>
        <v>4</v>
      </c>
      <c r="L294" t="str" cm="1">
        <f t="array" ref="L294">_xlfn.IFS(C294&lt;=15,"Very Short",C294&lt;=30,"Short",C294&lt;=60,"Medium",C294&gt;60,"Long")</f>
        <v>Short</v>
      </c>
      <c r="M294" t="str" cm="1">
        <f t="array" ref="M294">_xlfn.IFS(F294&lt;=50,"Low",F294&lt;=100,"Medium",F294&lt;=150,"High",F294&gt;150,"Very High")</f>
        <v>Very High</v>
      </c>
    </row>
    <row r="295" spans="1:13" ht="14.25" customHeight="1" x14ac:dyDescent="0.4">
      <c r="A295" s="6" t="s">
        <v>329</v>
      </c>
      <c r="B295" s="6" t="s">
        <v>38</v>
      </c>
      <c r="C295" s="6">
        <v>63</v>
      </c>
      <c r="D295" s="7" t="s">
        <v>13</v>
      </c>
      <c r="E295" s="11">
        <v>45014</v>
      </c>
      <c r="F295" s="10">
        <v>82</v>
      </c>
      <c r="G295" s="6">
        <v>4.5</v>
      </c>
      <c r="H295" s="6">
        <f>IF(MONTH(Data!$E295)&lt;=6, YEAR(Data!$E295), YEAR(Data!$E295)+1)</f>
        <v>2023</v>
      </c>
      <c r="I295" s="6" t="str">
        <f>TEXT(Data!$E295,"DDDD")</f>
        <v>Wednesday</v>
      </c>
      <c r="J295" s="6" t="s">
        <v>14</v>
      </c>
      <c r="K295" s="6">
        <f>ROUND(Data!$G295,0)</f>
        <v>5</v>
      </c>
      <c r="L295" t="str" cm="1">
        <f t="array" ref="L295">_xlfn.IFS(C295&lt;=15,"Very Short",C295&lt;=30,"Short",C295&lt;=60,"Medium",C295&gt;60,"Long")</f>
        <v>Long</v>
      </c>
      <c r="M295" t="str" cm="1">
        <f t="array" ref="M295">_xlfn.IFS(F295&lt;=50,"Low",F295&lt;=100,"Medium",F295&lt;=150,"High",F295&gt;150,"Very High")</f>
        <v>Medium</v>
      </c>
    </row>
    <row r="296" spans="1:13" ht="14.25" customHeight="1" x14ac:dyDescent="0.4">
      <c r="A296" s="6" t="s">
        <v>330</v>
      </c>
      <c r="B296" s="6" t="s">
        <v>18</v>
      </c>
      <c r="C296" s="6">
        <v>56</v>
      </c>
      <c r="D296" s="7" t="s">
        <v>31</v>
      </c>
      <c r="E296" s="11">
        <v>45014</v>
      </c>
      <c r="F296" s="10">
        <v>88</v>
      </c>
      <c r="G296" s="6">
        <v>4.0999999999999996</v>
      </c>
      <c r="H296" s="6">
        <f>IF(MONTH(Data!$E296)&lt;=6, YEAR(Data!$E296), YEAR(Data!$E296)+1)</f>
        <v>2023</v>
      </c>
      <c r="I296" s="6" t="str">
        <f>TEXT(Data!$E296,"DDDD")</f>
        <v>Wednesday</v>
      </c>
      <c r="J296" s="6" t="s">
        <v>27</v>
      </c>
      <c r="K296" s="6">
        <f>ROUND(Data!$G296,0)</f>
        <v>4</v>
      </c>
      <c r="L296" t="str" cm="1">
        <f t="array" ref="L296">_xlfn.IFS(C296&lt;=15,"Very Short",C296&lt;=30,"Short",C296&lt;=60,"Medium",C296&gt;60,"Long")</f>
        <v>Medium</v>
      </c>
      <c r="M296" t="str" cm="1">
        <f t="array" ref="M296">_xlfn.IFS(F296&lt;=50,"Low",F296&lt;=100,"Medium",F296&lt;=150,"High",F296&gt;150,"Very High")</f>
        <v>Medium</v>
      </c>
    </row>
    <row r="297" spans="1:13" ht="14.25" customHeight="1" x14ac:dyDescent="0.4">
      <c r="A297" s="6" t="s">
        <v>331</v>
      </c>
      <c r="B297" s="6" t="s">
        <v>88</v>
      </c>
      <c r="C297" s="6">
        <v>95</v>
      </c>
      <c r="D297" s="7" t="s">
        <v>13</v>
      </c>
      <c r="E297" s="11">
        <v>45014</v>
      </c>
      <c r="F297" s="10">
        <v>111</v>
      </c>
      <c r="G297" s="6">
        <v>3.3</v>
      </c>
      <c r="H297" s="6">
        <f>IF(MONTH(Data!$E297)&lt;=6, YEAR(Data!$E297), YEAR(Data!$E297)+1)</f>
        <v>2023</v>
      </c>
      <c r="I297" s="6" t="str">
        <f>TEXT(Data!$E297,"DDDD")</f>
        <v>Wednesday</v>
      </c>
      <c r="J297" s="6" t="s">
        <v>14</v>
      </c>
      <c r="K297" s="6">
        <f>ROUND(Data!$G297,0)</f>
        <v>3</v>
      </c>
      <c r="L297" t="str" cm="1">
        <f t="array" ref="L297">_xlfn.IFS(C297&lt;=15,"Very Short",C297&lt;=30,"Short",C297&lt;=60,"Medium",C297&gt;60,"Long")</f>
        <v>Long</v>
      </c>
      <c r="M297" t="str" cm="1">
        <f t="array" ref="M297">_xlfn.IFS(F297&lt;=50,"Low",F297&lt;=100,"Medium",F297&lt;=150,"High",F297&gt;150,"Very High")</f>
        <v>High</v>
      </c>
    </row>
    <row r="298" spans="1:13" ht="14.25" customHeight="1" x14ac:dyDescent="0.4">
      <c r="A298" s="6" t="s">
        <v>332</v>
      </c>
      <c r="B298" s="6" t="s">
        <v>68</v>
      </c>
      <c r="C298" s="6">
        <v>128</v>
      </c>
      <c r="D298" s="7" t="s">
        <v>35</v>
      </c>
      <c r="E298" s="11">
        <v>45014</v>
      </c>
      <c r="F298" s="10">
        <v>60</v>
      </c>
      <c r="G298" s="6">
        <v>3.8</v>
      </c>
      <c r="H298" s="6">
        <f>IF(MONTH(Data!$E298)&lt;=6, YEAR(Data!$E298), YEAR(Data!$E298)+1)</f>
        <v>2023</v>
      </c>
      <c r="I298" s="6" t="str">
        <f>TEXT(Data!$E298,"DDDD")</f>
        <v>Wednesday</v>
      </c>
      <c r="J298" s="6" t="s">
        <v>25</v>
      </c>
      <c r="K298" s="6">
        <f>ROUND(Data!$G298,0)</f>
        <v>4</v>
      </c>
      <c r="L298" t="str" cm="1">
        <f t="array" ref="L298">_xlfn.IFS(C298&lt;=15,"Very Short",C298&lt;=30,"Short",C298&lt;=60,"Medium",C298&gt;60,"Long")</f>
        <v>Long</v>
      </c>
      <c r="M298" t="str" cm="1">
        <f t="array" ref="M298">_xlfn.IFS(F298&lt;=50,"Low",F298&lt;=100,"Medium",F298&lt;=150,"High",F298&gt;150,"Very High")</f>
        <v>Medium</v>
      </c>
    </row>
    <row r="299" spans="1:13" ht="14.25" customHeight="1" x14ac:dyDescent="0.4">
      <c r="A299" s="6" t="s">
        <v>333</v>
      </c>
      <c r="B299" s="6" t="s">
        <v>23</v>
      </c>
      <c r="C299" s="6">
        <v>49</v>
      </c>
      <c r="D299" s="7" t="s">
        <v>13</v>
      </c>
      <c r="E299" s="11">
        <v>45014</v>
      </c>
      <c r="F299" s="10">
        <v>80</v>
      </c>
      <c r="G299" s="6">
        <v>3</v>
      </c>
      <c r="H299" s="6">
        <f>IF(MONTH(Data!$E299)&lt;=6, YEAR(Data!$E299), YEAR(Data!$E299)+1)</f>
        <v>2023</v>
      </c>
      <c r="I299" s="6" t="str">
        <f>TEXT(Data!$E299,"DDDD")</f>
        <v>Wednesday</v>
      </c>
      <c r="J299" s="6" t="s">
        <v>27</v>
      </c>
      <c r="K299" s="6">
        <f>ROUND(Data!$G299,0)</f>
        <v>3</v>
      </c>
      <c r="L299" t="str" cm="1">
        <f t="array" ref="L299">_xlfn.IFS(C299&lt;=15,"Very Short",C299&lt;=30,"Short",C299&lt;=60,"Medium",C299&gt;60,"Long")</f>
        <v>Medium</v>
      </c>
      <c r="M299" t="str" cm="1">
        <f t="array" ref="M299">_xlfn.IFS(F299&lt;=50,"Low",F299&lt;=100,"Medium",F299&lt;=150,"High",F299&gt;150,"Very High")</f>
        <v>Medium</v>
      </c>
    </row>
    <row r="300" spans="1:13" ht="14.25" customHeight="1" x14ac:dyDescent="0.4">
      <c r="A300" s="6" t="s">
        <v>334</v>
      </c>
      <c r="B300" s="6" t="s">
        <v>68</v>
      </c>
      <c r="C300" s="6">
        <v>89</v>
      </c>
      <c r="D300" s="7" t="s">
        <v>24</v>
      </c>
      <c r="E300" s="11">
        <v>45016</v>
      </c>
      <c r="F300" s="10">
        <v>90</v>
      </c>
      <c r="G300" s="6">
        <v>4.5999999999999996</v>
      </c>
      <c r="H300" s="6">
        <f>IF(MONTH(Data!$E300)&lt;=6, YEAR(Data!$E300), YEAR(Data!$E300)+1)</f>
        <v>2023</v>
      </c>
      <c r="I300" s="6" t="str">
        <f>TEXT(Data!$E300,"DDDD")</f>
        <v>Friday</v>
      </c>
      <c r="J300" s="6" t="s">
        <v>14</v>
      </c>
      <c r="K300" s="6">
        <f>ROUND(Data!$G300,0)</f>
        <v>5</v>
      </c>
      <c r="L300" t="str" cm="1">
        <f t="array" ref="L300">_xlfn.IFS(C300&lt;=15,"Very Short",C300&lt;=30,"Short",C300&lt;=60,"Medium",C300&gt;60,"Long")</f>
        <v>Long</v>
      </c>
      <c r="M300" t="str" cm="1">
        <f t="array" ref="M300">_xlfn.IFS(F300&lt;=50,"Low",F300&lt;=100,"Medium",F300&lt;=150,"High",F300&gt;150,"Very High")</f>
        <v>Medium</v>
      </c>
    </row>
    <row r="301" spans="1:13" ht="14.25" customHeight="1" x14ac:dyDescent="0.4">
      <c r="A301" s="6" t="s">
        <v>335</v>
      </c>
      <c r="B301" s="6" t="s">
        <v>46</v>
      </c>
      <c r="C301" s="6">
        <v>87</v>
      </c>
      <c r="D301" s="7" t="s">
        <v>13</v>
      </c>
      <c r="E301" s="11">
        <v>45016</v>
      </c>
      <c r="F301" s="10">
        <v>225</v>
      </c>
      <c r="G301" s="6">
        <v>2.9</v>
      </c>
      <c r="H301" s="6">
        <f>IF(MONTH(Data!$E301)&lt;=6, YEAR(Data!$E301), YEAR(Data!$E301)+1)</f>
        <v>2023</v>
      </c>
      <c r="I301" s="6" t="str">
        <f>TEXT(Data!$E301,"DDDD")</f>
        <v>Friday</v>
      </c>
      <c r="J301" s="6" t="s">
        <v>14</v>
      </c>
      <c r="K301" s="6">
        <f>ROUND(Data!$G301,0)</f>
        <v>3</v>
      </c>
      <c r="L301" t="str" cm="1">
        <f t="array" ref="L301">_xlfn.IFS(C301&lt;=15,"Very Short",C301&lt;=30,"Short",C301&lt;=60,"Medium",C301&gt;60,"Long")</f>
        <v>Long</v>
      </c>
      <c r="M301" t="str" cm="1">
        <f t="array" ref="M301">_xlfn.IFS(F301&lt;=50,"Low",F301&lt;=100,"Medium",F301&lt;=150,"High",F301&gt;150,"Very High")</f>
        <v>Very High</v>
      </c>
    </row>
    <row r="302" spans="1:13" ht="14.25" customHeight="1" x14ac:dyDescent="0.4">
      <c r="A302" s="6" t="s">
        <v>336</v>
      </c>
      <c r="B302" s="6" t="s">
        <v>12</v>
      </c>
      <c r="C302" s="6">
        <v>60</v>
      </c>
      <c r="D302" s="7" t="s">
        <v>19</v>
      </c>
      <c r="E302" s="11">
        <v>45017</v>
      </c>
      <c r="F302" s="10">
        <v>215</v>
      </c>
      <c r="G302" s="6">
        <v>3.2</v>
      </c>
      <c r="H302" s="6">
        <f>IF(MONTH(Data!$E302)&lt;=6, YEAR(Data!$E302), YEAR(Data!$E302)+1)</f>
        <v>2023</v>
      </c>
      <c r="I302" s="6" t="str">
        <f>TEXT(Data!$E302,"DDDD")</f>
        <v>Saturday</v>
      </c>
      <c r="J302" s="6" t="s">
        <v>27</v>
      </c>
      <c r="K302" s="6">
        <f>ROUND(Data!$G302,0)</f>
        <v>3</v>
      </c>
      <c r="L302" t="str" cm="1">
        <f t="array" ref="L302">_xlfn.IFS(C302&lt;=15,"Very Short",C302&lt;=30,"Short",C302&lt;=60,"Medium",C302&gt;60,"Long")</f>
        <v>Medium</v>
      </c>
      <c r="M302" t="str" cm="1">
        <f t="array" ref="M302">_xlfn.IFS(F302&lt;=50,"Low",F302&lt;=100,"Medium",F302&lt;=150,"High",F302&gt;150,"Very High")</f>
        <v>Very High</v>
      </c>
    </row>
    <row r="303" spans="1:13" ht="14.25" customHeight="1" x14ac:dyDescent="0.4">
      <c r="A303" s="6" t="s">
        <v>337</v>
      </c>
      <c r="B303" s="6" t="s">
        <v>21</v>
      </c>
      <c r="C303" s="6">
        <v>42</v>
      </c>
      <c r="D303" s="7" t="s">
        <v>24</v>
      </c>
      <c r="E303" s="11">
        <v>45017</v>
      </c>
      <c r="F303" s="10">
        <v>45</v>
      </c>
      <c r="G303" s="6">
        <v>1.5</v>
      </c>
      <c r="H303" s="6">
        <f>IF(MONTH(Data!$E303)&lt;=6, YEAR(Data!$E303), YEAR(Data!$E303)+1)</f>
        <v>2023</v>
      </c>
      <c r="I303" s="6" t="str">
        <f>TEXT(Data!$E303,"DDDD")</f>
        <v>Saturday</v>
      </c>
      <c r="J303" s="6" t="s">
        <v>27</v>
      </c>
      <c r="K303" s="6">
        <f>ROUND(Data!$G303,0)</f>
        <v>2</v>
      </c>
      <c r="L303" t="str" cm="1">
        <f t="array" ref="L303">_xlfn.IFS(C303&lt;=15,"Very Short",C303&lt;=30,"Short",C303&lt;=60,"Medium",C303&gt;60,"Long")</f>
        <v>Medium</v>
      </c>
      <c r="M303" t="str" cm="1">
        <f t="array" ref="M303">_xlfn.IFS(F303&lt;=50,"Low",F303&lt;=100,"Medium",F303&lt;=150,"High",F303&gt;150,"Very High")</f>
        <v>Low</v>
      </c>
    </row>
    <row r="304" spans="1:13" ht="14.25" customHeight="1" x14ac:dyDescent="0.4">
      <c r="A304" s="6" t="s">
        <v>338</v>
      </c>
      <c r="B304" s="6" t="s">
        <v>34</v>
      </c>
      <c r="C304" s="6">
        <v>99</v>
      </c>
      <c r="D304" s="7" t="s">
        <v>19</v>
      </c>
      <c r="E304" s="11">
        <v>45017</v>
      </c>
      <c r="F304" s="10">
        <v>74</v>
      </c>
      <c r="G304" s="6">
        <v>4</v>
      </c>
      <c r="H304" s="6">
        <f>IF(MONTH(Data!$E304)&lt;=6, YEAR(Data!$E304), YEAR(Data!$E304)+1)</f>
        <v>2023</v>
      </c>
      <c r="I304" s="6" t="str">
        <f>TEXT(Data!$E304,"DDDD")</f>
        <v>Saturday</v>
      </c>
      <c r="J304" s="6" t="s">
        <v>14</v>
      </c>
      <c r="K304" s="6">
        <f>ROUND(Data!$G304,0)</f>
        <v>4</v>
      </c>
      <c r="L304" t="str" cm="1">
        <f t="array" ref="L304">_xlfn.IFS(C304&lt;=15,"Very Short",C304&lt;=30,"Short",C304&lt;=60,"Medium",C304&gt;60,"Long")</f>
        <v>Long</v>
      </c>
      <c r="M304" t="str" cm="1">
        <f t="array" ref="M304">_xlfn.IFS(F304&lt;=50,"Low",F304&lt;=100,"Medium",F304&lt;=150,"High",F304&gt;150,"Very High")</f>
        <v>Medium</v>
      </c>
    </row>
    <row r="305" spans="1:13" ht="14.25" customHeight="1" x14ac:dyDescent="0.4">
      <c r="A305" s="6" t="s">
        <v>339</v>
      </c>
      <c r="B305" s="6" t="s">
        <v>18</v>
      </c>
      <c r="C305" s="6">
        <v>20</v>
      </c>
      <c r="D305" s="7" t="s">
        <v>24</v>
      </c>
      <c r="E305" s="11">
        <v>45017</v>
      </c>
      <c r="F305" s="10">
        <v>60</v>
      </c>
      <c r="G305" s="6">
        <v>3.6</v>
      </c>
      <c r="H305" s="6">
        <f>IF(MONTH(Data!$E305)&lt;=6, YEAR(Data!$E305), YEAR(Data!$E305)+1)</f>
        <v>2023</v>
      </c>
      <c r="I305" s="6" t="str">
        <f>TEXT(Data!$E305,"DDDD")</f>
        <v>Saturday</v>
      </c>
      <c r="J305" s="6" t="s">
        <v>47</v>
      </c>
      <c r="K305" s="6">
        <f>ROUND(Data!$G305,0)</f>
        <v>4</v>
      </c>
      <c r="L305" t="str" cm="1">
        <f t="array" ref="L305">_xlfn.IFS(C305&lt;=15,"Very Short",C305&lt;=30,"Short",C305&lt;=60,"Medium",C305&gt;60,"Long")</f>
        <v>Short</v>
      </c>
      <c r="M305" t="str" cm="1">
        <f t="array" ref="M305">_xlfn.IFS(F305&lt;=50,"Low",F305&lt;=100,"Medium",F305&lt;=150,"High",F305&gt;150,"Very High")</f>
        <v>Medium</v>
      </c>
    </row>
    <row r="306" spans="1:13" ht="14.25" customHeight="1" x14ac:dyDescent="0.4">
      <c r="A306" s="6" t="s">
        <v>340</v>
      </c>
      <c r="B306" s="6" t="s">
        <v>38</v>
      </c>
      <c r="C306" s="6">
        <v>65</v>
      </c>
      <c r="D306" s="7" t="s">
        <v>19</v>
      </c>
      <c r="E306" s="11">
        <v>45017</v>
      </c>
      <c r="F306" s="10">
        <v>64</v>
      </c>
      <c r="G306" s="6">
        <v>3.7</v>
      </c>
      <c r="H306" s="6">
        <f>IF(MONTH(Data!$E306)&lt;=6, YEAR(Data!$E306), YEAR(Data!$E306)+1)</f>
        <v>2023</v>
      </c>
      <c r="I306" s="6" t="str">
        <f>TEXT(Data!$E306,"DDDD")</f>
        <v>Saturday</v>
      </c>
      <c r="J306" s="6" t="s">
        <v>14</v>
      </c>
      <c r="K306" s="6">
        <f>ROUND(Data!$G306,0)</f>
        <v>4</v>
      </c>
      <c r="L306" t="str" cm="1">
        <f t="array" ref="L306">_xlfn.IFS(C306&lt;=15,"Very Short",C306&lt;=30,"Short",C306&lt;=60,"Medium",C306&gt;60,"Long")</f>
        <v>Long</v>
      </c>
      <c r="M306" t="str" cm="1">
        <f t="array" ref="M306">_xlfn.IFS(F306&lt;=50,"Low",F306&lt;=100,"Medium",F306&lt;=150,"High",F306&gt;150,"Very High")</f>
        <v>Medium</v>
      </c>
    </row>
    <row r="307" spans="1:13" ht="14.25" customHeight="1" x14ac:dyDescent="0.4">
      <c r="A307" s="6" t="s">
        <v>341</v>
      </c>
      <c r="B307" s="6" t="s">
        <v>58</v>
      </c>
      <c r="C307" s="6">
        <v>71</v>
      </c>
      <c r="D307" s="7" t="s">
        <v>13</v>
      </c>
      <c r="E307" s="11">
        <v>45018</v>
      </c>
      <c r="F307" s="10">
        <v>110</v>
      </c>
      <c r="G307" s="6">
        <v>4.8</v>
      </c>
      <c r="H307" s="6">
        <f>IF(MONTH(Data!$E307)&lt;=6, YEAR(Data!$E307), YEAR(Data!$E307)+1)</f>
        <v>2023</v>
      </c>
      <c r="I307" s="6" t="str">
        <f>TEXT(Data!$E307,"DDDD")</f>
        <v>Sunday</v>
      </c>
      <c r="J307" s="6" t="s">
        <v>14</v>
      </c>
      <c r="K307" s="6">
        <f>ROUND(Data!$G307,0)</f>
        <v>5</v>
      </c>
      <c r="L307" t="str" cm="1">
        <f t="array" ref="L307">_xlfn.IFS(C307&lt;=15,"Very Short",C307&lt;=30,"Short",C307&lt;=60,"Medium",C307&gt;60,"Long")</f>
        <v>Long</v>
      </c>
      <c r="M307" t="str" cm="1">
        <f t="array" ref="M307">_xlfn.IFS(F307&lt;=50,"Low",F307&lt;=100,"Medium",F307&lt;=150,"High",F307&gt;150,"Very High")</f>
        <v>High</v>
      </c>
    </row>
    <row r="308" spans="1:13" ht="14.25" customHeight="1" x14ac:dyDescent="0.4">
      <c r="A308" s="6" t="s">
        <v>342</v>
      </c>
      <c r="B308" s="6" t="s">
        <v>16</v>
      </c>
      <c r="C308" s="6">
        <v>95</v>
      </c>
      <c r="D308" s="7" t="s">
        <v>35</v>
      </c>
      <c r="E308" s="11">
        <v>45018</v>
      </c>
      <c r="F308" s="10">
        <v>52</v>
      </c>
      <c r="G308" s="6">
        <v>1.2</v>
      </c>
      <c r="H308" s="6">
        <f>IF(MONTH(Data!$E308)&lt;=6, YEAR(Data!$E308), YEAR(Data!$E308)+1)</f>
        <v>2023</v>
      </c>
      <c r="I308" s="6" t="str">
        <f>TEXT(Data!$E308,"DDDD")</f>
        <v>Sunday</v>
      </c>
      <c r="J308" s="6" t="s">
        <v>14</v>
      </c>
      <c r="K308" s="6">
        <f>ROUND(Data!$G308,0)</f>
        <v>1</v>
      </c>
      <c r="L308" t="str" cm="1">
        <f t="array" ref="L308">_xlfn.IFS(C308&lt;=15,"Very Short",C308&lt;=30,"Short",C308&lt;=60,"Medium",C308&gt;60,"Long")</f>
        <v>Long</v>
      </c>
      <c r="M308" t="str" cm="1">
        <f t="array" ref="M308">_xlfn.IFS(F308&lt;=50,"Low",F308&lt;=100,"Medium",F308&lt;=150,"High",F308&gt;150,"Very High")</f>
        <v>Medium</v>
      </c>
    </row>
    <row r="309" spans="1:13" ht="14.25" customHeight="1" x14ac:dyDescent="0.4">
      <c r="A309" s="6" t="s">
        <v>343</v>
      </c>
      <c r="B309" s="6" t="s">
        <v>18</v>
      </c>
      <c r="C309" s="6">
        <v>81</v>
      </c>
      <c r="D309" s="7" t="s">
        <v>31</v>
      </c>
      <c r="E309" s="11">
        <v>45019</v>
      </c>
      <c r="F309" s="10">
        <v>160</v>
      </c>
      <c r="G309" s="6">
        <v>4.7</v>
      </c>
      <c r="H309" s="6">
        <f>IF(MONTH(Data!$E309)&lt;=6, YEAR(Data!$E309), YEAR(Data!$E309)+1)</f>
        <v>2023</v>
      </c>
      <c r="I309" s="6" t="str">
        <f>TEXT(Data!$E309,"DDDD")</f>
        <v>Monday</v>
      </c>
      <c r="J309" s="6" t="s">
        <v>14</v>
      </c>
      <c r="K309" s="6">
        <f>ROUND(Data!$G309,0)</f>
        <v>5</v>
      </c>
      <c r="L309" t="str" cm="1">
        <f t="array" ref="L309">_xlfn.IFS(C309&lt;=15,"Very Short",C309&lt;=30,"Short",C309&lt;=60,"Medium",C309&gt;60,"Long")</f>
        <v>Long</v>
      </c>
      <c r="M309" t="str" cm="1">
        <f t="array" ref="M309">_xlfn.IFS(F309&lt;=50,"Low",F309&lt;=100,"Medium",F309&lt;=150,"High",F309&gt;150,"Very High")</f>
        <v>Very High</v>
      </c>
    </row>
    <row r="310" spans="1:13" ht="14.25" customHeight="1" x14ac:dyDescent="0.4">
      <c r="A310" s="6" t="s">
        <v>344</v>
      </c>
      <c r="B310" s="6" t="s">
        <v>50</v>
      </c>
      <c r="C310" s="6">
        <v>137</v>
      </c>
      <c r="D310" s="7" t="s">
        <v>31</v>
      </c>
      <c r="E310" s="11">
        <v>45019</v>
      </c>
      <c r="F310" s="10">
        <v>215</v>
      </c>
      <c r="G310" s="6">
        <v>4.7</v>
      </c>
      <c r="H310" s="6">
        <f>IF(MONTH(Data!$E310)&lt;=6, YEAR(Data!$E310), YEAR(Data!$E310)+1)</f>
        <v>2023</v>
      </c>
      <c r="I310" s="6" t="str">
        <f>TEXT(Data!$E310,"DDDD")</f>
        <v>Monday</v>
      </c>
      <c r="J310" s="6" t="s">
        <v>25</v>
      </c>
      <c r="K310" s="6">
        <f>ROUND(Data!$G310,0)</f>
        <v>5</v>
      </c>
      <c r="L310" t="str" cm="1">
        <f t="array" ref="L310">_xlfn.IFS(C310&lt;=15,"Very Short",C310&lt;=30,"Short",C310&lt;=60,"Medium",C310&gt;60,"Long")</f>
        <v>Long</v>
      </c>
      <c r="M310" t="str" cm="1">
        <f t="array" ref="M310">_xlfn.IFS(F310&lt;=50,"Low",F310&lt;=100,"Medium",F310&lt;=150,"High",F310&gt;150,"Very High")</f>
        <v>Very High</v>
      </c>
    </row>
    <row r="311" spans="1:13" ht="14.25" customHeight="1" x14ac:dyDescent="0.4">
      <c r="A311" s="6" t="s">
        <v>345</v>
      </c>
      <c r="B311" s="6" t="s">
        <v>50</v>
      </c>
      <c r="C311" s="6">
        <v>40</v>
      </c>
      <c r="D311" s="7" t="s">
        <v>35</v>
      </c>
      <c r="E311" s="11">
        <v>45019</v>
      </c>
      <c r="F311" s="10">
        <v>220</v>
      </c>
      <c r="G311" s="6">
        <v>4.5</v>
      </c>
      <c r="H311" s="6">
        <f>IF(MONTH(Data!$E311)&lt;=6, YEAR(Data!$E311), YEAR(Data!$E311)+1)</f>
        <v>2023</v>
      </c>
      <c r="I311" s="6" t="str">
        <f>TEXT(Data!$E311,"DDDD")</f>
        <v>Monday</v>
      </c>
      <c r="J311" s="6" t="s">
        <v>27</v>
      </c>
      <c r="K311" s="6">
        <f>ROUND(Data!$G311,0)</f>
        <v>5</v>
      </c>
      <c r="L311" t="str" cm="1">
        <f t="array" ref="L311">_xlfn.IFS(C311&lt;=15,"Very Short",C311&lt;=30,"Short",C311&lt;=60,"Medium",C311&gt;60,"Long")</f>
        <v>Medium</v>
      </c>
      <c r="M311" t="str" cm="1">
        <f t="array" ref="M311">_xlfn.IFS(F311&lt;=50,"Low",F311&lt;=100,"Medium",F311&lt;=150,"High",F311&gt;150,"Very High")</f>
        <v>Very High</v>
      </c>
    </row>
    <row r="312" spans="1:13" ht="14.25" customHeight="1" x14ac:dyDescent="0.4">
      <c r="A312" s="6" t="s">
        <v>346</v>
      </c>
      <c r="B312" s="6" t="s">
        <v>34</v>
      </c>
      <c r="C312" s="6">
        <v>111</v>
      </c>
      <c r="D312" s="7" t="s">
        <v>19</v>
      </c>
      <c r="E312" s="11">
        <v>45020</v>
      </c>
      <c r="F312" s="10">
        <v>175</v>
      </c>
      <c r="G312" s="6">
        <v>3.5</v>
      </c>
      <c r="H312" s="6">
        <f>IF(MONTH(Data!$E312)&lt;=6, YEAR(Data!$E312), YEAR(Data!$E312)+1)</f>
        <v>2023</v>
      </c>
      <c r="I312" s="6" t="str">
        <f>TEXT(Data!$E312,"DDDD")</f>
        <v>Tuesday</v>
      </c>
      <c r="J312" s="6" t="s">
        <v>14</v>
      </c>
      <c r="K312" s="6">
        <f>ROUND(Data!$G312,0)</f>
        <v>4</v>
      </c>
      <c r="L312" t="str" cm="1">
        <f t="array" ref="L312">_xlfn.IFS(C312&lt;=15,"Very Short",C312&lt;=30,"Short",C312&lt;=60,"Medium",C312&gt;60,"Long")</f>
        <v>Long</v>
      </c>
      <c r="M312" t="str" cm="1">
        <f t="array" ref="M312">_xlfn.IFS(F312&lt;=50,"Low",F312&lt;=100,"Medium",F312&lt;=150,"High",F312&gt;150,"Very High")</f>
        <v>Very High</v>
      </c>
    </row>
    <row r="313" spans="1:13" ht="14.25" customHeight="1" x14ac:dyDescent="0.4">
      <c r="A313" s="6" t="s">
        <v>347</v>
      </c>
      <c r="B313" s="6" t="s">
        <v>58</v>
      </c>
      <c r="C313" s="6">
        <v>106</v>
      </c>
      <c r="D313" s="7" t="s">
        <v>19</v>
      </c>
      <c r="E313" s="11">
        <v>45020</v>
      </c>
      <c r="F313" s="10">
        <v>145</v>
      </c>
      <c r="G313" s="6">
        <v>4.0999999999999996</v>
      </c>
      <c r="H313" s="6">
        <f>IF(MONTH(Data!$E313)&lt;=6, YEAR(Data!$E313), YEAR(Data!$E313)+1)</f>
        <v>2023</v>
      </c>
      <c r="I313" s="6" t="str">
        <f>TEXT(Data!$E313,"DDDD")</f>
        <v>Tuesday</v>
      </c>
      <c r="J313" s="6" t="s">
        <v>14</v>
      </c>
      <c r="K313" s="6">
        <f>ROUND(Data!$G313,0)</f>
        <v>4</v>
      </c>
      <c r="L313" t="str" cm="1">
        <f t="array" ref="L313">_xlfn.IFS(C313&lt;=15,"Very Short",C313&lt;=30,"Short",C313&lt;=60,"Medium",C313&gt;60,"Long")</f>
        <v>Long</v>
      </c>
      <c r="M313" t="str" cm="1">
        <f t="array" ref="M313">_xlfn.IFS(F313&lt;=50,"Low",F313&lt;=100,"Medium",F313&lt;=150,"High",F313&gt;150,"Very High")</f>
        <v>High</v>
      </c>
    </row>
    <row r="314" spans="1:13" ht="14.25" customHeight="1" x14ac:dyDescent="0.4">
      <c r="A314" s="6" t="s">
        <v>348</v>
      </c>
      <c r="B314" s="6" t="s">
        <v>21</v>
      </c>
      <c r="C314" s="6">
        <v>133</v>
      </c>
      <c r="D314" s="7" t="s">
        <v>24</v>
      </c>
      <c r="E314" s="11">
        <v>45020</v>
      </c>
      <c r="F314" s="10">
        <v>72</v>
      </c>
      <c r="G314" s="6">
        <v>4.4000000000000004</v>
      </c>
      <c r="H314" s="6">
        <f>IF(MONTH(Data!$E314)&lt;=6, YEAR(Data!$E314), YEAR(Data!$E314)+1)</f>
        <v>2023</v>
      </c>
      <c r="I314" s="6" t="str">
        <f>TEXT(Data!$E314,"DDDD")</f>
        <v>Tuesday</v>
      </c>
      <c r="J314" s="6" t="s">
        <v>25</v>
      </c>
      <c r="K314" s="6">
        <f>ROUND(Data!$G314,0)</f>
        <v>4</v>
      </c>
      <c r="L314" t="str" cm="1">
        <f t="array" ref="L314">_xlfn.IFS(C314&lt;=15,"Very Short",C314&lt;=30,"Short",C314&lt;=60,"Medium",C314&gt;60,"Long")</f>
        <v>Long</v>
      </c>
      <c r="M314" t="str" cm="1">
        <f t="array" ref="M314">_xlfn.IFS(F314&lt;=50,"Low",F314&lt;=100,"Medium",F314&lt;=150,"High",F314&gt;150,"Very High")</f>
        <v>Medium</v>
      </c>
    </row>
    <row r="315" spans="1:13" ht="14.25" customHeight="1" x14ac:dyDescent="0.4">
      <c r="A315" s="6" t="s">
        <v>349</v>
      </c>
      <c r="B315" s="6" t="s">
        <v>29</v>
      </c>
      <c r="C315" s="6">
        <v>38</v>
      </c>
      <c r="D315" s="7" t="s">
        <v>19</v>
      </c>
      <c r="E315" s="11">
        <v>45021</v>
      </c>
      <c r="F315" s="10">
        <v>81</v>
      </c>
      <c r="G315" s="6">
        <v>3.6</v>
      </c>
      <c r="H315" s="6">
        <f>IF(MONTH(Data!$E315)&lt;=6, YEAR(Data!$E315), YEAR(Data!$E315)+1)</f>
        <v>2023</v>
      </c>
      <c r="I315" s="6" t="str">
        <f>TEXT(Data!$E315,"DDDD")</f>
        <v>Wednesday</v>
      </c>
      <c r="J315" s="6" t="s">
        <v>27</v>
      </c>
      <c r="K315" s="6">
        <f>ROUND(Data!$G315,0)</f>
        <v>4</v>
      </c>
      <c r="L315" t="str" cm="1">
        <f t="array" ref="L315">_xlfn.IFS(C315&lt;=15,"Very Short",C315&lt;=30,"Short",C315&lt;=60,"Medium",C315&gt;60,"Long")</f>
        <v>Medium</v>
      </c>
      <c r="M315" t="str" cm="1">
        <f t="array" ref="M315">_xlfn.IFS(F315&lt;=50,"Low",F315&lt;=100,"Medium",F315&lt;=150,"High",F315&gt;150,"Very High")</f>
        <v>Medium</v>
      </c>
    </row>
    <row r="316" spans="1:13" ht="14.25" customHeight="1" x14ac:dyDescent="0.4">
      <c r="A316" s="6" t="s">
        <v>350</v>
      </c>
      <c r="B316" s="6" t="s">
        <v>55</v>
      </c>
      <c r="C316" s="6">
        <v>130</v>
      </c>
      <c r="D316" s="7" t="s">
        <v>35</v>
      </c>
      <c r="E316" s="11">
        <v>45021</v>
      </c>
      <c r="F316" s="10">
        <v>54</v>
      </c>
      <c r="G316" s="6">
        <v>4.0999999999999996</v>
      </c>
      <c r="H316" s="6">
        <f>IF(MONTH(Data!$E316)&lt;=6, YEAR(Data!$E316), YEAR(Data!$E316)+1)</f>
        <v>2023</v>
      </c>
      <c r="I316" s="6" t="str">
        <f>TEXT(Data!$E316,"DDDD")</f>
        <v>Wednesday</v>
      </c>
      <c r="J316" s="6" t="s">
        <v>25</v>
      </c>
      <c r="K316" s="6">
        <f>ROUND(Data!$G316,0)</f>
        <v>4</v>
      </c>
      <c r="L316" t="str" cm="1">
        <f t="array" ref="L316">_xlfn.IFS(C316&lt;=15,"Very Short",C316&lt;=30,"Short",C316&lt;=60,"Medium",C316&gt;60,"Long")</f>
        <v>Long</v>
      </c>
      <c r="M316" t="str" cm="1">
        <f t="array" ref="M316">_xlfn.IFS(F316&lt;=50,"Low",F316&lt;=100,"Medium",F316&lt;=150,"High",F316&gt;150,"Very High")</f>
        <v>Medium</v>
      </c>
    </row>
    <row r="317" spans="1:13" ht="14.25" customHeight="1" x14ac:dyDescent="0.4">
      <c r="A317" s="6" t="s">
        <v>351</v>
      </c>
      <c r="B317" s="6" t="s">
        <v>38</v>
      </c>
      <c r="C317" s="6">
        <v>23</v>
      </c>
      <c r="D317" s="7" t="s">
        <v>24</v>
      </c>
      <c r="E317" s="11">
        <v>45021</v>
      </c>
      <c r="F317" s="10">
        <v>105</v>
      </c>
      <c r="G317" s="6">
        <v>4.8</v>
      </c>
      <c r="H317" s="6">
        <f>IF(MONTH(Data!$E317)&lt;=6, YEAR(Data!$E317), YEAR(Data!$E317)+1)</f>
        <v>2023</v>
      </c>
      <c r="I317" s="6" t="str">
        <f>TEXT(Data!$E317,"DDDD")</f>
        <v>Wednesday</v>
      </c>
      <c r="J317" s="6" t="s">
        <v>47</v>
      </c>
      <c r="K317" s="6">
        <f>ROUND(Data!$G317,0)</f>
        <v>5</v>
      </c>
      <c r="L317" t="str" cm="1">
        <f t="array" ref="L317">_xlfn.IFS(C317&lt;=15,"Very Short",C317&lt;=30,"Short",C317&lt;=60,"Medium",C317&gt;60,"Long")</f>
        <v>Short</v>
      </c>
      <c r="M317" t="str" cm="1">
        <f t="array" ref="M317">_xlfn.IFS(F317&lt;=50,"Low",F317&lt;=100,"Medium",F317&lt;=150,"High",F317&gt;150,"Very High")</f>
        <v>High</v>
      </c>
    </row>
    <row r="318" spans="1:13" ht="14.25" customHeight="1" x14ac:dyDescent="0.4">
      <c r="A318" s="6" t="s">
        <v>352</v>
      </c>
      <c r="B318" s="6" t="s">
        <v>55</v>
      </c>
      <c r="C318" s="6">
        <v>124</v>
      </c>
      <c r="D318" s="7" t="s">
        <v>19</v>
      </c>
      <c r="E318" s="11">
        <v>45022</v>
      </c>
      <c r="F318" s="10">
        <v>176</v>
      </c>
      <c r="G318" s="6">
        <v>3.9</v>
      </c>
      <c r="H318" s="6">
        <f>IF(MONTH(Data!$E318)&lt;=6, YEAR(Data!$E318), YEAR(Data!$E318)+1)</f>
        <v>2023</v>
      </c>
      <c r="I318" s="6" t="str">
        <f>TEXT(Data!$E318,"DDDD")</f>
        <v>Thursday</v>
      </c>
      <c r="J318" s="6" t="s">
        <v>25</v>
      </c>
      <c r="K318" s="6">
        <f>ROUND(Data!$G318,0)</f>
        <v>4</v>
      </c>
      <c r="L318" t="str" cm="1">
        <f t="array" ref="L318">_xlfn.IFS(C318&lt;=15,"Very Short",C318&lt;=30,"Short",C318&lt;=60,"Medium",C318&gt;60,"Long")</f>
        <v>Long</v>
      </c>
      <c r="M318" t="str" cm="1">
        <f t="array" ref="M318">_xlfn.IFS(F318&lt;=50,"Low",F318&lt;=100,"Medium",F318&lt;=150,"High",F318&gt;150,"Very High")</f>
        <v>Very High</v>
      </c>
    </row>
    <row r="319" spans="1:13" ht="14.25" customHeight="1" x14ac:dyDescent="0.4">
      <c r="A319" s="6" t="s">
        <v>353</v>
      </c>
      <c r="B319" s="6" t="s">
        <v>18</v>
      </c>
      <c r="C319" s="6">
        <v>107</v>
      </c>
      <c r="D319" s="7" t="s">
        <v>19</v>
      </c>
      <c r="E319" s="11">
        <v>45022</v>
      </c>
      <c r="F319" s="10">
        <v>115</v>
      </c>
      <c r="G319" s="6">
        <v>3.8</v>
      </c>
      <c r="H319" s="6">
        <f>IF(MONTH(Data!$E319)&lt;=6, YEAR(Data!$E319), YEAR(Data!$E319)+1)</f>
        <v>2023</v>
      </c>
      <c r="I319" s="6" t="str">
        <f>TEXT(Data!$E319,"DDDD")</f>
        <v>Thursday</v>
      </c>
      <c r="J319" s="6" t="s">
        <v>14</v>
      </c>
      <c r="K319" s="6">
        <f>ROUND(Data!$G319,0)</f>
        <v>4</v>
      </c>
      <c r="L319" t="str" cm="1">
        <f t="array" ref="L319">_xlfn.IFS(C319&lt;=15,"Very Short",C319&lt;=30,"Short",C319&lt;=60,"Medium",C319&gt;60,"Long")</f>
        <v>Long</v>
      </c>
      <c r="M319" t="str" cm="1">
        <f t="array" ref="M319">_xlfn.IFS(F319&lt;=50,"Low",F319&lt;=100,"Medium",F319&lt;=150,"High",F319&gt;150,"Very High")</f>
        <v>High</v>
      </c>
    </row>
    <row r="320" spans="1:13" ht="14.25" customHeight="1" x14ac:dyDescent="0.4">
      <c r="A320" s="6" t="s">
        <v>354</v>
      </c>
      <c r="B320" s="6" t="s">
        <v>50</v>
      </c>
      <c r="C320" s="6">
        <v>60</v>
      </c>
      <c r="D320" s="7" t="s">
        <v>13</v>
      </c>
      <c r="E320" s="11">
        <v>45022</v>
      </c>
      <c r="F320" s="10">
        <v>116</v>
      </c>
      <c r="G320" s="6">
        <v>3.9</v>
      </c>
      <c r="H320" s="6">
        <f>IF(MONTH(Data!$E320)&lt;=6, YEAR(Data!$E320), YEAR(Data!$E320)+1)</f>
        <v>2023</v>
      </c>
      <c r="I320" s="6" t="str">
        <f>TEXT(Data!$E320,"DDDD")</f>
        <v>Thursday</v>
      </c>
      <c r="J320" s="6" t="s">
        <v>27</v>
      </c>
      <c r="K320" s="6">
        <f>ROUND(Data!$G320,0)</f>
        <v>4</v>
      </c>
      <c r="L320" t="str" cm="1">
        <f t="array" ref="L320">_xlfn.IFS(C320&lt;=15,"Very Short",C320&lt;=30,"Short",C320&lt;=60,"Medium",C320&gt;60,"Long")</f>
        <v>Medium</v>
      </c>
      <c r="M320" t="str" cm="1">
        <f t="array" ref="M320">_xlfn.IFS(F320&lt;=50,"Low",F320&lt;=100,"Medium",F320&lt;=150,"High",F320&gt;150,"Very High")</f>
        <v>High</v>
      </c>
    </row>
    <row r="321" spans="1:13" ht="14.25" customHeight="1" x14ac:dyDescent="0.4">
      <c r="A321" s="6" t="s">
        <v>355</v>
      </c>
      <c r="B321" s="6" t="s">
        <v>50</v>
      </c>
      <c r="C321" s="6">
        <v>158</v>
      </c>
      <c r="D321" s="7" t="s">
        <v>35</v>
      </c>
      <c r="E321" s="11">
        <v>45022</v>
      </c>
      <c r="F321" s="10">
        <v>100</v>
      </c>
      <c r="G321" s="6">
        <v>4.0999999999999996</v>
      </c>
      <c r="H321" s="6">
        <f>IF(MONTH(Data!$E321)&lt;=6, YEAR(Data!$E321), YEAR(Data!$E321)+1)</f>
        <v>2023</v>
      </c>
      <c r="I321" s="6" t="str">
        <f>TEXT(Data!$E321,"DDDD")</f>
        <v>Thursday</v>
      </c>
      <c r="J321" s="6" t="s">
        <v>25</v>
      </c>
      <c r="K321" s="6">
        <f>ROUND(Data!$G321,0)</f>
        <v>4</v>
      </c>
      <c r="L321" t="str" cm="1">
        <f t="array" ref="L321">_xlfn.IFS(C321&lt;=15,"Very Short",C321&lt;=30,"Short",C321&lt;=60,"Medium",C321&gt;60,"Long")</f>
        <v>Long</v>
      </c>
      <c r="M321" t="str" cm="1">
        <f t="array" ref="M321">_xlfn.IFS(F321&lt;=50,"Low",F321&lt;=100,"Medium",F321&lt;=150,"High",F321&gt;150,"Very High")</f>
        <v>Medium</v>
      </c>
    </row>
    <row r="322" spans="1:13" ht="14.25" customHeight="1" x14ac:dyDescent="0.4">
      <c r="A322" s="6" t="s">
        <v>356</v>
      </c>
      <c r="B322" s="6" t="s">
        <v>46</v>
      </c>
      <c r="C322" s="6">
        <v>110</v>
      </c>
      <c r="D322" s="7" t="s">
        <v>35</v>
      </c>
      <c r="E322" s="11">
        <v>45023</v>
      </c>
      <c r="F322" s="10">
        <v>36</v>
      </c>
      <c r="G322" s="6">
        <v>2.2000000000000002</v>
      </c>
      <c r="H322" s="6">
        <f>IF(MONTH(Data!$E322)&lt;=6, YEAR(Data!$E322), YEAR(Data!$E322)+1)</f>
        <v>2023</v>
      </c>
      <c r="I322" s="6" t="str">
        <f>TEXT(Data!$E322,"DDDD")</f>
        <v>Friday</v>
      </c>
      <c r="J322" s="6" t="s">
        <v>14</v>
      </c>
      <c r="K322" s="6">
        <f>ROUND(Data!$G322,0)</f>
        <v>2</v>
      </c>
      <c r="L322" t="str" cm="1">
        <f t="array" ref="L322">_xlfn.IFS(C322&lt;=15,"Very Short",C322&lt;=30,"Short",C322&lt;=60,"Medium",C322&gt;60,"Long")</f>
        <v>Long</v>
      </c>
      <c r="M322" t="str" cm="1">
        <f t="array" ref="M322">_xlfn.IFS(F322&lt;=50,"Low",F322&lt;=100,"Medium",F322&lt;=150,"High",F322&gt;150,"Very High")</f>
        <v>Low</v>
      </c>
    </row>
    <row r="323" spans="1:13" ht="14.25" customHeight="1" x14ac:dyDescent="0.4">
      <c r="A323" s="6" t="s">
        <v>357</v>
      </c>
      <c r="B323" s="6" t="s">
        <v>68</v>
      </c>
      <c r="C323" s="6">
        <v>70</v>
      </c>
      <c r="D323" s="7" t="s">
        <v>35</v>
      </c>
      <c r="E323" s="11">
        <v>45023</v>
      </c>
      <c r="F323" s="10">
        <v>114</v>
      </c>
      <c r="G323" s="6">
        <v>5</v>
      </c>
      <c r="H323" s="6">
        <f>IF(MONTH(Data!$E323)&lt;=6, YEAR(Data!$E323), YEAR(Data!$E323)+1)</f>
        <v>2023</v>
      </c>
      <c r="I323" s="6" t="str">
        <f>TEXT(Data!$E323,"DDDD")</f>
        <v>Friday</v>
      </c>
      <c r="J323" s="6" t="s">
        <v>14</v>
      </c>
      <c r="K323" s="6">
        <f>ROUND(Data!$G323,0)</f>
        <v>5</v>
      </c>
      <c r="L323" t="str" cm="1">
        <f t="array" ref="L323">_xlfn.IFS(C323&lt;=15,"Very Short",C323&lt;=30,"Short",C323&lt;=60,"Medium",C323&gt;60,"Long")</f>
        <v>Long</v>
      </c>
      <c r="M323" t="str" cm="1">
        <f t="array" ref="M323">_xlfn.IFS(F323&lt;=50,"Low",F323&lt;=100,"Medium",F323&lt;=150,"High",F323&gt;150,"Very High")</f>
        <v>High</v>
      </c>
    </row>
    <row r="324" spans="1:13" ht="14.25" customHeight="1" x14ac:dyDescent="0.4">
      <c r="A324" s="6" t="s">
        <v>358</v>
      </c>
      <c r="B324" s="6" t="s">
        <v>68</v>
      </c>
      <c r="C324" s="6">
        <v>150</v>
      </c>
      <c r="D324" s="7" t="s">
        <v>13</v>
      </c>
      <c r="E324" s="11">
        <v>45023</v>
      </c>
      <c r="F324" s="10">
        <v>24</v>
      </c>
      <c r="G324" s="6">
        <v>3.8</v>
      </c>
      <c r="H324" s="6">
        <f>IF(MONTH(Data!$E324)&lt;=6, YEAR(Data!$E324), YEAR(Data!$E324)+1)</f>
        <v>2023</v>
      </c>
      <c r="I324" s="6" t="str">
        <f>TEXT(Data!$E324,"DDDD")</f>
        <v>Friday</v>
      </c>
      <c r="J324" s="6" t="s">
        <v>25</v>
      </c>
      <c r="K324" s="6">
        <f>ROUND(Data!$G324,0)</f>
        <v>4</v>
      </c>
      <c r="L324" t="str" cm="1">
        <f t="array" ref="L324">_xlfn.IFS(C324&lt;=15,"Very Short",C324&lt;=30,"Short",C324&lt;=60,"Medium",C324&gt;60,"Long")</f>
        <v>Long</v>
      </c>
      <c r="M324" t="str" cm="1">
        <f t="array" ref="M324">_xlfn.IFS(F324&lt;=50,"Low",F324&lt;=100,"Medium",F324&lt;=150,"High",F324&gt;150,"Very High")</f>
        <v>Low</v>
      </c>
    </row>
    <row r="325" spans="1:13" ht="14.25" customHeight="1" x14ac:dyDescent="0.4">
      <c r="A325" s="6" t="s">
        <v>359</v>
      </c>
      <c r="B325" s="6" t="s">
        <v>29</v>
      </c>
      <c r="C325" s="6">
        <v>36</v>
      </c>
      <c r="D325" s="7" t="s">
        <v>19</v>
      </c>
      <c r="E325" s="11">
        <v>45023</v>
      </c>
      <c r="F325" s="10">
        <v>135</v>
      </c>
      <c r="G325" s="6">
        <v>4.5999999999999996</v>
      </c>
      <c r="H325" s="6">
        <f>IF(MONTH(Data!$E325)&lt;=6, YEAR(Data!$E325), YEAR(Data!$E325)+1)</f>
        <v>2023</v>
      </c>
      <c r="I325" s="6" t="str">
        <f>TEXT(Data!$E325,"DDDD")</f>
        <v>Friday</v>
      </c>
      <c r="J325" s="6" t="s">
        <v>27</v>
      </c>
      <c r="K325" s="6">
        <f>ROUND(Data!$G325,0)</f>
        <v>5</v>
      </c>
      <c r="L325" t="str" cm="1">
        <f t="array" ref="L325">_xlfn.IFS(C325&lt;=15,"Very Short",C325&lt;=30,"Short",C325&lt;=60,"Medium",C325&gt;60,"Long")</f>
        <v>Medium</v>
      </c>
      <c r="M325" t="str" cm="1">
        <f t="array" ref="M325">_xlfn.IFS(F325&lt;=50,"Low",F325&lt;=100,"Medium",F325&lt;=150,"High",F325&gt;150,"Very High")</f>
        <v>High</v>
      </c>
    </row>
    <row r="326" spans="1:13" ht="14.25" customHeight="1" x14ac:dyDescent="0.4">
      <c r="A326" s="6" t="s">
        <v>360</v>
      </c>
      <c r="B326" s="6" t="s">
        <v>55</v>
      </c>
      <c r="C326" s="6">
        <v>74</v>
      </c>
      <c r="D326" s="7" t="s">
        <v>19</v>
      </c>
      <c r="E326" s="11">
        <v>45023</v>
      </c>
      <c r="F326" s="10">
        <v>30</v>
      </c>
      <c r="G326" s="6">
        <v>4</v>
      </c>
      <c r="H326" s="6">
        <f>IF(MONTH(Data!$E326)&lt;=6, YEAR(Data!$E326), YEAR(Data!$E326)+1)</f>
        <v>2023</v>
      </c>
      <c r="I326" s="6" t="str">
        <f>TEXT(Data!$E326,"DDDD")</f>
        <v>Friday</v>
      </c>
      <c r="J326" s="6" t="s">
        <v>14</v>
      </c>
      <c r="K326" s="6">
        <f>ROUND(Data!$G326,0)</f>
        <v>4</v>
      </c>
      <c r="L326" t="str" cm="1">
        <f t="array" ref="L326">_xlfn.IFS(C326&lt;=15,"Very Short",C326&lt;=30,"Short",C326&lt;=60,"Medium",C326&gt;60,"Long")</f>
        <v>Long</v>
      </c>
      <c r="M326" t="str" cm="1">
        <f t="array" ref="M326">_xlfn.IFS(F326&lt;=50,"Low",F326&lt;=100,"Medium",F326&lt;=150,"High",F326&gt;150,"Very High")</f>
        <v>Low</v>
      </c>
    </row>
    <row r="327" spans="1:13" ht="14.25" customHeight="1" x14ac:dyDescent="0.4">
      <c r="A327" s="6" t="s">
        <v>361</v>
      </c>
      <c r="B327" s="6" t="s">
        <v>16</v>
      </c>
      <c r="C327" s="6">
        <v>75</v>
      </c>
      <c r="D327" s="7" t="s">
        <v>19</v>
      </c>
      <c r="E327" s="11">
        <v>45023</v>
      </c>
      <c r="F327" s="10">
        <v>84</v>
      </c>
      <c r="G327" s="6">
        <v>2.8</v>
      </c>
      <c r="H327" s="6">
        <f>IF(MONTH(Data!$E327)&lt;=6, YEAR(Data!$E327), YEAR(Data!$E327)+1)</f>
        <v>2023</v>
      </c>
      <c r="I327" s="6" t="str">
        <f>TEXT(Data!$E327,"DDDD")</f>
        <v>Friday</v>
      </c>
      <c r="J327" s="6" t="s">
        <v>14</v>
      </c>
      <c r="K327" s="6">
        <f>ROUND(Data!$G327,0)</f>
        <v>3</v>
      </c>
      <c r="L327" t="str" cm="1">
        <f t="array" ref="L327">_xlfn.IFS(C327&lt;=15,"Very Short",C327&lt;=30,"Short",C327&lt;=60,"Medium",C327&gt;60,"Long")</f>
        <v>Long</v>
      </c>
      <c r="M327" t="str" cm="1">
        <f t="array" ref="M327">_xlfn.IFS(F327&lt;=50,"Low",F327&lt;=100,"Medium",F327&lt;=150,"High",F327&gt;150,"Very High")</f>
        <v>Medium</v>
      </c>
    </row>
    <row r="328" spans="1:13" ht="14.25" customHeight="1" x14ac:dyDescent="0.4">
      <c r="A328" s="6" t="s">
        <v>362</v>
      </c>
      <c r="B328" s="6" t="s">
        <v>88</v>
      </c>
      <c r="C328" s="6">
        <v>70</v>
      </c>
      <c r="D328" s="7" t="s">
        <v>31</v>
      </c>
      <c r="E328" s="11">
        <v>45023</v>
      </c>
      <c r="F328" s="10">
        <v>42</v>
      </c>
      <c r="G328" s="6">
        <v>4.4000000000000004</v>
      </c>
      <c r="H328" s="6">
        <f>IF(MONTH(Data!$E328)&lt;=6, YEAR(Data!$E328), YEAR(Data!$E328)+1)</f>
        <v>2023</v>
      </c>
      <c r="I328" s="6" t="str">
        <f>TEXT(Data!$E328,"DDDD")</f>
        <v>Friday</v>
      </c>
      <c r="J328" s="6" t="s">
        <v>14</v>
      </c>
      <c r="K328" s="6">
        <f>ROUND(Data!$G328,0)</f>
        <v>4</v>
      </c>
      <c r="L328" t="str" cm="1">
        <f t="array" ref="L328">_xlfn.IFS(C328&lt;=15,"Very Short",C328&lt;=30,"Short",C328&lt;=60,"Medium",C328&gt;60,"Long")</f>
        <v>Long</v>
      </c>
      <c r="M328" t="str" cm="1">
        <f t="array" ref="M328">_xlfn.IFS(F328&lt;=50,"Low",F328&lt;=100,"Medium",F328&lt;=150,"High",F328&gt;150,"Very High")</f>
        <v>Low</v>
      </c>
    </row>
    <row r="329" spans="1:13" ht="14.25" customHeight="1" x14ac:dyDescent="0.4">
      <c r="A329" s="6" t="s">
        <v>363</v>
      </c>
      <c r="B329" s="6" t="s">
        <v>46</v>
      </c>
      <c r="C329" s="6">
        <v>23</v>
      </c>
      <c r="D329" s="7" t="s">
        <v>35</v>
      </c>
      <c r="E329" s="11">
        <v>45023</v>
      </c>
      <c r="F329" s="10">
        <v>117</v>
      </c>
      <c r="G329" s="6">
        <v>2.4</v>
      </c>
      <c r="H329" s="6">
        <f>IF(MONTH(Data!$E329)&lt;=6, YEAR(Data!$E329), YEAR(Data!$E329)+1)</f>
        <v>2023</v>
      </c>
      <c r="I329" s="6" t="str">
        <f>TEXT(Data!$E329,"DDDD")</f>
        <v>Friday</v>
      </c>
      <c r="J329" s="6" t="s">
        <v>47</v>
      </c>
      <c r="K329" s="6">
        <f>ROUND(Data!$G329,0)</f>
        <v>2</v>
      </c>
      <c r="L329" t="str" cm="1">
        <f t="array" ref="L329">_xlfn.IFS(C329&lt;=15,"Very Short",C329&lt;=30,"Short",C329&lt;=60,"Medium",C329&gt;60,"Long")</f>
        <v>Short</v>
      </c>
      <c r="M329" t="str" cm="1">
        <f t="array" ref="M329">_xlfn.IFS(F329&lt;=50,"Low",F329&lt;=100,"Medium",F329&lt;=150,"High",F329&gt;150,"Very High")</f>
        <v>High</v>
      </c>
    </row>
    <row r="330" spans="1:13" ht="14.25" customHeight="1" x14ac:dyDescent="0.4">
      <c r="A330" s="6" t="s">
        <v>364</v>
      </c>
      <c r="B330" s="6" t="s">
        <v>34</v>
      </c>
      <c r="C330" s="6">
        <v>104</v>
      </c>
      <c r="D330" s="7" t="s">
        <v>24</v>
      </c>
      <c r="E330" s="11">
        <v>45023</v>
      </c>
      <c r="F330" s="10">
        <v>164</v>
      </c>
      <c r="G330" s="6">
        <v>4</v>
      </c>
      <c r="H330" s="6">
        <f>IF(MONTH(Data!$E330)&lt;=6, YEAR(Data!$E330), YEAR(Data!$E330)+1)</f>
        <v>2023</v>
      </c>
      <c r="I330" s="6" t="str">
        <f>TEXT(Data!$E330,"DDDD")</f>
        <v>Friday</v>
      </c>
      <c r="J330" s="6" t="s">
        <v>14</v>
      </c>
      <c r="K330" s="6">
        <f>ROUND(Data!$G330,0)</f>
        <v>4</v>
      </c>
      <c r="L330" t="str" cm="1">
        <f t="array" ref="L330">_xlfn.IFS(C330&lt;=15,"Very Short",C330&lt;=30,"Short",C330&lt;=60,"Medium",C330&gt;60,"Long")</f>
        <v>Long</v>
      </c>
      <c r="M330" t="str" cm="1">
        <f t="array" ref="M330">_xlfn.IFS(F330&lt;=50,"Low",F330&lt;=100,"Medium",F330&lt;=150,"High",F330&gt;150,"Very High")</f>
        <v>Very High</v>
      </c>
    </row>
    <row r="331" spans="1:13" ht="14.25" customHeight="1" x14ac:dyDescent="0.4">
      <c r="A331" s="6" t="s">
        <v>365</v>
      </c>
      <c r="B331" s="6" t="s">
        <v>68</v>
      </c>
      <c r="C331" s="6">
        <v>95</v>
      </c>
      <c r="D331" s="7" t="s">
        <v>31</v>
      </c>
      <c r="E331" s="11">
        <v>45024</v>
      </c>
      <c r="F331" s="10">
        <v>123</v>
      </c>
      <c r="G331" s="6">
        <v>4.4000000000000004</v>
      </c>
      <c r="H331" s="6">
        <f>IF(MONTH(Data!$E331)&lt;=6, YEAR(Data!$E331), YEAR(Data!$E331)+1)</f>
        <v>2023</v>
      </c>
      <c r="I331" s="6" t="str">
        <f>TEXT(Data!$E331,"DDDD")</f>
        <v>Saturday</v>
      </c>
      <c r="J331" s="6" t="s">
        <v>14</v>
      </c>
      <c r="K331" s="6">
        <f>ROUND(Data!$G331,0)</f>
        <v>4</v>
      </c>
      <c r="L331" t="str" cm="1">
        <f t="array" ref="L331">_xlfn.IFS(C331&lt;=15,"Very Short",C331&lt;=30,"Short",C331&lt;=60,"Medium",C331&gt;60,"Long")</f>
        <v>Long</v>
      </c>
      <c r="M331" t="str" cm="1">
        <f t="array" ref="M331">_xlfn.IFS(F331&lt;=50,"Low",F331&lt;=100,"Medium",F331&lt;=150,"High",F331&gt;150,"Very High")</f>
        <v>High</v>
      </c>
    </row>
    <row r="332" spans="1:13" ht="14.25" customHeight="1" x14ac:dyDescent="0.4">
      <c r="A332" s="6" t="s">
        <v>366</v>
      </c>
      <c r="B332" s="6" t="s">
        <v>23</v>
      </c>
      <c r="C332" s="6">
        <v>49</v>
      </c>
      <c r="D332" s="7" t="s">
        <v>13</v>
      </c>
      <c r="E332" s="11">
        <v>45024</v>
      </c>
      <c r="F332" s="10">
        <v>172</v>
      </c>
      <c r="G332" s="6">
        <v>2.9</v>
      </c>
      <c r="H332" s="6">
        <f>IF(MONTH(Data!$E332)&lt;=6, YEAR(Data!$E332), YEAR(Data!$E332)+1)</f>
        <v>2023</v>
      </c>
      <c r="I332" s="6" t="str">
        <f>TEXT(Data!$E332,"DDDD")</f>
        <v>Saturday</v>
      </c>
      <c r="J332" s="6" t="s">
        <v>27</v>
      </c>
      <c r="K332" s="6">
        <f>ROUND(Data!$G332,0)</f>
        <v>3</v>
      </c>
      <c r="L332" t="str" cm="1">
        <f t="array" ref="L332">_xlfn.IFS(C332&lt;=15,"Very Short",C332&lt;=30,"Short",C332&lt;=60,"Medium",C332&gt;60,"Long")</f>
        <v>Medium</v>
      </c>
      <c r="M332" t="str" cm="1">
        <f t="array" ref="M332">_xlfn.IFS(F332&lt;=50,"Low",F332&lt;=100,"Medium",F332&lt;=150,"High",F332&gt;150,"Very High")</f>
        <v>Very High</v>
      </c>
    </row>
    <row r="333" spans="1:13" ht="14.25" customHeight="1" x14ac:dyDescent="0.4">
      <c r="A333" s="6" t="s">
        <v>367</v>
      </c>
      <c r="B333" s="6" t="s">
        <v>58</v>
      </c>
      <c r="C333" s="6">
        <v>8</v>
      </c>
      <c r="D333" s="7" t="s">
        <v>35</v>
      </c>
      <c r="E333" s="11">
        <v>45024</v>
      </c>
      <c r="F333" s="10">
        <v>20</v>
      </c>
      <c r="G333" s="6">
        <v>4.8</v>
      </c>
      <c r="H333" s="6">
        <f>IF(MONTH(Data!$E333)&lt;=6, YEAR(Data!$E333), YEAR(Data!$E333)+1)</f>
        <v>2023</v>
      </c>
      <c r="I333" s="6" t="str">
        <f>TEXT(Data!$E333,"DDDD")</f>
        <v>Saturday</v>
      </c>
      <c r="J333" s="6" t="s">
        <v>176</v>
      </c>
      <c r="K333" s="6">
        <f>ROUND(Data!$G333,0)</f>
        <v>5</v>
      </c>
      <c r="L333" t="str" cm="1">
        <f t="array" ref="L333">_xlfn.IFS(C333&lt;=15,"Very Short",C333&lt;=30,"Short",C333&lt;=60,"Medium",C333&gt;60,"Long")</f>
        <v>Very Short</v>
      </c>
      <c r="M333" t="str" cm="1">
        <f t="array" ref="M333">_xlfn.IFS(F333&lt;=50,"Low",F333&lt;=100,"Medium",F333&lt;=150,"High",F333&gt;150,"Very High")</f>
        <v>Low</v>
      </c>
    </row>
    <row r="334" spans="1:13" ht="14.25" customHeight="1" x14ac:dyDescent="0.4">
      <c r="A334" s="6" t="s">
        <v>368</v>
      </c>
      <c r="B334" s="6" t="s">
        <v>68</v>
      </c>
      <c r="C334" s="6">
        <v>157</v>
      </c>
      <c r="D334" s="7" t="s">
        <v>13</v>
      </c>
      <c r="E334" s="11">
        <v>45024</v>
      </c>
      <c r="F334" s="10">
        <v>72</v>
      </c>
      <c r="G334" s="6">
        <v>3.7</v>
      </c>
      <c r="H334" s="6">
        <f>IF(MONTH(Data!$E334)&lt;=6, YEAR(Data!$E334), YEAR(Data!$E334)+1)</f>
        <v>2023</v>
      </c>
      <c r="I334" s="6" t="str">
        <f>TEXT(Data!$E334,"DDDD")</f>
        <v>Saturday</v>
      </c>
      <c r="J334" s="6" t="s">
        <v>25</v>
      </c>
      <c r="K334" s="6">
        <f>ROUND(Data!$G334,0)</f>
        <v>4</v>
      </c>
      <c r="L334" t="str" cm="1">
        <f t="array" ref="L334">_xlfn.IFS(C334&lt;=15,"Very Short",C334&lt;=30,"Short",C334&lt;=60,"Medium",C334&gt;60,"Long")</f>
        <v>Long</v>
      </c>
      <c r="M334" t="str" cm="1">
        <f t="array" ref="M334">_xlfn.IFS(F334&lt;=50,"Low",F334&lt;=100,"Medium",F334&lt;=150,"High",F334&gt;150,"Very High")</f>
        <v>Medium</v>
      </c>
    </row>
    <row r="335" spans="1:13" ht="14.25" customHeight="1" x14ac:dyDescent="0.4">
      <c r="A335" s="6" t="s">
        <v>369</v>
      </c>
      <c r="B335" s="6" t="s">
        <v>18</v>
      </c>
      <c r="C335" s="6">
        <v>74</v>
      </c>
      <c r="D335" s="7" t="s">
        <v>19</v>
      </c>
      <c r="E335" s="11">
        <v>45024</v>
      </c>
      <c r="F335" s="10">
        <v>32</v>
      </c>
      <c r="G335" s="6">
        <v>4.8</v>
      </c>
      <c r="H335" s="6">
        <f>IF(MONTH(Data!$E335)&lt;=6, YEAR(Data!$E335), YEAR(Data!$E335)+1)</f>
        <v>2023</v>
      </c>
      <c r="I335" s="6" t="str">
        <f>TEXT(Data!$E335,"DDDD")</f>
        <v>Saturday</v>
      </c>
      <c r="J335" s="6" t="s">
        <v>14</v>
      </c>
      <c r="K335" s="6">
        <f>ROUND(Data!$G335,0)</f>
        <v>5</v>
      </c>
      <c r="L335" t="str" cm="1">
        <f t="array" ref="L335">_xlfn.IFS(C335&lt;=15,"Very Short",C335&lt;=30,"Short",C335&lt;=60,"Medium",C335&gt;60,"Long")</f>
        <v>Long</v>
      </c>
      <c r="M335" t="str" cm="1">
        <f t="array" ref="M335">_xlfn.IFS(F335&lt;=50,"Low",F335&lt;=100,"Medium",F335&lt;=150,"High",F335&gt;150,"Very High")</f>
        <v>Low</v>
      </c>
    </row>
    <row r="336" spans="1:13" ht="14.25" customHeight="1" x14ac:dyDescent="0.4">
      <c r="A336" s="6" t="s">
        <v>370</v>
      </c>
      <c r="B336" s="6" t="s">
        <v>46</v>
      </c>
      <c r="C336" s="6">
        <v>72</v>
      </c>
      <c r="D336" s="7" t="s">
        <v>31</v>
      </c>
      <c r="E336" s="11">
        <v>45024</v>
      </c>
      <c r="F336" s="10">
        <v>140</v>
      </c>
      <c r="G336" s="6">
        <v>3.2</v>
      </c>
      <c r="H336" s="6">
        <f>IF(MONTH(Data!$E336)&lt;=6, YEAR(Data!$E336), YEAR(Data!$E336)+1)</f>
        <v>2023</v>
      </c>
      <c r="I336" s="6" t="str">
        <f>TEXT(Data!$E336,"DDDD")</f>
        <v>Saturday</v>
      </c>
      <c r="J336" s="6" t="s">
        <v>14</v>
      </c>
      <c r="K336" s="6">
        <f>ROUND(Data!$G336,0)</f>
        <v>3</v>
      </c>
      <c r="L336" t="str" cm="1">
        <f t="array" ref="L336">_xlfn.IFS(C336&lt;=15,"Very Short",C336&lt;=30,"Short",C336&lt;=60,"Medium",C336&gt;60,"Long")</f>
        <v>Long</v>
      </c>
      <c r="M336" t="str" cm="1">
        <f t="array" ref="M336">_xlfn.IFS(F336&lt;=50,"Low",F336&lt;=100,"Medium",F336&lt;=150,"High",F336&gt;150,"Very High")</f>
        <v>High</v>
      </c>
    </row>
    <row r="337" spans="1:13" ht="14.25" customHeight="1" x14ac:dyDescent="0.4">
      <c r="A337" s="6" t="s">
        <v>371</v>
      </c>
      <c r="B337" s="6" t="s">
        <v>18</v>
      </c>
      <c r="C337" s="6">
        <v>79</v>
      </c>
      <c r="D337" s="7" t="s">
        <v>19</v>
      </c>
      <c r="E337" s="11">
        <v>45025</v>
      </c>
      <c r="F337" s="10">
        <v>120</v>
      </c>
      <c r="G337" s="6">
        <v>4.9000000000000004</v>
      </c>
      <c r="H337" s="6">
        <f>IF(MONTH(Data!$E337)&lt;=6, YEAR(Data!$E337), YEAR(Data!$E337)+1)</f>
        <v>2023</v>
      </c>
      <c r="I337" s="6" t="str">
        <f>TEXT(Data!$E337,"DDDD")</f>
        <v>Sunday</v>
      </c>
      <c r="J337" s="6" t="s">
        <v>14</v>
      </c>
      <c r="K337" s="6">
        <f>ROUND(Data!$G337,0)</f>
        <v>5</v>
      </c>
      <c r="L337" t="str" cm="1">
        <f t="array" ref="L337">_xlfn.IFS(C337&lt;=15,"Very Short",C337&lt;=30,"Short",C337&lt;=60,"Medium",C337&gt;60,"Long")</f>
        <v>Long</v>
      </c>
      <c r="M337" t="str" cm="1">
        <f t="array" ref="M337">_xlfn.IFS(F337&lt;=50,"Low",F337&lt;=100,"Medium",F337&lt;=150,"High",F337&gt;150,"Very High")</f>
        <v>High</v>
      </c>
    </row>
    <row r="338" spans="1:13" ht="14.25" customHeight="1" x14ac:dyDescent="0.4">
      <c r="A338" s="6" t="s">
        <v>372</v>
      </c>
      <c r="B338" s="6" t="s">
        <v>55</v>
      </c>
      <c r="C338" s="6">
        <v>23</v>
      </c>
      <c r="D338" s="7" t="s">
        <v>19</v>
      </c>
      <c r="E338" s="11">
        <v>45025</v>
      </c>
      <c r="F338" s="10">
        <v>86</v>
      </c>
      <c r="G338" s="6">
        <v>2.2000000000000002</v>
      </c>
      <c r="H338" s="6">
        <f>IF(MONTH(Data!$E338)&lt;=6, YEAR(Data!$E338), YEAR(Data!$E338)+1)</f>
        <v>2023</v>
      </c>
      <c r="I338" s="6" t="str">
        <f>TEXT(Data!$E338,"DDDD")</f>
        <v>Sunday</v>
      </c>
      <c r="J338" s="6" t="s">
        <v>47</v>
      </c>
      <c r="K338" s="6">
        <f>ROUND(Data!$G338,0)</f>
        <v>2</v>
      </c>
      <c r="L338" t="str" cm="1">
        <f t="array" ref="L338">_xlfn.IFS(C338&lt;=15,"Very Short",C338&lt;=30,"Short",C338&lt;=60,"Medium",C338&gt;60,"Long")</f>
        <v>Short</v>
      </c>
      <c r="M338" t="str" cm="1">
        <f t="array" ref="M338">_xlfn.IFS(F338&lt;=50,"Low",F338&lt;=100,"Medium",F338&lt;=150,"High",F338&gt;150,"Very High")</f>
        <v>Medium</v>
      </c>
    </row>
    <row r="339" spans="1:13" ht="14.25" customHeight="1" x14ac:dyDescent="0.4">
      <c r="A339" s="6" t="s">
        <v>373</v>
      </c>
      <c r="B339" s="6" t="s">
        <v>16</v>
      </c>
      <c r="C339" s="6">
        <v>69</v>
      </c>
      <c r="D339" s="7" t="s">
        <v>19</v>
      </c>
      <c r="E339" s="11">
        <v>45025</v>
      </c>
      <c r="F339" s="10">
        <v>132</v>
      </c>
      <c r="G339" s="6">
        <v>5</v>
      </c>
      <c r="H339" s="6">
        <f>IF(MONTH(Data!$E339)&lt;=6, YEAR(Data!$E339), YEAR(Data!$E339)+1)</f>
        <v>2023</v>
      </c>
      <c r="I339" s="6" t="str">
        <f>TEXT(Data!$E339,"DDDD")</f>
        <v>Sunday</v>
      </c>
      <c r="J339" s="6" t="s">
        <v>14</v>
      </c>
      <c r="K339" s="6">
        <f>ROUND(Data!$G339,0)</f>
        <v>5</v>
      </c>
      <c r="L339" t="str" cm="1">
        <f t="array" ref="L339">_xlfn.IFS(C339&lt;=15,"Very Short",C339&lt;=30,"Short",C339&lt;=60,"Medium",C339&gt;60,"Long")</f>
        <v>Long</v>
      </c>
      <c r="M339" t="str" cm="1">
        <f t="array" ref="M339">_xlfn.IFS(F339&lt;=50,"Low",F339&lt;=100,"Medium",F339&lt;=150,"High",F339&gt;150,"Very High")</f>
        <v>High</v>
      </c>
    </row>
    <row r="340" spans="1:13" ht="14.25" customHeight="1" x14ac:dyDescent="0.4">
      <c r="A340" s="6" t="s">
        <v>374</v>
      </c>
      <c r="B340" s="6" t="s">
        <v>50</v>
      </c>
      <c r="C340" s="6">
        <v>64</v>
      </c>
      <c r="D340" s="7" t="s">
        <v>19</v>
      </c>
      <c r="E340" s="11">
        <v>45025</v>
      </c>
      <c r="F340" s="10">
        <v>80</v>
      </c>
      <c r="G340" s="6">
        <v>3.3</v>
      </c>
      <c r="H340" s="6">
        <f>IF(MONTH(Data!$E340)&lt;=6, YEAR(Data!$E340), YEAR(Data!$E340)+1)</f>
        <v>2023</v>
      </c>
      <c r="I340" s="6" t="str">
        <f>TEXT(Data!$E340,"DDDD")</f>
        <v>Sunday</v>
      </c>
      <c r="J340" s="6" t="s">
        <v>14</v>
      </c>
      <c r="K340" s="6">
        <f>ROUND(Data!$G340,0)</f>
        <v>3</v>
      </c>
      <c r="L340" t="str" cm="1">
        <f t="array" ref="L340">_xlfn.IFS(C340&lt;=15,"Very Short",C340&lt;=30,"Short",C340&lt;=60,"Medium",C340&gt;60,"Long")</f>
        <v>Long</v>
      </c>
      <c r="M340" t="str" cm="1">
        <f t="array" ref="M340">_xlfn.IFS(F340&lt;=50,"Low",F340&lt;=100,"Medium",F340&lt;=150,"High",F340&gt;150,"Very High")</f>
        <v>Medium</v>
      </c>
    </row>
    <row r="341" spans="1:13" ht="14.25" customHeight="1" x14ac:dyDescent="0.4">
      <c r="A341" s="6" t="s">
        <v>375</v>
      </c>
      <c r="B341" s="6" t="s">
        <v>40</v>
      </c>
      <c r="C341" s="6">
        <v>47</v>
      </c>
      <c r="D341" s="7" t="s">
        <v>13</v>
      </c>
      <c r="E341" s="11">
        <v>45025</v>
      </c>
      <c r="F341" s="10">
        <v>132</v>
      </c>
      <c r="G341" s="6">
        <v>3.7</v>
      </c>
      <c r="H341" s="6">
        <f>IF(MONTH(Data!$E341)&lt;=6, YEAR(Data!$E341), YEAR(Data!$E341)+1)</f>
        <v>2023</v>
      </c>
      <c r="I341" s="6" t="str">
        <f>TEXT(Data!$E341,"DDDD")</f>
        <v>Sunday</v>
      </c>
      <c r="J341" s="6" t="s">
        <v>27</v>
      </c>
      <c r="K341" s="6">
        <f>ROUND(Data!$G341,0)</f>
        <v>4</v>
      </c>
      <c r="L341" t="str" cm="1">
        <f t="array" ref="L341">_xlfn.IFS(C341&lt;=15,"Very Short",C341&lt;=30,"Short",C341&lt;=60,"Medium",C341&gt;60,"Long")</f>
        <v>Medium</v>
      </c>
      <c r="M341" t="str" cm="1">
        <f t="array" ref="M341">_xlfn.IFS(F341&lt;=50,"Low",F341&lt;=100,"Medium",F341&lt;=150,"High",F341&gt;150,"Very High")</f>
        <v>High</v>
      </c>
    </row>
    <row r="342" spans="1:13" ht="14.25" customHeight="1" x14ac:dyDescent="0.4">
      <c r="A342" s="6" t="s">
        <v>376</v>
      </c>
      <c r="B342" s="6" t="s">
        <v>18</v>
      </c>
      <c r="C342" s="6">
        <v>55</v>
      </c>
      <c r="D342" s="7" t="s">
        <v>31</v>
      </c>
      <c r="E342" s="11">
        <v>45025</v>
      </c>
      <c r="F342" s="10">
        <v>27</v>
      </c>
      <c r="G342" s="6">
        <v>3.7</v>
      </c>
      <c r="H342" s="6">
        <f>IF(MONTH(Data!$E342)&lt;=6, YEAR(Data!$E342), YEAR(Data!$E342)+1)</f>
        <v>2023</v>
      </c>
      <c r="I342" s="6" t="str">
        <f>TEXT(Data!$E342,"DDDD")</f>
        <v>Sunday</v>
      </c>
      <c r="J342" s="6" t="s">
        <v>27</v>
      </c>
      <c r="K342" s="6">
        <f>ROUND(Data!$G342,0)</f>
        <v>4</v>
      </c>
      <c r="L342" t="str" cm="1">
        <f t="array" ref="L342">_xlfn.IFS(C342&lt;=15,"Very Short",C342&lt;=30,"Short",C342&lt;=60,"Medium",C342&gt;60,"Long")</f>
        <v>Medium</v>
      </c>
      <c r="M342" t="str" cm="1">
        <f t="array" ref="M342">_xlfn.IFS(F342&lt;=50,"Low",F342&lt;=100,"Medium",F342&lt;=150,"High",F342&gt;150,"Very High")</f>
        <v>Low</v>
      </c>
    </row>
    <row r="343" spans="1:13" ht="14.25" customHeight="1" x14ac:dyDescent="0.4">
      <c r="A343" s="6" t="s">
        <v>377</v>
      </c>
      <c r="B343" s="6" t="s">
        <v>34</v>
      </c>
      <c r="C343" s="6">
        <v>104</v>
      </c>
      <c r="D343" s="7" t="s">
        <v>31</v>
      </c>
      <c r="E343" s="11">
        <v>45026</v>
      </c>
      <c r="F343" s="10">
        <v>68</v>
      </c>
      <c r="G343" s="6">
        <v>3.6</v>
      </c>
      <c r="H343" s="6">
        <f>IF(MONTH(Data!$E343)&lt;=6, YEAR(Data!$E343), YEAR(Data!$E343)+1)</f>
        <v>2023</v>
      </c>
      <c r="I343" s="6" t="str">
        <f>TEXT(Data!$E343,"DDDD")</f>
        <v>Monday</v>
      </c>
      <c r="J343" s="6" t="s">
        <v>14</v>
      </c>
      <c r="K343" s="6">
        <f>ROUND(Data!$G343,0)</f>
        <v>4</v>
      </c>
      <c r="L343" t="str" cm="1">
        <f t="array" ref="L343">_xlfn.IFS(C343&lt;=15,"Very Short",C343&lt;=30,"Short",C343&lt;=60,"Medium",C343&gt;60,"Long")</f>
        <v>Long</v>
      </c>
      <c r="M343" t="str" cm="1">
        <f t="array" ref="M343">_xlfn.IFS(F343&lt;=50,"Low",F343&lt;=100,"Medium",F343&lt;=150,"High",F343&gt;150,"Very High")</f>
        <v>Medium</v>
      </c>
    </row>
    <row r="344" spans="1:13" ht="14.25" customHeight="1" x14ac:dyDescent="0.4">
      <c r="A344" s="6" t="s">
        <v>378</v>
      </c>
      <c r="B344" s="6" t="s">
        <v>40</v>
      </c>
      <c r="C344" s="6">
        <v>116</v>
      </c>
      <c r="D344" s="7" t="s">
        <v>19</v>
      </c>
      <c r="E344" s="11">
        <v>45026</v>
      </c>
      <c r="F344" s="10">
        <v>22</v>
      </c>
      <c r="G344" s="6">
        <v>4.7</v>
      </c>
      <c r="H344" s="6">
        <f>IF(MONTH(Data!$E344)&lt;=6, YEAR(Data!$E344), YEAR(Data!$E344)+1)</f>
        <v>2023</v>
      </c>
      <c r="I344" s="6" t="str">
        <f>TEXT(Data!$E344,"DDDD")</f>
        <v>Monday</v>
      </c>
      <c r="J344" s="6" t="s">
        <v>14</v>
      </c>
      <c r="K344" s="6">
        <f>ROUND(Data!$G344,0)</f>
        <v>5</v>
      </c>
      <c r="L344" t="str" cm="1">
        <f t="array" ref="L344">_xlfn.IFS(C344&lt;=15,"Very Short",C344&lt;=30,"Short",C344&lt;=60,"Medium",C344&gt;60,"Long")</f>
        <v>Long</v>
      </c>
      <c r="M344" t="str" cm="1">
        <f t="array" ref="M344">_xlfn.IFS(F344&lt;=50,"Low",F344&lt;=100,"Medium",F344&lt;=150,"High",F344&gt;150,"Very High")</f>
        <v>Low</v>
      </c>
    </row>
    <row r="345" spans="1:13" ht="14.25" customHeight="1" x14ac:dyDescent="0.4">
      <c r="A345" s="6" t="s">
        <v>379</v>
      </c>
      <c r="B345" s="6" t="s">
        <v>55</v>
      </c>
      <c r="C345" s="6">
        <v>99</v>
      </c>
      <c r="D345" s="7" t="s">
        <v>31</v>
      </c>
      <c r="E345" s="11">
        <v>45026</v>
      </c>
      <c r="F345" s="10">
        <v>42</v>
      </c>
      <c r="G345" s="6">
        <v>3.1</v>
      </c>
      <c r="H345" s="6">
        <f>IF(MONTH(Data!$E345)&lt;=6, YEAR(Data!$E345), YEAR(Data!$E345)+1)</f>
        <v>2023</v>
      </c>
      <c r="I345" s="6" t="str">
        <f>TEXT(Data!$E345,"DDDD")</f>
        <v>Monday</v>
      </c>
      <c r="J345" s="6" t="s">
        <v>14</v>
      </c>
      <c r="K345" s="6">
        <f>ROUND(Data!$G345,0)</f>
        <v>3</v>
      </c>
      <c r="L345" t="str" cm="1">
        <f t="array" ref="L345">_xlfn.IFS(C345&lt;=15,"Very Short",C345&lt;=30,"Short",C345&lt;=60,"Medium",C345&gt;60,"Long")</f>
        <v>Long</v>
      </c>
      <c r="M345" t="str" cm="1">
        <f t="array" ref="M345">_xlfn.IFS(F345&lt;=50,"Low",F345&lt;=100,"Medium",F345&lt;=150,"High",F345&gt;150,"Very High")</f>
        <v>Low</v>
      </c>
    </row>
    <row r="346" spans="1:13" ht="14.25" customHeight="1" x14ac:dyDescent="0.4">
      <c r="A346" s="6" t="s">
        <v>380</v>
      </c>
      <c r="B346" s="6" t="s">
        <v>34</v>
      </c>
      <c r="C346" s="6">
        <v>84</v>
      </c>
      <c r="D346" s="7" t="s">
        <v>31</v>
      </c>
      <c r="E346" s="11">
        <v>45027</v>
      </c>
      <c r="F346" s="10">
        <v>38</v>
      </c>
      <c r="G346" s="6">
        <v>3.3</v>
      </c>
      <c r="H346" s="6">
        <f>IF(MONTH(Data!$E346)&lt;=6, YEAR(Data!$E346), YEAR(Data!$E346)+1)</f>
        <v>2023</v>
      </c>
      <c r="I346" s="6" t="str">
        <f>TEXT(Data!$E346,"DDDD")</f>
        <v>Tuesday</v>
      </c>
      <c r="J346" s="6" t="s">
        <v>14</v>
      </c>
      <c r="K346" s="6">
        <f>ROUND(Data!$G346,0)</f>
        <v>3</v>
      </c>
      <c r="L346" t="str" cm="1">
        <f t="array" ref="L346">_xlfn.IFS(C346&lt;=15,"Very Short",C346&lt;=30,"Short",C346&lt;=60,"Medium",C346&gt;60,"Long")</f>
        <v>Long</v>
      </c>
      <c r="M346" t="str" cm="1">
        <f t="array" ref="M346">_xlfn.IFS(F346&lt;=50,"Low",F346&lt;=100,"Medium",F346&lt;=150,"High",F346&gt;150,"Very High")</f>
        <v>Low</v>
      </c>
    </row>
    <row r="347" spans="1:13" ht="14.25" customHeight="1" x14ac:dyDescent="0.4">
      <c r="A347" s="6" t="s">
        <v>381</v>
      </c>
      <c r="B347" s="6" t="s">
        <v>58</v>
      </c>
      <c r="C347" s="6">
        <v>159</v>
      </c>
      <c r="D347" s="7" t="s">
        <v>31</v>
      </c>
      <c r="E347" s="11">
        <v>45027</v>
      </c>
      <c r="F347" s="10">
        <v>42</v>
      </c>
      <c r="G347" s="6">
        <v>4.5</v>
      </c>
      <c r="H347" s="6">
        <f>IF(MONTH(Data!$E347)&lt;=6, YEAR(Data!$E347), YEAR(Data!$E347)+1)</f>
        <v>2023</v>
      </c>
      <c r="I347" s="6" t="str">
        <f>TEXT(Data!$E347,"DDDD")</f>
        <v>Tuesday</v>
      </c>
      <c r="J347" s="6" t="s">
        <v>25</v>
      </c>
      <c r="K347" s="6">
        <f>ROUND(Data!$G347,0)</f>
        <v>5</v>
      </c>
      <c r="L347" t="str" cm="1">
        <f t="array" ref="L347">_xlfn.IFS(C347&lt;=15,"Very Short",C347&lt;=30,"Short",C347&lt;=60,"Medium",C347&gt;60,"Long")</f>
        <v>Long</v>
      </c>
      <c r="M347" t="str" cm="1">
        <f t="array" ref="M347">_xlfn.IFS(F347&lt;=50,"Low",F347&lt;=100,"Medium",F347&lt;=150,"High",F347&gt;150,"Very High")</f>
        <v>Low</v>
      </c>
    </row>
    <row r="348" spans="1:13" ht="14.25" customHeight="1" x14ac:dyDescent="0.4">
      <c r="A348" s="6" t="s">
        <v>382</v>
      </c>
      <c r="B348" s="6" t="s">
        <v>29</v>
      </c>
      <c r="C348" s="6">
        <v>25</v>
      </c>
      <c r="D348" s="7" t="s">
        <v>13</v>
      </c>
      <c r="E348" s="11">
        <v>45027</v>
      </c>
      <c r="F348" s="10">
        <v>75</v>
      </c>
      <c r="G348" s="6">
        <v>3.9</v>
      </c>
      <c r="H348" s="6">
        <f>IF(MONTH(Data!$E348)&lt;=6, YEAR(Data!$E348), YEAR(Data!$E348)+1)</f>
        <v>2023</v>
      </c>
      <c r="I348" s="6" t="str">
        <f>TEXT(Data!$E348,"DDDD")</f>
        <v>Tuesday</v>
      </c>
      <c r="J348" s="6" t="s">
        <v>47</v>
      </c>
      <c r="K348" s="6">
        <f>ROUND(Data!$G348,0)</f>
        <v>4</v>
      </c>
      <c r="L348" t="str" cm="1">
        <f t="array" ref="L348">_xlfn.IFS(C348&lt;=15,"Very Short",C348&lt;=30,"Short",C348&lt;=60,"Medium",C348&gt;60,"Long")</f>
        <v>Short</v>
      </c>
      <c r="M348" t="str" cm="1">
        <f t="array" ref="M348">_xlfn.IFS(F348&lt;=50,"Low",F348&lt;=100,"Medium",F348&lt;=150,"High",F348&gt;150,"Very High")</f>
        <v>Medium</v>
      </c>
    </row>
    <row r="349" spans="1:13" ht="14.25" customHeight="1" x14ac:dyDescent="0.4">
      <c r="A349" s="6" t="s">
        <v>383</v>
      </c>
      <c r="B349" s="6" t="s">
        <v>58</v>
      </c>
      <c r="C349" s="6">
        <v>53</v>
      </c>
      <c r="D349" s="7" t="s">
        <v>35</v>
      </c>
      <c r="E349" s="11">
        <v>45028</v>
      </c>
      <c r="F349" s="10">
        <v>23</v>
      </c>
      <c r="G349" s="6">
        <v>4.9000000000000004</v>
      </c>
      <c r="H349" s="6">
        <f>IF(MONTH(Data!$E349)&lt;=6, YEAR(Data!$E349), YEAR(Data!$E349)+1)</f>
        <v>2023</v>
      </c>
      <c r="I349" s="6" t="str">
        <f>TEXT(Data!$E349,"DDDD")</f>
        <v>Wednesday</v>
      </c>
      <c r="J349" s="6" t="s">
        <v>27</v>
      </c>
      <c r="K349" s="6">
        <f>ROUND(Data!$G349,0)</f>
        <v>5</v>
      </c>
      <c r="L349" t="str" cm="1">
        <f t="array" ref="L349">_xlfn.IFS(C349&lt;=15,"Very Short",C349&lt;=30,"Short",C349&lt;=60,"Medium",C349&gt;60,"Long")</f>
        <v>Medium</v>
      </c>
      <c r="M349" t="str" cm="1">
        <f t="array" ref="M349">_xlfn.IFS(F349&lt;=50,"Low",F349&lt;=100,"Medium",F349&lt;=150,"High",F349&gt;150,"Very High")</f>
        <v>Low</v>
      </c>
    </row>
    <row r="350" spans="1:13" ht="14.25" customHeight="1" x14ac:dyDescent="0.4">
      <c r="A350" s="6" t="s">
        <v>384</v>
      </c>
      <c r="B350" s="6" t="s">
        <v>58</v>
      </c>
      <c r="C350" s="6">
        <v>89</v>
      </c>
      <c r="D350" s="7" t="s">
        <v>13</v>
      </c>
      <c r="E350" s="11">
        <v>45028</v>
      </c>
      <c r="F350" s="10">
        <v>200</v>
      </c>
      <c r="G350" s="6">
        <v>4.8</v>
      </c>
      <c r="H350" s="6">
        <f>IF(MONTH(Data!$E350)&lt;=6, YEAR(Data!$E350), YEAR(Data!$E350)+1)</f>
        <v>2023</v>
      </c>
      <c r="I350" s="6" t="str">
        <f>TEXT(Data!$E350,"DDDD")</f>
        <v>Wednesday</v>
      </c>
      <c r="J350" s="6" t="s">
        <v>14</v>
      </c>
      <c r="K350" s="6">
        <f>ROUND(Data!$G350,0)</f>
        <v>5</v>
      </c>
      <c r="L350" t="str" cm="1">
        <f t="array" ref="L350">_xlfn.IFS(C350&lt;=15,"Very Short",C350&lt;=30,"Short",C350&lt;=60,"Medium",C350&gt;60,"Long")</f>
        <v>Long</v>
      </c>
      <c r="M350" t="str" cm="1">
        <f t="array" ref="M350">_xlfn.IFS(F350&lt;=50,"Low",F350&lt;=100,"Medium",F350&lt;=150,"High",F350&gt;150,"Very High")</f>
        <v>Very High</v>
      </c>
    </row>
    <row r="351" spans="1:13" ht="14.25" customHeight="1" x14ac:dyDescent="0.4">
      <c r="A351" s="6" t="s">
        <v>385</v>
      </c>
      <c r="B351" s="6" t="s">
        <v>21</v>
      </c>
      <c r="C351" s="6">
        <v>73</v>
      </c>
      <c r="D351" s="7" t="s">
        <v>19</v>
      </c>
      <c r="E351" s="11">
        <v>45029</v>
      </c>
      <c r="F351" s="10">
        <v>45</v>
      </c>
      <c r="G351" s="6">
        <v>3.6</v>
      </c>
      <c r="H351" s="6">
        <f>IF(MONTH(Data!$E351)&lt;=6, YEAR(Data!$E351), YEAR(Data!$E351)+1)</f>
        <v>2023</v>
      </c>
      <c r="I351" s="6" t="str">
        <f>TEXT(Data!$E351,"DDDD")</f>
        <v>Thursday</v>
      </c>
      <c r="J351" s="6" t="s">
        <v>14</v>
      </c>
      <c r="K351" s="6">
        <f>ROUND(Data!$G351,0)</f>
        <v>4</v>
      </c>
      <c r="L351" t="str" cm="1">
        <f t="array" ref="L351">_xlfn.IFS(C351&lt;=15,"Very Short",C351&lt;=30,"Short",C351&lt;=60,"Medium",C351&gt;60,"Long")</f>
        <v>Long</v>
      </c>
      <c r="M351" t="str" cm="1">
        <f t="array" ref="M351">_xlfn.IFS(F351&lt;=50,"Low",F351&lt;=100,"Medium",F351&lt;=150,"High",F351&gt;150,"Very High")</f>
        <v>Low</v>
      </c>
    </row>
    <row r="352" spans="1:13" ht="14.25" customHeight="1" x14ac:dyDescent="0.4">
      <c r="A352" s="6" t="s">
        <v>386</v>
      </c>
      <c r="B352" s="6" t="s">
        <v>55</v>
      </c>
      <c r="C352" s="6">
        <v>50</v>
      </c>
      <c r="D352" s="7" t="s">
        <v>19</v>
      </c>
      <c r="E352" s="11">
        <v>45029</v>
      </c>
      <c r="F352" s="10">
        <v>105</v>
      </c>
      <c r="G352" s="6">
        <v>3.5</v>
      </c>
      <c r="H352" s="6">
        <f>IF(MONTH(Data!$E352)&lt;=6, YEAR(Data!$E352), YEAR(Data!$E352)+1)</f>
        <v>2023</v>
      </c>
      <c r="I352" s="6" t="str">
        <f>TEXT(Data!$E352,"DDDD")</f>
        <v>Thursday</v>
      </c>
      <c r="J352" s="6" t="s">
        <v>27</v>
      </c>
      <c r="K352" s="6">
        <f>ROUND(Data!$G352,0)</f>
        <v>4</v>
      </c>
      <c r="L352" t="str" cm="1">
        <f t="array" ref="L352">_xlfn.IFS(C352&lt;=15,"Very Short",C352&lt;=30,"Short",C352&lt;=60,"Medium",C352&gt;60,"Long")</f>
        <v>Medium</v>
      </c>
      <c r="M352" t="str" cm="1">
        <f t="array" ref="M352">_xlfn.IFS(F352&lt;=50,"Low",F352&lt;=100,"Medium",F352&lt;=150,"High",F352&gt;150,"Very High")</f>
        <v>High</v>
      </c>
    </row>
    <row r="353" spans="1:13" ht="14.25" customHeight="1" x14ac:dyDescent="0.4">
      <c r="A353" s="6" t="s">
        <v>387</v>
      </c>
      <c r="B353" s="6" t="s">
        <v>23</v>
      </c>
      <c r="C353" s="6">
        <v>98</v>
      </c>
      <c r="D353" s="7" t="s">
        <v>19</v>
      </c>
      <c r="E353" s="11">
        <v>45029</v>
      </c>
      <c r="F353" s="10">
        <v>22</v>
      </c>
      <c r="G353" s="6">
        <v>3.8</v>
      </c>
      <c r="H353" s="6">
        <f>IF(MONTH(Data!$E353)&lt;=6, YEAR(Data!$E353), YEAR(Data!$E353)+1)</f>
        <v>2023</v>
      </c>
      <c r="I353" s="6" t="str">
        <f>TEXT(Data!$E353,"DDDD")</f>
        <v>Thursday</v>
      </c>
      <c r="J353" s="6" t="s">
        <v>14</v>
      </c>
      <c r="K353" s="6">
        <f>ROUND(Data!$G353,0)</f>
        <v>4</v>
      </c>
      <c r="L353" t="str" cm="1">
        <f t="array" ref="L353">_xlfn.IFS(C353&lt;=15,"Very Short",C353&lt;=30,"Short",C353&lt;=60,"Medium",C353&gt;60,"Long")</f>
        <v>Long</v>
      </c>
      <c r="M353" t="str" cm="1">
        <f t="array" ref="M353">_xlfn.IFS(F353&lt;=50,"Low",F353&lt;=100,"Medium",F353&lt;=150,"High",F353&gt;150,"Very High")</f>
        <v>Low</v>
      </c>
    </row>
    <row r="354" spans="1:13" ht="14.25" customHeight="1" x14ac:dyDescent="0.4">
      <c r="A354" s="6" t="s">
        <v>388</v>
      </c>
      <c r="B354" s="6" t="s">
        <v>38</v>
      </c>
      <c r="C354" s="6">
        <v>114</v>
      </c>
      <c r="D354" s="7" t="s">
        <v>31</v>
      </c>
      <c r="E354" s="11">
        <v>45030</v>
      </c>
      <c r="F354" s="10">
        <v>126</v>
      </c>
      <c r="G354" s="6">
        <v>4.4000000000000004</v>
      </c>
      <c r="H354" s="6">
        <f>IF(MONTH(Data!$E354)&lt;=6, YEAR(Data!$E354), YEAR(Data!$E354)+1)</f>
        <v>2023</v>
      </c>
      <c r="I354" s="6" t="str">
        <f>TEXT(Data!$E354,"DDDD")</f>
        <v>Friday</v>
      </c>
      <c r="J354" s="6" t="s">
        <v>14</v>
      </c>
      <c r="K354" s="6">
        <f>ROUND(Data!$G354,0)</f>
        <v>4</v>
      </c>
      <c r="L354" t="str" cm="1">
        <f t="array" ref="L354">_xlfn.IFS(C354&lt;=15,"Very Short",C354&lt;=30,"Short",C354&lt;=60,"Medium",C354&gt;60,"Long")</f>
        <v>Long</v>
      </c>
      <c r="M354" t="str" cm="1">
        <f t="array" ref="M354">_xlfn.IFS(F354&lt;=50,"Low",F354&lt;=100,"Medium",F354&lt;=150,"High",F354&gt;150,"Very High")</f>
        <v>High</v>
      </c>
    </row>
    <row r="355" spans="1:13" ht="14.25" customHeight="1" x14ac:dyDescent="0.4">
      <c r="A355" s="6" t="s">
        <v>389</v>
      </c>
      <c r="B355" s="6" t="s">
        <v>50</v>
      </c>
      <c r="C355" s="6">
        <v>67</v>
      </c>
      <c r="D355" s="7" t="s">
        <v>31</v>
      </c>
      <c r="E355" s="11">
        <v>45030</v>
      </c>
      <c r="F355" s="10">
        <v>35</v>
      </c>
      <c r="G355" s="6">
        <v>3</v>
      </c>
      <c r="H355" s="6">
        <f>IF(MONTH(Data!$E355)&lt;=6, YEAR(Data!$E355), YEAR(Data!$E355)+1)</f>
        <v>2023</v>
      </c>
      <c r="I355" s="6" t="str">
        <f>TEXT(Data!$E355,"DDDD")</f>
        <v>Friday</v>
      </c>
      <c r="J355" s="6" t="s">
        <v>14</v>
      </c>
      <c r="K355" s="6">
        <f>ROUND(Data!$G355,0)</f>
        <v>3</v>
      </c>
      <c r="L355" t="str" cm="1">
        <f t="array" ref="L355">_xlfn.IFS(C355&lt;=15,"Very Short",C355&lt;=30,"Short",C355&lt;=60,"Medium",C355&gt;60,"Long")</f>
        <v>Long</v>
      </c>
      <c r="M355" t="str" cm="1">
        <f t="array" ref="M355">_xlfn.IFS(F355&lt;=50,"Low",F355&lt;=100,"Medium",F355&lt;=150,"High",F355&gt;150,"Very High")</f>
        <v>Low</v>
      </c>
    </row>
    <row r="356" spans="1:13" ht="14.25" customHeight="1" x14ac:dyDescent="0.4">
      <c r="A356" s="6" t="s">
        <v>390</v>
      </c>
      <c r="B356" s="6" t="s">
        <v>18</v>
      </c>
      <c r="C356" s="6">
        <v>91</v>
      </c>
      <c r="D356" s="7" t="s">
        <v>19</v>
      </c>
      <c r="E356" s="11">
        <v>45030</v>
      </c>
      <c r="F356" s="10">
        <v>84</v>
      </c>
      <c r="G356" s="6">
        <v>4.5</v>
      </c>
      <c r="H356" s="6">
        <f>IF(MONTH(Data!$E356)&lt;=6, YEAR(Data!$E356), YEAR(Data!$E356)+1)</f>
        <v>2023</v>
      </c>
      <c r="I356" s="6" t="str">
        <f>TEXT(Data!$E356,"DDDD")</f>
        <v>Friday</v>
      </c>
      <c r="J356" s="6" t="s">
        <v>14</v>
      </c>
      <c r="K356" s="6">
        <f>ROUND(Data!$G356,0)</f>
        <v>5</v>
      </c>
      <c r="L356" t="str" cm="1">
        <f t="array" ref="L356">_xlfn.IFS(C356&lt;=15,"Very Short",C356&lt;=30,"Short",C356&lt;=60,"Medium",C356&gt;60,"Long")</f>
        <v>Long</v>
      </c>
      <c r="M356" t="str" cm="1">
        <f t="array" ref="M356">_xlfn.IFS(F356&lt;=50,"Low",F356&lt;=100,"Medium",F356&lt;=150,"High",F356&gt;150,"Very High")</f>
        <v>Medium</v>
      </c>
    </row>
    <row r="357" spans="1:13" ht="14.25" customHeight="1" x14ac:dyDescent="0.4">
      <c r="A357" s="6" t="s">
        <v>391</v>
      </c>
      <c r="B357" s="6" t="s">
        <v>88</v>
      </c>
      <c r="C357" s="6">
        <v>67</v>
      </c>
      <c r="D357" s="7" t="s">
        <v>19</v>
      </c>
      <c r="E357" s="11">
        <v>45031</v>
      </c>
      <c r="F357" s="10">
        <v>172</v>
      </c>
      <c r="G357" s="6">
        <v>4.5</v>
      </c>
      <c r="H357" s="6">
        <f>IF(MONTH(Data!$E357)&lt;=6, YEAR(Data!$E357), YEAR(Data!$E357)+1)</f>
        <v>2023</v>
      </c>
      <c r="I357" s="6" t="str">
        <f>TEXT(Data!$E357,"DDDD")</f>
        <v>Saturday</v>
      </c>
      <c r="J357" s="6" t="s">
        <v>14</v>
      </c>
      <c r="K357" s="6">
        <f>ROUND(Data!$G357,0)</f>
        <v>5</v>
      </c>
      <c r="L357" t="str" cm="1">
        <f t="array" ref="L357">_xlfn.IFS(C357&lt;=15,"Very Short",C357&lt;=30,"Short",C357&lt;=60,"Medium",C357&gt;60,"Long")</f>
        <v>Long</v>
      </c>
      <c r="M357" t="str" cm="1">
        <f t="array" ref="M357">_xlfn.IFS(F357&lt;=50,"Low",F357&lt;=100,"Medium",F357&lt;=150,"High",F357&gt;150,"Very High")</f>
        <v>Very High</v>
      </c>
    </row>
    <row r="358" spans="1:13" ht="14.25" customHeight="1" x14ac:dyDescent="0.4">
      <c r="A358" s="6" t="s">
        <v>392</v>
      </c>
      <c r="B358" s="6" t="s">
        <v>38</v>
      </c>
      <c r="C358" s="6">
        <v>139</v>
      </c>
      <c r="D358" s="7" t="s">
        <v>13</v>
      </c>
      <c r="E358" s="11">
        <v>45031</v>
      </c>
      <c r="F358" s="10">
        <v>114</v>
      </c>
      <c r="G358" s="6">
        <v>4</v>
      </c>
      <c r="H358" s="6">
        <f>IF(MONTH(Data!$E358)&lt;=6, YEAR(Data!$E358), YEAR(Data!$E358)+1)</f>
        <v>2023</v>
      </c>
      <c r="I358" s="6" t="str">
        <f>TEXT(Data!$E358,"DDDD")</f>
        <v>Saturday</v>
      </c>
      <c r="J358" s="6" t="s">
        <v>25</v>
      </c>
      <c r="K358" s="6">
        <f>ROUND(Data!$G358,0)</f>
        <v>4</v>
      </c>
      <c r="L358" t="str" cm="1">
        <f t="array" ref="L358">_xlfn.IFS(C358&lt;=15,"Very Short",C358&lt;=30,"Short",C358&lt;=60,"Medium",C358&gt;60,"Long")</f>
        <v>Long</v>
      </c>
      <c r="M358" t="str" cm="1">
        <f t="array" ref="M358">_xlfn.IFS(F358&lt;=50,"Low",F358&lt;=100,"Medium",F358&lt;=150,"High",F358&gt;150,"Very High")</f>
        <v>High</v>
      </c>
    </row>
    <row r="359" spans="1:13" ht="14.25" customHeight="1" x14ac:dyDescent="0.4">
      <c r="A359" s="6" t="s">
        <v>393</v>
      </c>
      <c r="B359" s="6" t="s">
        <v>88</v>
      </c>
      <c r="C359" s="6">
        <v>102</v>
      </c>
      <c r="D359" s="7" t="s">
        <v>13</v>
      </c>
      <c r="E359" s="11">
        <v>45031</v>
      </c>
      <c r="F359" s="10">
        <v>60</v>
      </c>
      <c r="G359" s="6">
        <v>3.8</v>
      </c>
      <c r="H359" s="6">
        <f>IF(MONTH(Data!$E359)&lt;=6, YEAR(Data!$E359), YEAR(Data!$E359)+1)</f>
        <v>2023</v>
      </c>
      <c r="I359" s="6" t="str">
        <f>TEXT(Data!$E359,"DDDD")</f>
        <v>Saturday</v>
      </c>
      <c r="J359" s="6" t="s">
        <v>14</v>
      </c>
      <c r="K359" s="6">
        <f>ROUND(Data!$G359,0)</f>
        <v>4</v>
      </c>
      <c r="L359" t="str" cm="1">
        <f t="array" ref="L359">_xlfn.IFS(C359&lt;=15,"Very Short",C359&lt;=30,"Short",C359&lt;=60,"Medium",C359&gt;60,"Long")</f>
        <v>Long</v>
      </c>
      <c r="M359" t="str" cm="1">
        <f t="array" ref="M359">_xlfn.IFS(F359&lt;=50,"Low",F359&lt;=100,"Medium",F359&lt;=150,"High",F359&gt;150,"Very High")</f>
        <v>Medium</v>
      </c>
    </row>
    <row r="360" spans="1:13" ht="14.25" customHeight="1" x14ac:dyDescent="0.4">
      <c r="A360" s="6" t="s">
        <v>394</v>
      </c>
      <c r="B360" s="6" t="s">
        <v>68</v>
      </c>
      <c r="C360" s="6">
        <v>108</v>
      </c>
      <c r="D360" s="7" t="s">
        <v>24</v>
      </c>
      <c r="E360" s="11">
        <v>45031</v>
      </c>
      <c r="F360" s="10">
        <v>26</v>
      </c>
      <c r="G360" s="6">
        <v>3.3</v>
      </c>
      <c r="H360" s="6">
        <f>IF(MONTH(Data!$E360)&lt;=6, YEAR(Data!$E360), YEAR(Data!$E360)+1)</f>
        <v>2023</v>
      </c>
      <c r="I360" s="6" t="str">
        <f>TEXT(Data!$E360,"DDDD")</f>
        <v>Saturday</v>
      </c>
      <c r="J360" s="6" t="s">
        <v>14</v>
      </c>
      <c r="K360" s="6">
        <f>ROUND(Data!$G360,0)</f>
        <v>3</v>
      </c>
      <c r="L360" t="str" cm="1">
        <f t="array" ref="L360">_xlfn.IFS(C360&lt;=15,"Very Short",C360&lt;=30,"Short",C360&lt;=60,"Medium",C360&gt;60,"Long")</f>
        <v>Long</v>
      </c>
      <c r="M360" t="str" cm="1">
        <f t="array" ref="M360">_xlfn.IFS(F360&lt;=50,"Low",F360&lt;=100,"Medium",F360&lt;=150,"High",F360&gt;150,"Very High")</f>
        <v>Low</v>
      </c>
    </row>
    <row r="361" spans="1:13" ht="14.25" customHeight="1" x14ac:dyDescent="0.4">
      <c r="A361" s="6" t="s">
        <v>395</v>
      </c>
      <c r="B361" s="6" t="s">
        <v>29</v>
      </c>
      <c r="C361" s="6">
        <v>66</v>
      </c>
      <c r="D361" s="7" t="s">
        <v>19</v>
      </c>
      <c r="E361" s="11">
        <v>45031</v>
      </c>
      <c r="F361" s="10">
        <v>210</v>
      </c>
      <c r="G361" s="6">
        <v>4.3</v>
      </c>
      <c r="H361" s="6">
        <f>IF(MONTH(Data!$E361)&lt;=6, YEAR(Data!$E361), YEAR(Data!$E361)+1)</f>
        <v>2023</v>
      </c>
      <c r="I361" s="6" t="str">
        <f>TEXT(Data!$E361,"DDDD")</f>
        <v>Saturday</v>
      </c>
      <c r="J361" s="6" t="s">
        <v>14</v>
      </c>
      <c r="K361" s="6">
        <f>ROUND(Data!$G361,0)</f>
        <v>4</v>
      </c>
      <c r="L361" t="str" cm="1">
        <f t="array" ref="L361">_xlfn.IFS(C361&lt;=15,"Very Short",C361&lt;=30,"Short",C361&lt;=60,"Medium",C361&gt;60,"Long")</f>
        <v>Long</v>
      </c>
      <c r="M361" t="str" cm="1">
        <f t="array" ref="M361">_xlfn.IFS(F361&lt;=50,"Low",F361&lt;=100,"Medium",F361&lt;=150,"High",F361&gt;150,"Very High")</f>
        <v>Very High</v>
      </c>
    </row>
    <row r="362" spans="1:13" ht="14.25" customHeight="1" x14ac:dyDescent="0.4">
      <c r="A362" s="6" t="s">
        <v>396</v>
      </c>
      <c r="B362" s="6" t="s">
        <v>46</v>
      </c>
      <c r="C362" s="6">
        <v>85</v>
      </c>
      <c r="D362" s="7" t="s">
        <v>13</v>
      </c>
      <c r="E362" s="11">
        <v>45031</v>
      </c>
      <c r="F362" s="10">
        <v>129</v>
      </c>
      <c r="G362" s="6">
        <v>4.2</v>
      </c>
      <c r="H362" s="6">
        <f>IF(MONTH(Data!$E362)&lt;=6, YEAR(Data!$E362), YEAR(Data!$E362)+1)</f>
        <v>2023</v>
      </c>
      <c r="I362" s="6" t="str">
        <f>TEXT(Data!$E362,"DDDD")</f>
        <v>Saturday</v>
      </c>
      <c r="J362" s="6" t="s">
        <v>14</v>
      </c>
      <c r="K362" s="6">
        <f>ROUND(Data!$G362,0)</f>
        <v>4</v>
      </c>
      <c r="L362" t="str" cm="1">
        <f t="array" ref="L362">_xlfn.IFS(C362&lt;=15,"Very Short",C362&lt;=30,"Short",C362&lt;=60,"Medium",C362&gt;60,"Long")</f>
        <v>Long</v>
      </c>
      <c r="M362" t="str" cm="1">
        <f t="array" ref="M362">_xlfn.IFS(F362&lt;=50,"Low",F362&lt;=100,"Medium",F362&lt;=150,"High",F362&gt;150,"Very High")</f>
        <v>High</v>
      </c>
    </row>
    <row r="363" spans="1:13" ht="14.25" customHeight="1" x14ac:dyDescent="0.4">
      <c r="A363" s="6" t="s">
        <v>397</v>
      </c>
      <c r="B363" s="6" t="s">
        <v>50</v>
      </c>
      <c r="C363" s="6">
        <v>55</v>
      </c>
      <c r="D363" s="7" t="s">
        <v>24</v>
      </c>
      <c r="E363" s="11">
        <v>45031</v>
      </c>
      <c r="F363" s="10">
        <v>215</v>
      </c>
      <c r="G363" s="6">
        <v>4.3</v>
      </c>
      <c r="H363" s="6">
        <f>IF(MONTH(Data!$E363)&lt;=6, YEAR(Data!$E363), YEAR(Data!$E363)+1)</f>
        <v>2023</v>
      </c>
      <c r="I363" s="6" t="str">
        <f>TEXT(Data!$E363,"DDDD")</f>
        <v>Saturday</v>
      </c>
      <c r="J363" s="6" t="s">
        <v>27</v>
      </c>
      <c r="K363" s="6">
        <f>ROUND(Data!$G363,0)</f>
        <v>4</v>
      </c>
      <c r="L363" t="str" cm="1">
        <f t="array" ref="L363">_xlfn.IFS(C363&lt;=15,"Very Short",C363&lt;=30,"Short",C363&lt;=60,"Medium",C363&gt;60,"Long")</f>
        <v>Medium</v>
      </c>
      <c r="M363" t="str" cm="1">
        <f t="array" ref="M363">_xlfn.IFS(F363&lt;=50,"Low",F363&lt;=100,"Medium",F363&lt;=150,"High",F363&gt;150,"Very High")</f>
        <v>Very High</v>
      </c>
    </row>
    <row r="364" spans="1:13" ht="14.25" customHeight="1" x14ac:dyDescent="0.4">
      <c r="A364" s="6" t="s">
        <v>398</v>
      </c>
      <c r="B364" s="6" t="s">
        <v>68</v>
      </c>
      <c r="C364" s="6">
        <v>17</v>
      </c>
      <c r="D364" s="7" t="s">
        <v>35</v>
      </c>
      <c r="E364" s="11">
        <v>45031</v>
      </c>
      <c r="F364" s="10">
        <v>69</v>
      </c>
      <c r="G364" s="6">
        <v>4.5999999999999996</v>
      </c>
      <c r="H364" s="6">
        <f>IF(MONTH(Data!$E364)&lt;=6, YEAR(Data!$E364), YEAR(Data!$E364)+1)</f>
        <v>2023</v>
      </c>
      <c r="I364" s="6" t="str">
        <f>TEXT(Data!$E364,"DDDD")</f>
        <v>Saturday</v>
      </c>
      <c r="J364" s="6" t="s">
        <v>47</v>
      </c>
      <c r="K364" s="6">
        <f>ROUND(Data!$G364,0)</f>
        <v>5</v>
      </c>
      <c r="L364" t="str" cm="1">
        <f t="array" ref="L364">_xlfn.IFS(C364&lt;=15,"Very Short",C364&lt;=30,"Short",C364&lt;=60,"Medium",C364&gt;60,"Long")</f>
        <v>Short</v>
      </c>
      <c r="M364" t="str" cm="1">
        <f t="array" ref="M364">_xlfn.IFS(F364&lt;=50,"Low",F364&lt;=100,"Medium",F364&lt;=150,"High",F364&gt;150,"Very High")</f>
        <v>Medium</v>
      </c>
    </row>
    <row r="365" spans="1:13" ht="14.25" customHeight="1" x14ac:dyDescent="0.4">
      <c r="A365" s="6" t="s">
        <v>399</v>
      </c>
      <c r="B365" s="6" t="s">
        <v>50</v>
      </c>
      <c r="C365" s="6">
        <v>128</v>
      </c>
      <c r="D365" s="7" t="s">
        <v>35</v>
      </c>
      <c r="E365" s="11">
        <v>45031</v>
      </c>
      <c r="F365" s="10">
        <v>140</v>
      </c>
      <c r="G365" s="6">
        <v>3</v>
      </c>
      <c r="H365" s="6">
        <f>IF(MONTH(Data!$E365)&lt;=6, YEAR(Data!$E365), YEAR(Data!$E365)+1)</f>
        <v>2023</v>
      </c>
      <c r="I365" s="6" t="str">
        <f>TEXT(Data!$E365,"DDDD")</f>
        <v>Saturday</v>
      </c>
      <c r="J365" s="6" t="s">
        <v>25</v>
      </c>
      <c r="K365" s="6">
        <f>ROUND(Data!$G365,0)</f>
        <v>3</v>
      </c>
      <c r="L365" t="str" cm="1">
        <f t="array" ref="L365">_xlfn.IFS(C365&lt;=15,"Very Short",C365&lt;=30,"Short",C365&lt;=60,"Medium",C365&gt;60,"Long")</f>
        <v>Long</v>
      </c>
      <c r="M365" t="str" cm="1">
        <f t="array" ref="M365">_xlfn.IFS(F365&lt;=50,"Low",F365&lt;=100,"Medium",F365&lt;=150,"High",F365&gt;150,"Very High")</f>
        <v>High</v>
      </c>
    </row>
    <row r="366" spans="1:13" ht="14.25" customHeight="1" x14ac:dyDescent="0.4">
      <c r="A366" s="6" t="s">
        <v>400</v>
      </c>
      <c r="B366" s="6" t="s">
        <v>55</v>
      </c>
      <c r="C366" s="6">
        <v>45</v>
      </c>
      <c r="D366" s="7" t="s">
        <v>24</v>
      </c>
      <c r="E366" s="11">
        <v>45032</v>
      </c>
      <c r="F366" s="10">
        <v>156</v>
      </c>
      <c r="G366" s="6">
        <v>2.7</v>
      </c>
      <c r="H366" s="6">
        <f>IF(MONTH(Data!$E366)&lt;=6, YEAR(Data!$E366), YEAR(Data!$E366)+1)</f>
        <v>2023</v>
      </c>
      <c r="I366" s="6" t="str">
        <f>TEXT(Data!$E366,"DDDD")</f>
        <v>Sunday</v>
      </c>
      <c r="J366" s="6" t="s">
        <v>27</v>
      </c>
      <c r="K366" s="6">
        <f>ROUND(Data!$G366,0)</f>
        <v>3</v>
      </c>
      <c r="L366" t="str" cm="1">
        <f t="array" ref="L366">_xlfn.IFS(C366&lt;=15,"Very Short",C366&lt;=30,"Short",C366&lt;=60,"Medium",C366&gt;60,"Long")</f>
        <v>Medium</v>
      </c>
      <c r="M366" t="str" cm="1">
        <f t="array" ref="M366">_xlfn.IFS(F366&lt;=50,"Low",F366&lt;=100,"Medium",F366&lt;=150,"High",F366&gt;150,"Very High")</f>
        <v>Very High</v>
      </c>
    </row>
    <row r="367" spans="1:13" ht="14.25" customHeight="1" x14ac:dyDescent="0.4">
      <c r="A367" s="6" t="s">
        <v>401</v>
      </c>
      <c r="B367" s="6" t="s">
        <v>68</v>
      </c>
      <c r="C367" s="6">
        <v>41</v>
      </c>
      <c r="D367" s="7" t="s">
        <v>35</v>
      </c>
      <c r="E367" s="11">
        <v>45032</v>
      </c>
      <c r="F367" s="10">
        <v>164</v>
      </c>
      <c r="G367" s="6">
        <v>3.1</v>
      </c>
      <c r="H367" s="6">
        <f>IF(MONTH(Data!$E367)&lt;=6, YEAR(Data!$E367), YEAR(Data!$E367)+1)</f>
        <v>2023</v>
      </c>
      <c r="I367" s="6" t="str">
        <f>TEXT(Data!$E367,"DDDD")</f>
        <v>Sunday</v>
      </c>
      <c r="J367" s="6" t="s">
        <v>27</v>
      </c>
      <c r="K367" s="6">
        <f>ROUND(Data!$G367,0)</f>
        <v>3</v>
      </c>
      <c r="L367" t="str" cm="1">
        <f t="array" ref="L367">_xlfn.IFS(C367&lt;=15,"Very Short",C367&lt;=30,"Short",C367&lt;=60,"Medium",C367&gt;60,"Long")</f>
        <v>Medium</v>
      </c>
      <c r="M367" t="str" cm="1">
        <f t="array" ref="M367">_xlfn.IFS(F367&lt;=50,"Low",F367&lt;=100,"Medium",F367&lt;=150,"High",F367&gt;150,"Very High")</f>
        <v>Very High</v>
      </c>
    </row>
    <row r="368" spans="1:13" ht="14.25" customHeight="1" x14ac:dyDescent="0.4">
      <c r="A368" s="6" t="s">
        <v>402</v>
      </c>
      <c r="B368" s="6" t="s">
        <v>40</v>
      </c>
      <c r="C368" s="6">
        <v>49</v>
      </c>
      <c r="D368" s="7" t="s">
        <v>35</v>
      </c>
      <c r="E368" s="11">
        <v>45032</v>
      </c>
      <c r="F368" s="10">
        <v>195</v>
      </c>
      <c r="G368" s="6">
        <v>2.6</v>
      </c>
      <c r="H368" s="6">
        <f>IF(MONTH(Data!$E368)&lt;=6, YEAR(Data!$E368), YEAR(Data!$E368)+1)</f>
        <v>2023</v>
      </c>
      <c r="I368" s="6" t="str">
        <f>TEXT(Data!$E368,"DDDD")</f>
        <v>Sunday</v>
      </c>
      <c r="J368" s="6" t="s">
        <v>27</v>
      </c>
      <c r="K368" s="6">
        <f>ROUND(Data!$G368,0)</f>
        <v>3</v>
      </c>
      <c r="L368" t="str" cm="1">
        <f t="array" ref="L368">_xlfn.IFS(C368&lt;=15,"Very Short",C368&lt;=30,"Short",C368&lt;=60,"Medium",C368&gt;60,"Long")</f>
        <v>Medium</v>
      </c>
      <c r="M368" t="str" cm="1">
        <f t="array" ref="M368">_xlfn.IFS(F368&lt;=50,"Low",F368&lt;=100,"Medium",F368&lt;=150,"High",F368&gt;150,"Very High")</f>
        <v>Very High</v>
      </c>
    </row>
    <row r="369" spans="1:13" ht="14.25" customHeight="1" x14ac:dyDescent="0.4">
      <c r="A369" s="6" t="s">
        <v>403</v>
      </c>
      <c r="B369" s="6" t="s">
        <v>16</v>
      </c>
      <c r="C369" s="6">
        <v>21</v>
      </c>
      <c r="D369" s="7" t="s">
        <v>31</v>
      </c>
      <c r="E369" s="11">
        <v>45032</v>
      </c>
      <c r="F369" s="10">
        <v>74</v>
      </c>
      <c r="G369" s="6">
        <v>4.5999999999999996</v>
      </c>
      <c r="H369" s="6">
        <f>IF(MONTH(Data!$E369)&lt;=6, YEAR(Data!$E369), YEAR(Data!$E369)+1)</f>
        <v>2023</v>
      </c>
      <c r="I369" s="6" t="str">
        <f>TEXT(Data!$E369,"DDDD")</f>
        <v>Sunday</v>
      </c>
      <c r="J369" s="6" t="s">
        <v>47</v>
      </c>
      <c r="K369" s="6">
        <f>ROUND(Data!$G369,0)</f>
        <v>5</v>
      </c>
      <c r="L369" t="str" cm="1">
        <f t="array" ref="L369">_xlfn.IFS(C369&lt;=15,"Very Short",C369&lt;=30,"Short",C369&lt;=60,"Medium",C369&gt;60,"Long")</f>
        <v>Short</v>
      </c>
      <c r="M369" t="str" cm="1">
        <f t="array" ref="M369">_xlfn.IFS(F369&lt;=50,"Low",F369&lt;=100,"Medium",F369&lt;=150,"High",F369&gt;150,"Very High")</f>
        <v>Medium</v>
      </c>
    </row>
    <row r="370" spans="1:13" ht="14.25" customHeight="1" x14ac:dyDescent="0.4">
      <c r="A370" s="6" t="s">
        <v>404</v>
      </c>
      <c r="B370" s="6" t="s">
        <v>58</v>
      </c>
      <c r="C370" s="6">
        <v>133</v>
      </c>
      <c r="D370" s="7" t="s">
        <v>24</v>
      </c>
      <c r="E370" s="11">
        <v>45032</v>
      </c>
      <c r="F370" s="10">
        <v>100</v>
      </c>
      <c r="G370" s="6">
        <v>4</v>
      </c>
      <c r="H370" s="6">
        <f>IF(MONTH(Data!$E370)&lt;=6, YEAR(Data!$E370), YEAR(Data!$E370)+1)</f>
        <v>2023</v>
      </c>
      <c r="I370" s="6" t="str">
        <f>TEXT(Data!$E370,"DDDD")</f>
        <v>Sunday</v>
      </c>
      <c r="J370" s="6" t="s">
        <v>25</v>
      </c>
      <c r="K370" s="6">
        <f>ROUND(Data!$G370,0)</f>
        <v>4</v>
      </c>
      <c r="L370" t="str" cm="1">
        <f t="array" ref="L370">_xlfn.IFS(C370&lt;=15,"Very Short",C370&lt;=30,"Short",C370&lt;=60,"Medium",C370&gt;60,"Long")</f>
        <v>Long</v>
      </c>
      <c r="M370" t="str" cm="1">
        <f t="array" ref="M370">_xlfn.IFS(F370&lt;=50,"Low",F370&lt;=100,"Medium",F370&lt;=150,"High",F370&gt;150,"Very High")</f>
        <v>Medium</v>
      </c>
    </row>
    <row r="371" spans="1:13" ht="14.25" customHeight="1" x14ac:dyDescent="0.4">
      <c r="A371" s="6" t="s">
        <v>405</v>
      </c>
      <c r="B371" s="6" t="s">
        <v>12</v>
      </c>
      <c r="C371" s="6">
        <v>135</v>
      </c>
      <c r="D371" s="7" t="s">
        <v>19</v>
      </c>
      <c r="E371" s="11">
        <v>45032</v>
      </c>
      <c r="F371" s="10">
        <v>185</v>
      </c>
      <c r="G371" s="6">
        <v>4.5</v>
      </c>
      <c r="H371" s="6">
        <f>IF(MONTH(Data!$E371)&lt;=6, YEAR(Data!$E371), YEAR(Data!$E371)+1)</f>
        <v>2023</v>
      </c>
      <c r="I371" s="6" t="str">
        <f>TEXT(Data!$E371,"DDDD")</f>
        <v>Sunday</v>
      </c>
      <c r="J371" s="6" t="s">
        <v>25</v>
      </c>
      <c r="K371" s="6">
        <f>ROUND(Data!$G371,0)</f>
        <v>5</v>
      </c>
      <c r="L371" t="str" cm="1">
        <f t="array" ref="L371">_xlfn.IFS(C371&lt;=15,"Very Short",C371&lt;=30,"Short",C371&lt;=60,"Medium",C371&gt;60,"Long")</f>
        <v>Long</v>
      </c>
      <c r="M371" t="str" cm="1">
        <f t="array" ref="M371">_xlfn.IFS(F371&lt;=50,"Low",F371&lt;=100,"Medium",F371&lt;=150,"High",F371&gt;150,"Very High")</f>
        <v>Very High</v>
      </c>
    </row>
    <row r="372" spans="1:13" ht="14.25" customHeight="1" x14ac:dyDescent="0.4">
      <c r="A372" s="6" t="s">
        <v>406</v>
      </c>
      <c r="B372" s="6" t="s">
        <v>38</v>
      </c>
      <c r="C372" s="6">
        <v>69</v>
      </c>
      <c r="D372" s="7" t="s">
        <v>24</v>
      </c>
      <c r="E372" s="11">
        <v>45032</v>
      </c>
      <c r="F372" s="10">
        <v>130</v>
      </c>
      <c r="G372" s="6">
        <v>1.9</v>
      </c>
      <c r="H372" s="6">
        <f>IF(MONTH(Data!$E372)&lt;=6, YEAR(Data!$E372), YEAR(Data!$E372)+1)</f>
        <v>2023</v>
      </c>
      <c r="I372" s="6" t="str">
        <f>TEXT(Data!$E372,"DDDD")</f>
        <v>Sunday</v>
      </c>
      <c r="J372" s="6" t="s">
        <v>14</v>
      </c>
      <c r="K372" s="6">
        <f>ROUND(Data!$G372,0)</f>
        <v>2</v>
      </c>
      <c r="L372" t="str" cm="1">
        <f t="array" ref="L372">_xlfn.IFS(C372&lt;=15,"Very Short",C372&lt;=30,"Short",C372&lt;=60,"Medium",C372&gt;60,"Long")</f>
        <v>Long</v>
      </c>
      <c r="M372" t="str" cm="1">
        <f t="array" ref="M372">_xlfn.IFS(F372&lt;=50,"Low",F372&lt;=100,"Medium",F372&lt;=150,"High",F372&gt;150,"Very High")</f>
        <v>High</v>
      </c>
    </row>
    <row r="373" spans="1:13" ht="14.25" customHeight="1" x14ac:dyDescent="0.4">
      <c r="A373" s="6" t="s">
        <v>407</v>
      </c>
      <c r="B373" s="6" t="s">
        <v>34</v>
      </c>
      <c r="C373" s="6">
        <v>110</v>
      </c>
      <c r="D373" s="7" t="s">
        <v>31</v>
      </c>
      <c r="E373" s="11">
        <v>45033</v>
      </c>
      <c r="F373" s="10">
        <v>21</v>
      </c>
      <c r="G373" s="6">
        <v>2.6</v>
      </c>
      <c r="H373" s="6">
        <f>IF(MONTH(Data!$E373)&lt;=6, YEAR(Data!$E373), YEAR(Data!$E373)+1)</f>
        <v>2023</v>
      </c>
      <c r="I373" s="6" t="str">
        <f>TEXT(Data!$E373,"DDDD")</f>
        <v>Monday</v>
      </c>
      <c r="J373" s="6" t="s">
        <v>14</v>
      </c>
      <c r="K373" s="6">
        <f>ROUND(Data!$G373,0)</f>
        <v>3</v>
      </c>
      <c r="L373" t="str" cm="1">
        <f t="array" ref="L373">_xlfn.IFS(C373&lt;=15,"Very Short",C373&lt;=30,"Short",C373&lt;=60,"Medium",C373&gt;60,"Long")</f>
        <v>Long</v>
      </c>
      <c r="M373" t="str" cm="1">
        <f t="array" ref="M373">_xlfn.IFS(F373&lt;=50,"Low",F373&lt;=100,"Medium",F373&lt;=150,"High",F373&gt;150,"Very High")</f>
        <v>Low</v>
      </c>
    </row>
    <row r="374" spans="1:13" ht="14.25" customHeight="1" x14ac:dyDescent="0.4">
      <c r="A374" s="6" t="s">
        <v>408</v>
      </c>
      <c r="B374" s="6" t="s">
        <v>88</v>
      </c>
      <c r="C374" s="6">
        <v>64</v>
      </c>
      <c r="D374" s="7" t="s">
        <v>13</v>
      </c>
      <c r="E374" s="11">
        <v>45033</v>
      </c>
      <c r="F374" s="10">
        <v>88</v>
      </c>
      <c r="G374" s="6">
        <v>4.3</v>
      </c>
      <c r="H374" s="6">
        <f>IF(MONTH(Data!$E374)&lt;=6, YEAR(Data!$E374), YEAR(Data!$E374)+1)</f>
        <v>2023</v>
      </c>
      <c r="I374" s="6" t="str">
        <f>TEXT(Data!$E374,"DDDD")</f>
        <v>Monday</v>
      </c>
      <c r="J374" s="6" t="s">
        <v>14</v>
      </c>
      <c r="K374" s="6">
        <f>ROUND(Data!$G374,0)</f>
        <v>4</v>
      </c>
      <c r="L374" t="str" cm="1">
        <f t="array" ref="L374">_xlfn.IFS(C374&lt;=15,"Very Short",C374&lt;=30,"Short",C374&lt;=60,"Medium",C374&gt;60,"Long")</f>
        <v>Long</v>
      </c>
      <c r="M374" t="str" cm="1">
        <f t="array" ref="M374">_xlfn.IFS(F374&lt;=50,"Low",F374&lt;=100,"Medium",F374&lt;=150,"High",F374&gt;150,"Very High")</f>
        <v>Medium</v>
      </c>
    </row>
    <row r="375" spans="1:13" ht="14.25" customHeight="1" x14ac:dyDescent="0.4">
      <c r="A375" s="6" t="s">
        <v>409</v>
      </c>
      <c r="B375" s="6" t="s">
        <v>18</v>
      </c>
      <c r="C375" s="6">
        <v>105</v>
      </c>
      <c r="D375" s="7" t="s">
        <v>35</v>
      </c>
      <c r="E375" s="11">
        <v>45033</v>
      </c>
      <c r="F375" s="10">
        <v>35</v>
      </c>
      <c r="G375" s="6">
        <v>4.4000000000000004</v>
      </c>
      <c r="H375" s="6">
        <f>IF(MONTH(Data!$E375)&lt;=6, YEAR(Data!$E375), YEAR(Data!$E375)+1)</f>
        <v>2023</v>
      </c>
      <c r="I375" s="6" t="str">
        <f>TEXT(Data!$E375,"DDDD")</f>
        <v>Monday</v>
      </c>
      <c r="J375" s="6" t="s">
        <v>14</v>
      </c>
      <c r="K375" s="6">
        <f>ROUND(Data!$G375,0)</f>
        <v>4</v>
      </c>
      <c r="L375" t="str" cm="1">
        <f t="array" ref="L375">_xlfn.IFS(C375&lt;=15,"Very Short",C375&lt;=30,"Short",C375&lt;=60,"Medium",C375&gt;60,"Long")</f>
        <v>Long</v>
      </c>
      <c r="M375" t="str" cm="1">
        <f t="array" ref="M375">_xlfn.IFS(F375&lt;=50,"Low",F375&lt;=100,"Medium",F375&lt;=150,"High",F375&gt;150,"Very High")</f>
        <v>Low</v>
      </c>
    </row>
    <row r="376" spans="1:13" ht="14.25" customHeight="1" x14ac:dyDescent="0.4">
      <c r="A376" s="6" t="s">
        <v>410</v>
      </c>
      <c r="B376" s="6" t="s">
        <v>88</v>
      </c>
      <c r="C376" s="6">
        <v>165</v>
      </c>
      <c r="D376" s="7" t="s">
        <v>19</v>
      </c>
      <c r="E376" s="11">
        <v>45033</v>
      </c>
      <c r="F376" s="10">
        <v>68</v>
      </c>
      <c r="G376" s="6">
        <v>4.3</v>
      </c>
      <c r="H376" s="6">
        <f>IF(MONTH(Data!$E376)&lt;=6, YEAR(Data!$E376), YEAR(Data!$E376)+1)</f>
        <v>2023</v>
      </c>
      <c r="I376" s="6" t="str">
        <f>TEXT(Data!$E376,"DDDD")</f>
        <v>Monday</v>
      </c>
      <c r="J376" s="6" t="s">
        <v>25</v>
      </c>
      <c r="K376" s="6">
        <f>ROUND(Data!$G376,0)</f>
        <v>4</v>
      </c>
      <c r="L376" t="str" cm="1">
        <f t="array" ref="L376">_xlfn.IFS(C376&lt;=15,"Very Short",C376&lt;=30,"Short",C376&lt;=60,"Medium",C376&gt;60,"Long")</f>
        <v>Long</v>
      </c>
      <c r="M376" t="str" cm="1">
        <f t="array" ref="M376">_xlfn.IFS(F376&lt;=50,"Low",F376&lt;=100,"Medium",F376&lt;=150,"High",F376&gt;150,"Very High")</f>
        <v>Medium</v>
      </c>
    </row>
    <row r="377" spans="1:13" ht="14.25" customHeight="1" x14ac:dyDescent="0.4">
      <c r="A377" s="6" t="s">
        <v>411</v>
      </c>
      <c r="B377" s="6" t="s">
        <v>55</v>
      </c>
      <c r="C377" s="6">
        <v>125</v>
      </c>
      <c r="D377" s="7" t="s">
        <v>19</v>
      </c>
      <c r="E377" s="11">
        <v>45033</v>
      </c>
      <c r="F377" s="10">
        <v>148</v>
      </c>
      <c r="G377" s="6">
        <v>4.5</v>
      </c>
      <c r="H377" s="6">
        <f>IF(MONTH(Data!$E377)&lt;=6, YEAR(Data!$E377), YEAR(Data!$E377)+1)</f>
        <v>2023</v>
      </c>
      <c r="I377" s="6" t="str">
        <f>TEXT(Data!$E377,"DDDD")</f>
        <v>Monday</v>
      </c>
      <c r="J377" s="6" t="s">
        <v>25</v>
      </c>
      <c r="K377" s="6">
        <f>ROUND(Data!$G377,0)</f>
        <v>5</v>
      </c>
      <c r="L377" t="str" cm="1">
        <f t="array" ref="L377">_xlfn.IFS(C377&lt;=15,"Very Short",C377&lt;=30,"Short",C377&lt;=60,"Medium",C377&gt;60,"Long")</f>
        <v>Long</v>
      </c>
      <c r="M377" t="str" cm="1">
        <f t="array" ref="M377">_xlfn.IFS(F377&lt;=50,"Low",F377&lt;=100,"Medium",F377&lt;=150,"High",F377&gt;150,"Very High")</f>
        <v>High</v>
      </c>
    </row>
    <row r="378" spans="1:13" ht="14.25" customHeight="1" x14ac:dyDescent="0.4">
      <c r="A378" s="6" t="s">
        <v>412</v>
      </c>
      <c r="B378" s="6" t="s">
        <v>18</v>
      </c>
      <c r="C378" s="6">
        <v>88</v>
      </c>
      <c r="D378" s="7" t="s">
        <v>13</v>
      </c>
      <c r="E378" s="11">
        <v>45034</v>
      </c>
      <c r="F378" s="10">
        <v>81</v>
      </c>
      <c r="G378" s="6">
        <v>4.2</v>
      </c>
      <c r="H378" s="6">
        <f>IF(MONTH(Data!$E378)&lt;=6, YEAR(Data!$E378), YEAR(Data!$E378)+1)</f>
        <v>2023</v>
      </c>
      <c r="I378" s="6" t="str">
        <f>TEXT(Data!$E378,"DDDD")</f>
        <v>Tuesday</v>
      </c>
      <c r="J378" s="6" t="s">
        <v>14</v>
      </c>
      <c r="K378" s="6">
        <f>ROUND(Data!$G378,0)</f>
        <v>4</v>
      </c>
      <c r="L378" t="str" cm="1">
        <f t="array" ref="L378">_xlfn.IFS(C378&lt;=15,"Very Short",C378&lt;=30,"Short",C378&lt;=60,"Medium",C378&gt;60,"Long")</f>
        <v>Long</v>
      </c>
      <c r="M378" t="str" cm="1">
        <f t="array" ref="M378">_xlfn.IFS(F378&lt;=50,"Low",F378&lt;=100,"Medium",F378&lt;=150,"High",F378&gt;150,"Very High")</f>
        <v>Medium</v>
      </c>
    </row>
    <row r="379" spans="1:13" ht="14.25" customHeight="1" x14ac:dyDescent="0.4">
      <c r="A379" s="6" t="s">
        <v>413</v>
      </c>
      <c r="B379" s="6" t="s">
        <v>38</v>
      </c>
      <c r="C379" s="6">
        <v>6</v>
      </c>
      <c r="D379" s="7" t="s">
        <v>13</v>
      </c>
      <c r="E379" s="11">
        <v>45034</v>
      </c>
      <c r="F379" s="10">
        <v>75</v>
      </c>
      <c r="G379" s="6">
        <v>3.9</v>
      </c>
      <c r="H379" s="6">
        <f>IF(MONTH(Data!$E379)&lt;=6, YEAR(Data!$E379), YEAR(Data!$E379)+1)</f>
        <v>2023</v>
      </c>
      <c r="I379" s="6" t="str">
        <f>TEXT(Data!$E379,"DDDD")</f>
        <v>Tuesday</v>
      </c>
      <c r="J379" s="6" t="s">
        <v>176</v>
      </c>
      <c r="K379" s="6">
        <f>ROUND(Data!$G379,0)</f>
        <v>4</v>
      </c>
      <c r="L379" t="str" cm="1">
        <f t="array" ref="L379">_xlfn.IFS(C379&lt;=15,"Very Short",C379&lt;=30,"Short",C379&lt;=60,"Medium",C379&gt;60,"Long")</f>
        <v>Very Short</v>
      </c>
      <c r="M379" t="str" cm="1">
        <f t="array" ref="M379">_xlfn.IFS(F379&lt;=50,"Low",F379&lt;=100,"Medium",F379&lt;=150,"High",F379&gt;150,"Very High")</f>
        <v>Medium</v>
      </c>
    </row>
    <row r="380" spans="1:13" ht="14.25" customHeight="1" x14ac:dyDescent="0.4">
      <c r="A380" s="6" t="s">
        <v>414</v>
      </c>
      <c r="B380" s="6" t="s">
        <v>46</v>
      </c>
      <c r="C380" s="6">
        <v>69</v>
      </c>
      <c r="D380" s="7" t="s">
        <v>24</v>
      </c>
      <c r="E380" s="11">
        <v>45035</v>
      </c>
      <c r="F380" s="10">
        <v>32</v>
      </c>
      <c r="G380" s="6">
        <v>3.6</v>
      </c>
      <c r="H380" s="6">
        <f>IF(MONTH(Data!$E380)&lt;=6, YEAR(Data!$E380), YEAR(Data!$E380)+1)</f>
        <v>2023</v>
      </c>
      <c r="I380" s="6" t="str">
        <f>TEXT(Data!$E380,"DDDD")</f>
        <v>Wednesday</v>
      </c>
      <c r="J380" s="6" t="s">
        <v>14</v>
      </c>
      <c r="K380" s="6">
        <f>ROUND(Data!$G380,0)</f>
        <v>4</v>
      </c>
      <c r="L380" t="str" cm="1">
        <f t="array" ref="L380">_xlfn.IFS(C380&lt;=15,"Very Short",C380&lt;=30,"Short",C380&lt;=60,"Medium",C380&gt;60,"Long")</f>
        <v>Long</v>
      </c>
      <c r="M380" t="str" cm="1">
        <f t="array" ref="M380">_xlfn.IFS(F380&lt;=50,"Low",F380&lt;=100,"Medium",F380&lt;=150,"High",F380&gt;150,"Very High")</f>
        <v>Low</v>
      </c>
    </row>
    <row r="381" spans="1:13" ht="14.25" customHeight="1" x14ac:dyDescent="0.4">
      <c r="A381" s="6" t="s">
        <v>415</v>
      </c>
      <c r="B381" s="6" t="s">
        <v>68</v>
      </c>
      <c r="C381" s="6">
        <v>107</v>
      </c>
      <c r="D381" s="7" t="s">
        <v>24</v>
      </c>
      <c r="E381" s="11">
        <v>45035</v>
      </c>
      <c r="F381" s="10">
        <v>156</v>
      </c>
      <c r="G381" s="6">
        <v>3.8</v>
      </c>
      <c r="H381" s="6">
        <f>IF(MONTH(Data!$E381)&lt;=6, YEAR(Data!$E381), YEAR(Data!$E381)+1)</f>
        <v>2023</v>
      </c>
      <c r="I381" s="6" t="str">
        <f>TEXT(Data!$E381,"DDDD")</f>
        <v>Wednesday</v>
      </c>
      <c r="J381" s="6" t="s">
        <v>14</v>
      </c>
      <c r="K381" s="6">
        <f>ROUND(Data!$G381,0)</f>
        <v>4</v>
      </c>
      <c r="L381" t="str" cm="1">
        <f t="array" ref="L381">_xlfn.IFS(C381&lt;=15,"Very Short",C381&lt;=30,"Short",C381&lt;=60,"Medium",C381&gt;60,"Long")</f>
        <v>Long</v>
      </c>
      <c r="M381" t="str" cm="1">
        <f t="array" ref="M381">_xlfn.IFS(F381&lt;=50,"Low",F381&lt;=100,"Medium",F381&lt;=150,"High",F381&gt;150,"Very High")</f>
        <v>Very High</v>
      </c>
    </row>
    <row r="382" spans="1:13" ht="14.25" customHeight="1" x14ac:dyDescent="0.4">
      <c r="A382" s="6" t="s">
        <v>416</v>
      </c>
      <c r="B382" s="6" t="s">
        <v>16</v>
      </c>
      <c r="C382" s="6">
        <v>90</v>
      </c>
      <c r="D382" s="7" t="s">
        <v>19</v>
      </c>
      <c r="E382" s="11">
        <v>45035</v>
      </c>
      <c r="F382" s="10">
        <v>99</v>
      </c>
      <c r="G382" s="6">
        <v>4.9000000000000004</v>
      </c>
      <c r="H382" s="6">
        <f>IF(MONTH(Data!$E382)&lt;=6, YEAR(Data!$E382), YEAR(Data!$E382)+1)</f>
        <v>2023</v>
      </c>
      <c r="I382" s="6" t="str">
        <f>TEXT(Data!$E382,"DDDD")</f>
        <v>Wednesday</v>
      </c>
      <c r="J382" s="6" t="s">
        <v>14</v>
      </c>
      <c r="K382" s="6">
        <f>ROUND(Data!$G382,0)</f>
        <v>5</v>
      </c>
      <c r="L382" t="str" cm="1">
        <f t="array" ref="L382">_xlfn.IFS(C382&lt;=15,"Very Short",C382&lt;=30,"Short",C382&lt;=60,"Medium",C382&gt;60,"Long")</f>
        <v>Long</v>
      </c>
      <c r="M382" t="str" cm="1">
        <f t="array" ref="M382">_xlfn.IFS(F382&lt;=50,"Low",F382&lt;=100,"Medium",F382&lt;=150,"High",F382&gt;150,"Very High")</f>
        <v>Medium</v>
      </c>
    </row>
    <row r="383" spans="1:13" ht="14.25" customHeight="1" x14ac:dyDescent="0.4">
      <c r="A383" s="6" t="s">
        <v>417</v>
      </c>
      <c r="B383" s="6" t="s">
        <v>12</v>
      </c>
      <c r="C383" s="6">
        <v>120</v>
      </c>
      <c r="D383" s="7" t="s">
        <v>35</v>
      </c>
      <c r="E383" s="11">
        <v>45035</v>
      </c>
      <c r="F383" s="10">
        <v>26</v>
      </c>
      <c r="G383" s="6">
        <v>4</v>
      </c>
      <c r="H383" s="6">
        <f>IF(MONTH(Data!$E383)&lt;=6, YEAR(Data!$E383), YEAR(Data!$E383)+1)</f>
        <v>2023</v>
      </c>
      <c r="I383" s="6" t="str">
        <f>TEXT(Data!$E383,"DDDD")</f>
        <v>Wednesday</v>
      </c>
      <c r="J383" s="6" t="s">
        <v>14</v>
      </c>
      <c r="K383" s="6">
        <f>ROUND(Data!$G383,0)</f>
        <v>4</v>
      </c>
      <c r="L383" t="str" cm="1">
        <f t="array" ref="L383">_xlfn.IFS(C383&lt;=15,"Very Short",C383&lt;=30,"Short",C383&lt;=60,"Medium",C383&gt;60,"Long")</f>
        <v>Long</v>
      </c>
      <c r="M383" t="str" cm="1">
        <f t="array" ref="M383">_xlfn.IFS(F383&lt;=50,"Low",F383&lt;=100,"Medium",F383&lt;=150,"High",F383&gt;150,"Very High")</f>
        <v>Low</v>
      </c>
    </row>
    <row r="384" spans="1:13" ht="14.25" customHeight="1" x14ac:dyDescent="0.4">
      <c r="A384" s="6" t="s">
        <v>418</v>
      </c>
      <c r="B384" s="6" t="s">
        <v>23</v>
      </c>
      <c r="C384" s="6">
        <v>47</v>
      </c>
      <c r="D384" s="7" t="s">
        <v>24</v>
      </c>
      <c r="E384" s="11">
        <v>45035</v>
      </c>
      <c r="F384" s="10">
        <v>84</v>
      </c>
      <c r="G384" s="6">
        <v>4.0999999999999996</v>
      </c>
      <c r="H384" s="6">
        <f>IF(MONTH(Data!$E384)&lt;=6, YEAR(Data!$E384), YEAR(Data!$E384)+1)</f>
        <v>2023</v>
      </c>
      <c r="I384" s="6" t="str">
        <f>TEXT(Data!$E384,"DDDD")</f>
        <v>Wednesday</v>
      </c>
      <c r="J384" s="6" t="s">
        <v>27</v>
      </c>
      <c r="K384" s="6">
        <f>ROUND(Data!$G384,0)</f>
        <v>4</v>
      </c>
      <c r="L384" t="str" cm="1">
        <f t="array" ref="L384">_xlfn.IFS(C384&lt;=15,"Very Short",C384&lt;=30,"Short",C384&lt;=60,"Medium",C384&gt;60,"Long")</f>
        <v>Medium</v>
      </c>
      <c r="M384" t="str" cm="1">
        <f t="array" ref="M384">_xlfn.IFS(F384&lt;=50,"Low",F384&lt;=100,"Medium",F384&lt;=150,"High",F384&gt;150,"Very High")</f>
        <v>Medium</v>
      </c>
    </row>
    <row r="385" spans="1:13" ht="14.25" customHeight="1" x14ac:dyDescent="0.4">
      <c r="A385" s="6" t="s">
        <v>419</v>
      </c>
      <c r="B385" s="6" t="s">
        <v>21</v>
      </c>
      <c r="C385" s="6">
        <v>60</v>
      </c>
      <c r="D385" s="7" t="s">
        <v>35</v>
      </c>
      <c r="E385" s="11">
        <v>45035</v>
      </c>
      <c r="F385" s="10">
        <v>84</v>
      </c>
      <c r="G385" s="6">
        <v>4.8</v>
      </c>
      <c r="H385" s="6">
        <f>IF(MONTH(Data!$E385)&lt;=6, YEAR(Data!$E385), YEAR(Data!$E385)+1)</f>
        <v>2023</v>
      </c>
      <c r="I385" s="6" t="str">
        <f>TEXT(Data!$E385,"DDDD")</f>
        <v>Wednesday</v>
      </c>
      <c r="J385" s="6" t="s">
        <v>27</v>
      </c>
      <c r="K385" s="6">
        <f>ROUND(Data!$G385,0)</f>
        <v>5</v>
      </c>
      <c r="L385" t="str" cm="1">
        <f t="array" ref="L385">_xlfn.IFS(C385&lt;=15,"Very Short",C385&lt;=30,"Short",C385&lt;=60,"Medium",C385&gt;60,"Long")</f>
        <v>Medium</v>
      </c>
      <c r="M385" t="str" cm="1">
        <f t="array" ref="M385">_xlfn.IFS(F385&lt;=50,"Low",F385&lt;=100,"Medium",F385&lt;=150,"High",F385&gt;150,"Very High")</f>
        <v>Medium</v>
      </c>
    </row>
    <row r="386" spans="1:13" ht="14.25" customHeight="1" x14ac:dyDescent="0.4">
      <c r="A386" s="6" t="s">
        <v>420</v>
      </c>
      <c r="B386" s="6" t="s">
        <v>50</v>
      </c>
      <c r="C386" s="6">
        <v>64</v>
      </c>
      <c r="D386" s="7" t="s">
        <v>19</v>
      </c>
      <c r="E386" s="11">
        <v>45035</v>
      </c>
      <c r="F386" s="10">
        <v>170</v>
      </c>
      <c r="G386" s="6">
        <v>2.2999999999999998</v>
      </c>
      <c r="H386" s="6">
        <f>IF(MONTH(Data!$E386)&lt;=6, YEAR(Data!$E386), YEAR(Data!$E386)+1)</f>
        <v>2023</v>
      </c>
      <c r="I386" s="6" t="str">
        <f>TEXT(Data!$E386,"DDDD")</f>
        <v>Wednesday</v>
      </c>
      <c r="J386" s="6" t="s">
        <v>14</v>
      </c>
      <c r="K386" s="6">
        <f>ROUND(Data!$G386,0)</f>
        <v>2</v>
      </c>
      <c r="L386" t="str" cm="1">
        <f t="array" ref="L386">_xlfn.IFS(C386&lt;=15,"Very Short",C386&lt;=30,"Short",C386&lt;=60,"Medium",C386&gt;60,"Long")</f>
        <v>Long</v>
      </c>
      <c r="M386" t="str" cm="1">
        <f t="array" ref="M386">_xlfn.IFS(F386&lt;=50,"Low",F386&lt;=100,"Medium",F386&lt;=150,"High",F386&gt;150,"Very High")</f>
        <v>Very High</v>
      </c>
    </row>
    <row r="387" spans="1:13" ht="14.25" customHeight="1" x14ac:dyDescent="0.4">
      <c r="A387" s="6" t="s">
        <v>421</v>
      </c>
      <c r="B387" s="6" t="s">
        <v>88</v>
      </c>
      <c r="C387" s="6">
        <v>62</v>
      </c>
      <c r="D387" s="7" t="s">
        <v>24</v>
      </c>
      <c r="E387" s="11">
        <v>45035</v>
      </c>
      <c r="F387" s="10">
        <v>35</v>
      </c>
      <c r="G387" s="6">
        <v>4.4000000000000004</v>
      </c>
      <c r="H387" s="6">
        <f>IF(MONTH(Data!$E387)&lt;=6, YEAR(Data!$E387), YEAR(Data!$E387)+1)</f>
        <v>2023</v>
      </c>
      <c r="I387" s="6" t="str">
        <f>TEXT(Data!$E387,"DDDD")</f>
        <v>Wednesday</v>
      </c>
      <c r="J387" s="6" t="s">
        <v>14</v>
      </c>
      <c r="K387" s="6">
        <f>ROUND(Data!$G387,0)</f>
        <v>4</v>
      </c>
      <c r="L387" t="str" cm="1">
        <f t="array" ref="L387">_xlfn.IFS(C387&lt;=15,"Very Short",C387&lt;=30,"Short",C387&lt;=60,"Medium",C387&gt;60,"Long")</f>
        <v>Long</v>
      </c>
      <c r="M387" t="str" cm="1">
        <f t="array" ref="M387">_xlfn.IFS(F387&lt;=50,"Low",F387&lt;=100,"Medium",F387&lt;=150,"High",F387&gt;150,"Very High")</f>
        <v>Low</v>
      </c>
    </row>
    <row r="388" spans="1:13" ht="14.25" customHeight="1" x14ac:dyDescent="0.4">
      <c r="A388" s="6" t="s">
        <v>422</v>
      </c>
      <c r="B388" s="6" t="s">
        <v>34</v>
      </c>
      <c r="C388" s="6">
        <v>88</v>
      </c>
      <c r="D388" s="7" t="s">
        <v>24</v>
      </c>
      <c r="E388" s="11">
        <v>45036</v>
      </c>
      <c r="F388" s="10">
        <v>35</v>
      </c>
      <c r="G388" s="6">
        <v>3.8</v>
      </c>
      <c r="H388" s="6">
        <f>IF(MONTH(Data!$E388)&lt;=6, YEAR(Data!$E388), YEAR(Data!$E388)+1)</f>
        <v>2023</v>
      </c>
      <c r="I388" s="6" t="str">
        <f>TEXT(Data!$E388,"DDDD")</f>
        <v>Thursday</v>
      </c>
      <c r="J388" s="6" t="s">
        <v>14</v>
      </c>
      <c r="K388" s="6">
        <f>ROUND(Data!$G388,0)</f>
        <v>4</v>
      </c>
      <c r="L388" t="str" cm="1">
        <f t="array" ref="L388">_xlfn.IFS(C388&lt;=15,"Very Short",C388&lt;=30,"Short",C388&lt;=60,"Medium",C388&gt;60,"Long")</f>
        <v>Long</v>
      </c>
      <c r="M388" t="str" cm="1">
        <f t="array" ref="M388">_xlfn.IFS(F388&lt;=50,"Low",F388&lt;=100,"Medium",F388&lt;=150,"High",F388&gt;150,"Very High")</f>
        <v>Low</v>
      </c>
    </row>
    <row r="389" spans="1:13" ht="14.25" customHeight="1" x14ac:dyDescent="0.4">
      <c r="A389" s="6" t="s">
        <v>423</v>
      </c>
      <c r="B389" s="6" t="s">
        <v>55</v>
      </c>
      <c r="C389" s="6">
        <v>116</v>
      </c>
      <c r="D389" s="7" t="s">
        <v>24</v>
      </c>
      <c r="E389" s="11">
        <v>45036</v>
      </c>
      <c r="F389" s="10">
        <v>132</v>
      </c>
      <c r="G389" s="6">
        <v>5</v>
      </c>
      <c r="H389" s="6">
        <f>IF(MONTH(Data!$E389)&lt;=6, YEAR(Data!$E389), YEAR(Data!$E389)+1)</f>
        <v>2023</v>
      </c>
      <c r="I389" s="6" t="str">
        <f>TEXT(Data!$E389,"DDDD")</f>
        <v>Thursday</v>
      </c>
      <c r="J389" s="6" t="s">
        <v>14</v>
      </c>
      <c r="K389" s="6">
        <f>ROUND(Data!$G389,0)</f>
        <v>5</v>
      </c>
      <c r="L389" t="str" cm="1">
        <f t="array" ref="L389">_xlfn.IFS(C389&lt;=15,"Very Short",C389&lt;=30,"Short",C389&lt;=60,"Medium",C389&gt;60,"Long")</f>
        <v>Long</v>
      </c>
      <c r="M389" t="str" cm="1">
        <f t="array" ref="M389">_xlfn.IFS(F389&lt;=50,"Low",F389&lt;=100,"Medium",F389&lt;=150,"High",F389&gt;150,"Very High")</f>
        <v>High</v>
      </c>
    </row>
    <row r="390" spans="1:13" ht="14.25" customHeight="1" x14ac:dyDescent="0.4">
      <c r="A390" s="6" t="s">
        <v>424</v>
      </c>
      <c r="B390" s="6" t="s">
        <v>16</v>
      </c>
      <c r="C390" s="6">
        <v>82</v>
      </c>
      <c r="D390" s="7" t="s">
        <v>13</v>
      </c>
      <c r="E390" s="11">
        <v>45037</v>
      </c>
      <c r="F390" s="10">
        <v>144</v>
      </c>
      <c r="G390" s="6">
        <v>3.3</v>
      </c>
      <c r="H390" s="6">
        <f>IF(MONTH(Data!$E390)&lt;=6, YEAR(Data!$E390), YEAR(Data!$E390)+1)</f>
        <v>2023</v>
      </c>
      <c r="I390" s="6" t="str">
        <f>TEXT(Data!$E390,"DDDD")</f>
        <v>Friday</v>
      </c>
      <c r="J390" s="6" t="s">
        <v>14</v>
      </c>
      <c r="K390" s="6">
        <f>ROUND(Data!$G390,0)</f>
        <v>3</v>
      </c>
      <c r="L390" t="str" cm="1">
        <f t="array" ref="L390">_xlfn.IFS(C390&lt;=15,"Very Short",C390&lt;=30,"Short",C390&lt;=60,"Medium",C390&gt;60,"Long")</f>
        <v>Long</v>
      </c>
      <c r="M390" t="str" cm="1">
        <f t="array" ref="M390">_xlfn.IFS(F390&lt;=50,"Low",F390&lt;=100,"Medium",F390&lt;=150,"High",F390&gt;150,"Very High")</f>
        <v>High</v>
      </c>
    </row>
    <row r="391" spans="1:13" ht="14.25" customHeight="1" x14ac:dyDescent="0.4">
      <c r="A391" s="6" t="s">
        <v>425</v>
      </c>
      <c r="B391" s="6" t="s">
        <v>88</v>
      </c>
      <c r="C391" s="6">
        <v>99</v>
      </c>
      <c r="D391" s="7" t="s">
        <v>19</v>
      </c>
      <c r="E391" s="11">
        <v>45037</v>
      </c>
      <c r="F391" s="10">
        <v>48</v>
      </c>
      <c r="G391" s="6">
        <v>5</v>
      </c>
      <c r="H391" s="6">
        <f>IF(MONTH(Data!$E391)&lt;=6, YEAR(Data!$E391), YEAR(Data!$E391)+1)</f>
        <v>2023</v>
      </c>
      <c r="I391" s="6" t="str">
        <f>TEXT(Data!$E391,"DDDD")</f>
        <v>Friday</v>
      </c>
      <c r="J391" s="6" t="s">
        <v>14</v>
      </c>
      <c r="K391" s="6">
        <f>ROUND(Data!$G391,0)</f>
        <v>5</v>
      </c>
      <c r="L391" t="str" cm="1">
        <f t="array" ref="L391">_xlfn.IFS(C391&lt;=15,"Very Short",C391&lt;=30,"Short",C391&lt;=60,"Medium",C391&gt;60,"Long")</f>
        <v>Long</v>
      </c>
      <c r="M391" t="str" cm="1">
        <f t="array" ref="M391">_xlfn.IFS(F391&lt;=50,"Low",F391&lt;=100,"Medium",F391&lt;=150,"High",F391&gt;150,"Very High")</f>
        <v>Low</v>
      </c>
    </row>
    <row r="392" spans="1:13" ht="14.25" customHeight="1" x14ac:dyDescent="0.4">
      <c r="A392" s="6" t="s">
        <v>426</v>
      </c>
      <c r="B392" s="6" t="s">
        <v>88</v>
      </c>
      <c r="C392" s="6">
        <v>55</v>
      </c>
      <c r="D392" s="7" t="s">
        <v>13</v>
      </c>
      <c r="E392" s="11">
        <v>45037</v>
      </c>
      <c r="F392" s="10">
        <v>200</v>
      </c>
      <c r="G392" s="6">
        <v>2.2999999999999998</v>
      </c>
      <c r="H392" s="6">
        <f>IF(MONTH(Data!$E392)&lt;=6, YEAR(Data!$E392), YEAR(Data!$E392)+1)</f>
        <v>2023</v>
      </c>
      <c r="I392" s="6" t="str">
        <f>TEXT(Data!$E392,"DDDD")</f>
        <v>Friday</v>
      </c>
      <c r="J392" s="6" t="s">
        <v>27</v>
      </c>
      <c r="K392" s="6">
        <f>ROUND(Data!$G392,0)</f>
        <v>2</v>
      </c>
      <c r="L392" t="str" cm="1">
        <f t="array" ref="L392">_xlfn.IFS(C392&lt;=15,"Very Short",C392&lt;=30,"Short",C392&lt;=60,"Medium",C392&gt;60,"Long")</f>
        <v>Medium</v>
      </c>
      <c r="M392" t="str" cm="1">
        <f t="array" ref="M392">_xlfn.IFS(F392&lt;=50,"Low",F392&lt;=100,"Medium",F392&lt;=150,"High",F392&gt;150,"Very High")</f>
        <v>Very High</v>
      </c>
    </row>
    <row r="393" spans="1:13" ht="14.25" customHeight="1" x14ac:dyDescent="0.4">
      <c r="A393" s="6" t="s">
        <v>427</v>
      </c>
      <c r="B393" s="6" t="s">
        <v>50</v>
      </c>
      <c r="C393" s="6">
        <v>61</v>
      </c>
      <c r="D393" s="7" t="s">
        <v>35</v>
      </c>
      <c r="E393" s="11">
        <v>45037</v>
      </c>
      <c r="F393" s="10">
        <v>38</v>
      </c>
      <c r="G393" s="6">
        <v>4.8</v>
      </c>
      <c r="H393" s="6">
        <f>IF(MONTH(Data!$E393)&lt;=6, YEAR(Data!$E393), YEAR(Data!$E393)+1)</f>
        <v>2023</v>
      </c>
      <c r="I393" s="6" t="str">
        <f>TEXT(Data!$E393,"DDDD")</f>
        <v>Friday</v>
      </c>
      <c r="J393" s="6" t="s">
        <v>14</v>
      </c>
      <c r="K393" s="6">
        <f>ROUND(Data!$G393,0)</f>
        <v>5</v>
      </c>
      <c r="L393" t="str" cm="1">
        <f t="array" ref="L393">_xlfn.IFS(C393&lt;=15,"Very Short",C393&lt;=30,"Short",C393&lt;=60,"Medium",C393&gt;60,"Long")</f>
        <v>Long</v>
      </c>
      <c r="M393" t="str" cm="1">
        <f t="array" ref="M393">_xlfn.IFS(F393&lt;=50,"Low",F393&lt;=100,"Medium",F393&lt;=150,"High",F393&gt;150,"Very High")</f>
        <v>Low</v>
      </c>
    </row>
    <row r="394" spans="1:13" ht="14.25" customHeight="1" x14ac:dyDescent="0.4">
      <c r="A394" s="6" t="s">
        <v>428</v>
      </c>
      <c r="B394" s="6" t="s">
        <v>55</v>
      </c>
      <c r="C394" s="6">
        <v>36</v>
      </c>
      <c r="D394" s="7" t="s">
        <v>31</v>
      </c>
      <c r="E394" s="11">
        <v>45037</v>
      </c>
      <c r="F394" s="10">
        <v>81</v>
      </c>
      <c r="G394" s="6">
        <v>3.7</v>
      </c>
      <c r="H394" s="6">
        <f>IF(MONTH(Data!$E394)&lt;=6, YEAR(Data!$E394), YEAR(Data!$E394)+1)</f>
        <v>2023</v>
      </c>
      <c r="I394" s="6" t="str">
        <f>TEXT(Data!$E394,"DDDD")</f>
        <v>Friday</v>
      </c>
      <c r="J394" s="6" t="s">
        <v>27</v>
      </c>
      <c r="K394" s="6">
        <f>ROUND(Data!$G394,0)</f>
        <v>4</v>
      </c>
      <c r="L394" t="str" cm="1">
        <f t="array" ref="L394">_xlfn.IFS(C394&lt;=15,"Very Short",C394&lt;=30,"Short",C394&lt;=60,"Medium",C394&gt;60,"Long")</f>
        <v>Medium</v>
      </c>
      <c r="M394" t="str" cm="1">
        <f t="array" ref="M394">_xlfn.IFS(F394&lt;=50,"Low",F394&lt;=100,"Medium",F394&lt;=150,"High",F394&gt;150,"Very High")</f>
        <v>Medium</v>
      </c>
    </row>
    <row r="395" spans="1:13" ht="14.25" customHeight="1" x14ac:dyDescent="0.4">
      <c r="A395" s="6" t="s">
        <v>429</v>
      </c>
      <c r="B395" s="6" t="s">
        <v>16</v>
      </c>
      <c r="C395" s="6">
        <v>123</v>
      </c>
      <c r="D395" s="7" t="s">
        <v>24</v>
      </c>
      <c r="E395" s="11">
        <v>45037</v>
      </c>
      <c r="F395" s="10">
        <v>120</v>
      </c>
      <c r="G395" s="6">
        <v>4.2</v>
      </c>
      <c r="H395" s="6">
        <f>IF(MONTH(Data!$E395)&lt;=6, YEAR(Data!$E395), YEAR(Data!$E395)+1)</f>
        <v>2023</v>
      </c>
      <c r="I395" s="6" t="str">
        <f>TEXT(Data!$E395,"DDDD")</f>
        <v>Friday</v>
      </c>
      <c r="J395" s="6" t="s">
        <v>25</v>
      </c>
      <c r="K395" s="6">
        <f>ROUND(Data!$G395,0)</f>
        <v>4</v>
      </c>
      <c r="L395" t="str" cm="1">
        <f t="array" ref="L395">_xlfn.IFS(C395&lt;=15,"Very Short",C395&lt;=30,"Short",C395&lt;=60,"Medium",C395&gt;60,"Long")</f>
        <v>Long</v>
      </c>
      <c r="M395" t="str" cm="1">
        <f t="array" ref="M395">_xlfn.IFS(F395&lt;=50,"Low",F395&lt;=100,"Medium",F395&lt;=150,"High",F395&gt;150,"Very High")</f>
        <v>High</v>
      </c>
    </row>
    <row r="396" spans="1:13" ht="14.25" customHeight="1" x14ac:dyDescent="0.4">
      <c r="A396" s="6" t="s">
        <v>430</v>
      </c>
      <c r="B396" s="6" t="s">
        <v>40</v>
      </c>
      <c r="C396" s="6">
        <v>24</v>
      </c>
      <c r="D396" s="7" t="s">
        <v>35</v>
      </c>
      <c r="E396" s="11">
        <v>45037</v>
      </c>
      <c r="F396" s="10">
        <v>74</v>
      </c>
      <c r="G396" s="6">
        <v>4.8</v>
      </c>
      <c r="H396" s="6">
        <f>IF(MONTH(Data!$E396)&lt;=6, YEAR(Data!$E396), YEAR(Data!$E396)+1)</f>
        <v>2023</v>
      </c>
      <c r="I396" s="6" t="str">
        <f>TEXT(Data!$E396,"DDDD")</f>
        <v>Friday</v>
      </c>
      <c r="J396" s="6" t="s">
        <v>47</v>
      </c>
      <c r="K396" s="6">
        <f>ROUND(Data!$G396,0)</f>
        <v>5</v>
      </c>
      <c r="L396" t="str" cm="1">
        <f t="array" ref="L396">_xlfn.IFS(C396&lt;=15,"Very Short",C396&lt;=30,"Short",C396&lt;=60,"Medium",C396&gt;60,"Long")</f>
        <v>Short</v>
      </c>
      <c r="M396" t="str" cm="1">
        <f t="array" ref="M396">_xlfn.IFS(F396&lt;=50,"Low",F396&lt;=100,"Medium",F396&lt;=150,"High",F396&gt;150,"Very High")</f>
        <v>Medium</v>
      </c>
    </row>
    <row r="397" spans="1:13" ht="14.25" customHeight="1" x14ac:dyDescent="0.4">
      <c r="A397" s="6" t="s">
        <v>431</v>
      </c>
      <c r="B397" s="6" t="s">
        <v>16</v>
      </c>
      <c r="C397" s="6">
        <v>43</v>
      </c>
      <c r="D397" s="7" t="s">
        <v>24</v>
      </c>
      <c r="E397" s="11">
        <v>45038</v>
      </c>
      <c r="F397" s="10">
        <v>128</v>
      </c>
      <c r="G397" s="6">
        <v>4.7</v>
      </c>
      <c r="H397" s="6">
        <f>IF(MONTH(Data!$E397)&lt;=6, YEAR(Data!$E397), YEAR(Data!$E397)+1)</f>
        <v>2023</v>
      </c>
      <c r="I397" s="6" t="str">
        <f>TEXT(Data!$E397,"DDDD")</f>
        <v>Saturday</v>
      </c>
      <c r="J397" s="6" t="s">
        <v>27</v>
      </c>
      <c r="K397" s="6">
        <f>ROUND(Data!$G397,0)</f>
        <v>5</v>
      </c>
      <c r="L397" t="str" cm="1">
        <f t="array" ref="L397">_xlfn.IFS(C397&lt;=15,"Very Short",C397&lt;=30,"Short",C397&lt;=60,"Medium",C397&gt;60,"Long")</f>
        <v>Medium</v>
      </c>
      <c r="M397" t="str" cm="1">
        <f t="array" ref="M397">_xlfn.IFS(F397&lt;=50,"Low",F397&lt;=100,"Medium",F397&lt;=150,"High",F397&gt;150,"Very High")</f>
        <v>High</v>
      </c>
    </row>
    <row r="398" spans="1:13" ht="14.25" customHeight="1" x14ac:dyDescent="0.4">
      <c r="A398" s="6" t="s">
        <v>432</v>
      </c>
      <c r="B398" s="6" t="s">
        <v>21</v>
      </c>
      <c r="C398" s="6">
        <v>95</v>
      </c>
      <c r="D398" s="7" t="s">
        <v>19</v>
      </c>
      <c r="E398" s="11">
        <v>45038</v>
      </c>
      <c r="F398" s="10">
        <v>21</v>
      </c>
      <c r="G398" s="6">
        <v>3.9</v>
      </c>
      <c r="H398" s="6">
        <f>IF(MONTH(Data!$E398)&lt;=6, YEAR(Data!$E398), YEAR(Data!$E398)+1)</f>
        <v>2023</v>
      </c>
      <c r="I398" s="6" t="str">
        <f>TEXT(Data!$E398,"DDDD")</f>
        <v>Saturday</v>
      </c>
      <c r="J398" s="6" t="s">
        <v>14</v>
      </c>
      <c r="K398" s="6">
        <f>ROUND(Data!$G398,0)</f>
        <v>4</v>
      </c>
      <c r="L398" t="str" cm="1">
        <f t="array" ref="L398">_xlfn.IFS(C398&lt;=15,"Very Short",C398&lt;=30,"Short",C398&lt;=60,"Medium",C398&gt;60,"Long")</f>
        <v>Long</v>
      </c>
      <c r="M398" t="str" cm="1">
        <f t="array" ref="M398">_xlfn.IFS(F398&lt;=50,"Low",F398&lt;=100,"Medium",F398&lt;=150,"High",F398&gt;150,"Very High")</f>
        <v>Low</v>
      </c>
    </row>
    <row r="399" spans="1:13" ht="14.25" customHeight="1" x14ac:dyDescent="0.4">
      <c r="A399" s="6" t="s">
        <v>433</v>
      </c>
      <c r="B399" s="6" t="s">
        <v>88</v>
      </c>
      <c r="C399" s="6">
        <v>53</v>
      </c>
      <c r="D399" s="7" t="s">
        <v>24</v>
      </c>
      <c r="E399" s="11">
        <v>45038</v>
      </c>
      <c r="F399" s="10">
        <v>110</v>
      </c>
      <c r="G399" s="6">
        <v>4.3</v>
      </c>
      <c r="H399" s="6">
        <f>IF(MONTH(Data!$E399)&lt;=6, YEAR(Data!$E399), YEAR(Data!$E399)+1)</f>
        <v>2023</v>
      </c>
      <c r="I399" s="6" t="str">
        <f>TEXT(Data!$E399,"DDDD")</f>
        <v>Saturday</v>
      </c>
      <c r="J399" s="6" t="s">
        <v>27</v>
      </c>
      <c r="K399" s="6">
        <f>ROUND(Data!$G399,0)</f>
        <v>4</v>
      </c>
      <c r="L399" t="str" cm="1">
        <f t="array" ref="L399">_xlfn.IFS(C399&lt;=15,"Very Short",C399&lt;=30,"Short",C399&lt;=60,"Medium",C399&gt;60,"Long")</f>
        <v>Medium</v>
      </c>
      <c r="M399" t="str" cm="1">
        <f t="array" ref="M399">_xlfn.IFS(F399&lt;=50,"Low",F399&lt;=100,"Medium",F399&lt;=150,"High",F399&gt;150,"Very High")</f>
        <v>High</v>
      </c>
    </row>
    <row r="400" spans="1:13" ht="14.25" customHeight="1" x14ac:dyDescent="0.4">
      <c r="A400" s="6" t="s">
        <v>434</v>
      </c>
      <c r="B400" s="6" t="s">
        <v>16</v>
      </c>
      <c r="C400" s="6">
        <v>113</v>
      </c>
      <c r="D400" s="7" t="s">
        <v>24</v>
      </c>
      <c r="E400" s="11">
        <v>45038</v>
      </c>
      <c r="F400" s="10">
        <v>145</v>
      </c>
      <c r="G400" s="6">
        <v>4</v>
      </c>
      <c r="H400" s="6">
        <f>IF(MONTH(Data!$E400)&lt;=6, YEAR(Data!$E400), YEAR(Data!$E400)+1)</f>
        <v>2023</v>
      </c>
      <c r="I400" s="6" t="str">
        <f>TEXT(Data!$E400,"DDDD")</f>
        <v>Saturday</v>
      </c>
      <c r="J400" s="6" t="s">
        <v>14</v>
      </c>
      <c r="K400" s="6">
        <f>ROUND(Data!$G400,0)</f>
        <v>4</v>
      </c>
      <c r="L400" t="str" cm="1">
        <f t="array" ref="L400">_xlfn.IFS(C400&lt;=15,"Very Short",C400&lt;=30,"Short",C400&lt;=60,"Medium",C400&gt;60,"Long")</f>
        <v>Long</v>
      </c>
      <c r="M400" t="str" cm="1">
        <f t="array" ref="M400">_xlfn.IFS(F400&lt;=50,"Low",F400&lt;=100,"Medium",F400&lt;=150,"High",F400&gt;150,"Very High")</f>
        <v>High</v>
      </c>
    </row>
    <row r="401" spans="1:13" ht="14.25" customHeight="1" x14ac:dyDescent="0.4">
      <c r="A401" s="6" t="s">
        <v>435</v>
      </c>
      <c r="B401" s="6" t="s">
        <v>88</v>
      </c>
      <c r="C401" s="6">
        <v>89</v>
      </c>
      <c r="D401" s="7" t="s">
        <v>31</v>
      </c>
      <c r="E401" s="11">
        <v>45038</v>
      </c>
      <c r="F401" s="10">
        <v>129</v>
      </c>
      <c r="G401" s="6">
        <v>4</v>
      </c>
      <c r="H401" s="6">
        <f>IF(MONTH(Data!$E401)&lt;=6, YEAR(Data!$E401), YEAR(Data!$E401)+1)</f>
        <v>2023</v>
      </c>
      <c r="I401" s="6" t="str">
        <f>TEXT(Data!$E401,"DDDD")</f>
        <v>Saturday</v>
      </c>
      <c r="J401" s="6" t="s">
        <v>14</v>
      </c>
      <c r="K401" s="6">
        <f>ROUND(Data!$G401,0)</f>
        <v>4</v>
      </c>
      <c r="L401" t="str" cm="1">
        <f t="array" ref="L401">_xlfn.IFS(C401&lt;=15,"Very Short",C401&lt;=30,"Short",C401&lt;=60,"Medium",C401&gt;60,"Long")</f>
        <v>Long</v>
      </c>
      <c r="M401" t="str" cm="1">
        <f t="array" ref="M401">_xlfn.IFS(F401&lt;=50,"Low",F401&lt;=100,"Medium",F401&lt;=150,"High",F401&gt;150,"Very High")</f>
        <v>High</v>
      </c>
    </row>
    <row r="402" spans="1:13" ht="14.25" customHeight="1" x14ac:dyDescent="0.4">
      <c r="A402" s="6" t="s">
        <v>436</v>
      </c>
      <c r="B402" s="6" t="s">
        <v>34</v>
      </c>
      <c r="C402" s="6">
        <v>84</v>
      </c>
      <c r="D402" s="7" t="s">
        <v>13</v>
      </c>
      <c r="E402" s="11">
        <v>45038</v>
      </c>
      <c r="F402" s="10">
        <v>156</v>
      </c>
      <c r="G402" s="6">
        <v>3.2</v>
      </c>
      <c r="H402" s="6">
        <f>IF(MONTH(Data!$E402)&lt;=6, YEAR(Data!$E402), YEAR(Data!$E402)+1)</f>
        <v>2023</v>
      </c>
      <c r="I402" s="6" t="str">
        <f>TEXT(Data!$E402,"DDDD")</f>
        <v>Saturday</v>
      </c>
      <c r="J402" s="6" t="s">
        <v>14</v>
      </c>
      <c r="K402" s="6">
        <f>ROUND(Data!$G402,0)</f>
        <v>3</v>
      </c>
      <c r="L402" t="str" cm="1">
        <f t="array" ref="L402">_xlfn.IFS(C402&lt;=15,"Very Short",C402&lt;=30,"Short",C402&lt;=60,"Medium",C402&gt;60,"Long")</f>
        <v>Long</v>
      </c>
      <c r="M402" t="str" cm="1">
        <f t="array" ref="M402">_xlfn.IFS(F402&lt;=50,"Low",F402&lt;=100,"Medium",F402&lt;=150,"High",F402&gt;150,"Very High")</f>
        <v>Very High</v>
      </c>
    </row>
    <row r="403" spans="1:13" ht="14.25" customHeight="1" x14ac:dyDescent="0.4">
      <c r="A403" s="6" t="s">
        <v>437</v>
      </c>
      <c r="B403" s="6" t="s">
        <v>40</v>
      </c>
      <c r="C403" s="6">
        <v>130</v>
      </c>
      <c r="D403" s="7" t="s">
        <v>24</v>
      </c>
      <c r="E403" s="11">
        <v>45039</v>
      </c>
      <c r="F403" s="10">
        <v>120</v>
      </c>
      <c r="G403" s="6">
        <v>3.8</v>
      </c>
      <c r="H403" s="6">
        <f>IF(MONTH(Data!$E403)&lt;=6, YEAR(Data!$E403), YEAR(Data!$E403)+1)</f>
        <v>2023</v>
      </c>
      <c r="I403" s="6" t="str">
        <f>TEXT(Data!$E403,"DDDD")</f>
        <v>Sunday</v>
      </c>
      <c r="J403" s="6" t="s">
        <v>25</v>
      </c>
      <c r="K403" s="6">
        <f>ROUND(Data!$G403,0)</f>
        <v>4</v>
      </c>
      <c r="L403" t="str" cm="1">
        <f t="array" ref="L403">_xlfn.IFS(C403&lt;=15,"Very Short",C403&lt;=30,"Short",C403&lt;=60,"Medium",C403&gt;60,"Long")</f>
        <v>Long</v>
      </c>
      <c r="M403" t="str" cm="1">
        <f t="array" ref="M403">_xlfn.IFS(F403&lt;=50,"Low",F403&lt;=100,"Medium",F403&lt;=150,"High",F403&gt;150,"Very High")</f>
        <v>High</v>
      </c>
    </row>
    <row r="404" spans="1:13" ht="14.25" customHeight="1" x14ac:dyDescent="0.4">
      <c r="A404" s="6" t="s">
        <v>438</v>
      </c>
      <c r="B404" s="6" t="s">
        <v>21</v>
      </c>
      <c r="C404" s="6">
        <v>163</v>
      </c>
      <c r="D404" s="7" t="s">
        <v>31</v>
      </c>
      <c r="E404" s="11">
        <v>45039</v>
      </c>
      <c r="F404" s="10">
        <v>62</v>
      </c>
      <c r="G404" s="6">
        <v>3.4</v>
      </c>
      <c r="H404" s="6">
        <f>IF(MONTH(Data!$E404)&lt;=6, YEAR(Data!$E404), YEAR(Data!$E404)+1)</f>
        <v>2023</v>
      </c>
      <c r="I404" s="6" t="str">
        <f>TEXT(Data!$E404,"DDDD")</f>
        <v>Sunday</v>
      </c>
      <c r="J404" s="6" t="s">
        <v>25</v>
      </c>
      <c r="K404" s="6">
        <f>ROUND(Data!$G404,0)</f>
        <v>3</v>
      </c>
      <c r="L404" t="str" cm="1">
        <f t="array" ref="L404">_xlfn.IFS(C404&lt;=15,"Very Short",C404&lt;=30,"Short",C404&lt;=60,"Medium",C404&gt;60,"Long")</f>
        <v>Long</v>
      </c>
      <c r="M404" t="str" cm="1">
        <f t="array" ref="M404">_xlfn.IFS(F404&lt;=50,"Low",F404&lt;=100,"Medium",F404&lt;=150,"High",F404&gt;150,"Very High")</f>
        <v>Medium</v>
      </c>
    </row>
    <row r="405" spans="1:13" ht="14.25" customHeight="1" x14ac:dyDescent="0.4">
      <c r="A405" s="6" t="s">
        <v>439</v>
      </c>
      <c r="B405" s="6" t="s">
        <v>46</v>
      </c>
      <c r="C405" s="6">
        <v>127</v>
      </c>
      <c r="D405" s="7" t="s">
        <v>24</v>
      </c>
      <c r="E405" s="11">
        <v>45039</v>
      </c>
      <c r="F405" s="10">
        <v>160</v>
      </c>
      <c r="G405" s="6">
        <v>3.2</v>
      </c>
      <c r="H405" s="6">
        <f>IF(MONTH(Data!$E405)&lt;=6, YEAR(Data!$E405), YEAR(Data!$E405)+1)</f>
        <v>2023</v>
      </c>
      <c r="I405" s="6" t="str">
        <f>TEXT(Data!$E405,"DDDD")</f>
        <v>Sunday</v>
      </c>
      <c r="J405" s="6" t="s">
        <v>25</v>
      </c>
      <c r="K405" s="6">
        <f>ROUND(Data!$G405,0)</f>
        <v>3</v>
      </c>
      <c r="L405" t="str" cm="1">
        <f t="array" ref="L405">_xlfn.IFS(C405&lt;=15,"Very Short",C405&lt;=30,"Short",C405&lt;=60,"Medium",C405&gt;60,"Long")</f>
        <v>Long</v>
      </c>
      <c r="M405" t="str" cm="1">
        <f t="array" ref="M405">_xlfn.IFS(F405&lt;=50,"Low",F405&lt;=100,"Medium",F405&lt;=150,"High",F405&gt;150,"Very High")</f>
        <v>Very High</v>
      </c>
    </row>
    <row r="406" spans="1:13" ht="14.25" customHeight="1" x14ac:dyDescent="0.4">
      <c r="A406" s="6" t="s">
        <v>440</v>
      </c>
      <c r="B406" s="6" t="s">
        <v>16</v>
      </c>
      <c r="C406" s="6">
        <v>50</v>
      </c>
      <c r="D406" s="7" t="s">
        <v>24</v>
      </c>
      <c r="E406" s="11">
        <v>45039</v>
      </c>
      <c r="F406" s="10">
        <v>56</v>
      </c>
      <c r="G406" s="6">
        <v>4.7</v>
      </c>
      <c r="H406" s="6">
        <f>IF(MONTH(Data!$E406)&lt;=6, YEAR(Data!$E406), YEAR(Data!$E406)+1)</f>
        <v>2023</v>
      </c>
      <c r="I406" s="6" t="str">
        <f>TEXT(Data!$E406,"DDDD")</f>
        <v>Sunday</v>
      </c>
      <c r="J406" s="6" t="s">
        <v>27</v>
      </c>
      <c r="K406" s="6">
        <f>ROUND(Data!$G406,0)</f>
        <v>5</v>
      </c>
      <c r="L406" t="str" cm="1">
        <f t="array" ref="L406">_xlfn.IFS(C406&lt;=15,"Very Short",C406&lt;=30,"Short",C406&lt;=60,"Medium",C406&gt;60,"Long")</f>
        <v>Medium</v>
      </c>
      <c r="M406" t="str" cm="1">
        <f t="array" ref="M406">_xlfn.IFS(F406&lt;=50,"Low",F406&lt;=100,"Medium",F406&lt;=150,"High",F406&gt;150,"Very High")</f>
        <v>Medium</v>
      </c>
    </row>
    <row r="407" spans="1:13" ht="14.25" customHeight="1" x14ac:dyDescent="0.4">
      <c r="A407" s="6" t="s">
        <v>441</v>
      </c>
      <c r="B407" s="6" t="s">
        <v>29</v>
      </c>
      <c r="C407" s="6">
        <v>88</v>
      </c>
      <c r="D407" s="7" t="s">
        <v>35</v>
      </c>
      <c r="E407" s="11">
        <v>45039</v>
      </c>
      <c r="F407" s="10">
        <v>72</v>
      </c>
      <c r="G407" s="6">
        <v>4</v>
      </c>
      <c r="H407" s="6">
        <f>IF(MONTH(Data!$E407)&lt;=6, YEAR(Data!$E407), YEAR(Data!$E407)+1)</f>
        <v>2023</v>
      </c>
      <c r="I407" s="6" t="str">
        <f>TEXT(Data!$E407,"DDDD")</f>
        <v>Sunday</v>
      </c>
      <c r="J407" s="6" t="s">
        <v>14</v>
      </c>
      <c r="K407" s="6">
        <f>ROUND(Data!$G407,0)</f>
        <v>4</v>
      </c>
      <c r="L407" t="str" cm="1">
        <f t="array" ref="L407">_xlfn.IFS(C407&lt;=15,"Very Short",C407&lt;=30,"Short",C407&lt;=60,"Medium",C407&gt;60,"Long")</f>
        <v>Long</v>
      </c>
      <c r="M407" t="str" cm="1">
        <f t="array" ref="M407">_xlfn.IFS(F407&lt;=50,"Low",F407&lt;=100,"Medium",F407&lt;=150,"High",F407&gt;150,"Very High")</f>
        <v>Medium</v>
      </c>
    </row>
    <row r="408" spans="1:13" ht="14.25" customHeight="1" x14ac:dyDescent="0.4">
      <c r="A408" s="6" t="s">
        <v>442</v>
      </c>
      <c r="B408" s="6" t="s">
        <v>16</v>
      </c>
      <c r="C408" s="6">
        <v>139</v>
      </c>
      <c r="D408" s="7" t="s">
        <v>19</v>
      </c>
      <c r="E408" s="11">
        <v>45040</v>
      </c>
      <c r="F408" s="10">
        <v>81</v>
      </c>
      <c r="G408" s="6">
        <v>4.8</v>
      </c>
      <c r="H408" s="6">
        <f>IF(MONTH(Data!$E408)&lt;=6, YEAR(Data!$E408), YEAR(Data!$E408)+1)</f>
        <v>2023</v>
      </c>
      <c r="I408" s="6" t="str">
        <f>TEXT(Data!$E408,"DDDD")</f>
        <v>Monday</v>
      </c>
      <c r="J408" s="6" t="s">
        <v>25</v>
      </c>
      <c r="K408" s="6">
        <f>ROUND(Data!$G408,0)</f>
        <v>5</v>
      </c>
      <c r="L408" t="str" cm="1">
        <f t="array" ref="L408">_xlfn.IFS(C408&lt;=15,"Very Short",C408&lt;=30,"Short",C408&lt;=60,"Medium",C408&gt;60,"Long")</f>
        <v>Long</v>
      </c>
      <c r="M408" t="str" cm="1">
        <f t="array" ref="M408">_xlfn.IFS(F408&lt;=50,"Low",F408&lt;=100,"Medium",F408&lt;=150,"High",F408&gt;150,"Very High")</f>
        <v>Medium</v>
      </c>
    </row>
    <row r="409" spans="1:13" ht="14.25" customHeight="1" x14ac:dyDescent="0.4">
      <c r="A409" s="6" t="s">
        <v>443</v>
      </c>
      <c r="B409" s="6" t="s">
        <v>21</v>
      </c>
      <c r="C409" s="6">
        <v>111</v>
      </c>
      <c r="D409" s="7" t="s">
        <v>24</v>
      </c>
      <c r="E409" s="11">
        <v>45040</v>
      </c>
      <c r="F409" s="10">
        <v>144</v>
      </c>
      <c r="G409" s="6">
        <v>3.9</v>
      </c>
      <c r="H409" s="6">
        <f>IF(MONTH(Data!$E409)&lt;=6, YEAR(Data!$E409), YEAR(Data!$E409)+1)</f>
        <v>2023</v>
      </c>
      <c r="I409" s="6" t="str">
        <f>TEXT(Data!$E409,"DDDD")</f>
        <v>Monday</v>
      </c>
      <c r="J409" s="6" t="s">
        <v>14</v>
      </c>
      <c r="K409" s="6">
        <f>ROUND(Data!$G409,0)</f>
        <v>4</v>
      </c>
      <c r="L409" t="str" cm="1">
        <f t="array" ref="L409">_xlfn.IFS(C409&lt;=15,"Very Short",C409&lt;=30,"Short",C409&lt;=60,"Medium",C409&gt;60,"Long")</f>
        <v>Long</v>
      </c>
      <c r="M409" t="str" cm="1">
        <f t="array" ref="M409">_xlfn.IFS(F409&lt;=50,"Low",F409&lt;=100,"Medium",F409&lt;=150,"High",F409&gt;150,"Very High")</f>
        <v>High</v>
      </c>
    </row>
    <row r="410" spans="1:13" ht="14.25" customHeight="1" x14ac:dyDescent="0.4">
      <c r="A410" s="6" t="s">
        <v>444</v>
      </c>
      <c r="B410" s="6" t="s">
        <v>18</v>
      </c>
      <c r="C410" s="6">
        <v>115</v>
      </c>
      <c r="D410" s="7" t="s">
        <v>19</v>
      </c>
      <c r="E410" s="11">
        <v>45040</v>
      </c>
      <c r="F410" s="10">
        <v>111</v>
      </c>
      <c r="G410" s="6">
        <v>4.3</v>
      </c>
      <c r="H410" s="6">
        <f>IF(MONTH(Data!$E410)&lt;=6, YEAR(Data!$E410), YEAR(Data!$E410)+1)</f>
        <v>2023</v>
      </c>
      <c r="I410" s="6" t="str">
        <f>TEXT(Data!$E410,"DDDD")</f>
        <v>Monday</v>
      </c>
      <c r="J410" s="6" t="s">
        <v>14</v>
      </c>
      <c r="K410" s="6">
        <f>ROUND(Data!$G410,0)</f>
        <v>4</v>
      </c>
      <c r="L410" t="str" cm="1">
        <f t="array" ref="L410">_xlfn.IFS(C410&lt;=15,"Very Short",C410&lt;=30,"Short",C410&lt;=60,"Medium",C410&gt;60,"Long")</f>
        <v>Long</v>
      </c>
      <c r="M410" t="str" cm="1">
        <f t="array" ref="M410">_xlfn.IFS(F410&lt;=50,"Low",F410&lt;=100,"Medium",F410&lt;=150,"High",F410&gt;150,"Very High")</f>
        <v>High</v>
      </c>
    </row>
    <row r="411" spans="1:13" ht="14.25" customHeight="1" x14ac:dyDescent="0.4">
      <c r="A411" s="6" t="s">
        <v>445</v>
      </c>
      <c r="B411" s="6" t="s">
        <v>88</v>
      </c>
      <c r="C411" s="6">
        <v>26</v>
      </c>
      <c r="D411" s="7" t="s">
        <v>31</v>
      </c>
      <c r="E411" s="11">
        <v>45040</v>
      </c>
      <c r="F411" s="10">
        <v>43</v>
      </c>
      <c r="G411" s="6">
        <v>4.2</v>
      </c>
      <c r="H411" s="6">
        <f>IF(MONTH(Data!$E411)&lt;=6, YEAR(Data!$E411), YEAR(Data!$E411)+1)</f>
        <v>2023</v>
      </c>
      <c r="I411" s="6" t="str">
        <f>TEXT(Data!$E411,"DDDD")</f>
        <v>Monday</v>
      </c>
      <c r="J411" s="6" t="s">
        <v>47</v>
      </c>
      <c r="K411" s="6">
        <f>ROUND(Data!$G411,0)</f>
        <v>4</v>
      </c>
      <c r="L411" t="str" cm="1">
        <f t="array" ref="L411">_xlfn.IFS(C411&lt;=15,"Very Short",C411&lt;=30,"Short",C411&lt;=60,"Medium",C411&gt;60,"Long")</f>
        <v>Short</v>
      </c>
      <c r="M411" t="str" cm="1">
        <f t="array" ref="M411">_xlfn.IFS(F411&lt;=50,"Low",F411&lt;=100,"Medium",F411&lt;=150,"High",F411&gt;150,"Very High")</f>
        <v>Low</v>
      </c>
    </row>
    <row r="412" spans="1:13" ht="14.25" customHeight="1" x14ac:dyDescent="0.4">
      <c r="A412" s="6" t="s">
        <v>446</v>
      </c>
      <c r="B412" s="6" t="s">
        <v>34</v>
      </c>
      <c r="C412" s="6">
        <v>131</v>
      </c>
      <c r="D412" s="7" t="s">
        <v>35</v>
      </c>
      <c r="E412" s="11">
        <v>45040</v>
      </c>
      <c r="F412" s="10">
        <v>41</v>
      </c>
      <c r="G412" s="6">
        <v>4.9000000000000004</v>
      </c>
      <c r="H412" s="6">
        <f>IF(MONTH(Data!$E412)&lt;=6, YEAR(Data!$E412), YEAR(Data!$E412)+1)</f>
        <v>2023</v>
      </c>
      <c r="I412" s="6" t="str">
        <f>TEXT(Data!$E412,"DDDD")</f>
        <v>Monday</v>
      </c>
      <c r="J412" s="6" t="s">
        <v>25</v>
      </c>
      <c r="K412" s="6">
        <f>ROUND(Data!$G412,0)</f>
        <v>5</v>
      </c>
      <c r="L412" t="str" cm="1">
        <f t="array" ref="L412">_xlfn.IFS(C412&lt;=15,"Very Short",C412&lt;=30,"Short",C412&lt;=60,"Medium",C412&gt;60,"Long")</f>
        <v>Long</v>
      </c>
      <c r="M412" t="str" cm="1">
        <f t="array" ref="M412">_xlfn.IFS(F412&lt;=50,"Low",F412&lt;=100,"Medium",F412&lt;=150,"High",F412&gt;150,"Very High")</f>
        <v>Low</v>
      </c>
    </row>
    <row r="413" spans="1:13" ht="14.25" customHeight="1" x14ac:dyDescent="0.4">
      <c r="A413" s="6" t="s">
        <v>447</v>
      </c>
      <c r="B413" s="6" t="s">
        <v>18</v>
      </c>
      <c r="C413" s="6">
        <v>27</v>
      </c>
      <c r="D413" s="7" t="s">
        <v>35</v>
      </c>
      <c r="E413" s="11">
        <v>45040</v>
      </c>
      <c r="F413" s="10">
        <v>74</v>
      </c>
      <c r="G413" s="6">
        <v>4</v>
      </c>
      <c r="H413" s="6">
        <f>IF(MONTH(Data!$E413)&lt;=6, YEAR(Data!$E413), YEAR(Data!$E413)+1)</f>
        <v>2023</v>
      </c>
      <c r="I413" s="6" t="str">
        <f>TEXT(Data!$E413,"DDDD")</f>
        <v>Monday</v>
      </c>
      <c r="J413" s="6" t="s">
        <v>47</v>
      </c>
      <c r="K413" s="6">
        <f>ROUND(Data!$G413,0)</f>
        <v>4</v>
      </c>
      <c r="L413" t="str" cm="1">
        <f t="array" ref="L413">_xlfn.IFS(C413&lt;=15,"Very Short",C413&lt;=30,"Short",C413&lt;=60,"Medium",C413&gt;60,"Long")</f>
        <v>Short</v>
      </c>
      <c r="M413" t="str" cm="1">
        <f t="array" ref="M413">_xlfn.IFS(F413&lt;=50,"Low",F413&lt;=100,"Medium",F413&lt;=150,"High",F413&gt;150,"Very High")</f>
        <v>Medium</v>
      </c>
    </row>
    <row r="414" spans="1:13" ht="14.25" customHeight="1" x14ac:dyDescent="0.4">
      <c r="A414" s="6" t="s">
        <v>448</v>
      </c>
      <c r="B414" s="6" t="s">
        <v>58</v>
      </c>
      <c r="C414" s="6">
        <v>75</v>
      </c>
      <c r="D414" s="7" t="s">
        <v>24</v>
      </c>
      <c r="E414" s="11">
        <v>45040</v>
      </c>
      <c r="F414" s="10">
        <v>43</v>
      </c>
      <c r="G414" s="6">
        <v>4.9000000000000004</v>
      </c>
      <c r="H414" s="6">
        <f>IF(MONTH(Data!$E414)&lt;=6, YEAR(Data!$E414), YEAR(Data!$E414)+1)</f>
        <v>2023</v>
      </c>
      <c r="I414" s="6" t="str">
        <f>TEXT(Data!$E414,"DDDD")</f>
        <v>Monday</v>
      </c>
      <c r="J414" s="6" t="s">
        <v>14</v>
      </c>
      <c r="K414" s="6">
        <f>ROUND(Data!$G414,0)</f>
        <v>5</v>
      </c>
      <c r="L414" t="str" cm="1">
        <f t="array" ref="L414">_xlfn.IFS(C414&lt;=15,"Very Short",C414&lt;=30,"Short",C414&lt;=60,"Medium",C414&gt;60,"Long")</f>
        <v>Long</v>
      </c>
      <c r="M414" t="str" cm="1">
        <f t="array" ref="M414">_xlfn.IFS(F414&lt;=50,"Low",F414&lt;=100,"Medium",F414&lt;=150,"High",F414&gt;150,"Very High")</f>
        <v>Low</v>
      </c>
    </row>
    <row r="415" spans="1:13" ht="14.25" customHeight="1" x14ac:dyDescent="0.4">
      <c r="A415" s="6" t="s">
        <v>449</v>
      </c>
      <c r="B415" s="6" t="s">
        <v>50</v>
      </c>
      <c r="C415" s="6">
        <v>123</v>
      </c>
      <c r="D415" s="7" t="s">
        <v>35</v>
      </c>
      <c r="E415" s="11">
        <v>45040</v>
      </c>
      <c r="F415" s="10">
        <v>128</v>
      </c>
      <c r="G415" s="6">
        <v>3.6</v>
      </c>
      <c r="H415" s="6">
        <f>IF(MONTH(Data!$E415)&lt;=6, YEAR(Data!$E415), YEAR(Data!$E415)+1)</f>
        <v>2023</v>
      </c>
      <c r="I415" s="6" t="str">
        <f>TEXT(Data!$E415,"DDDD")</f>
        <v>Monday</v>
      </c>
      <c r="J415" s="6" t="s">
        <v>25</v>
      </c>
      <c r="K415" s="6">
        <f>ROUND(Data!$G415,0)</f>
        <v>4</v>
      </c>
      <c r="L415" t="str" cm="1">
        <f t="array" ref="L415">_xlfn.IFS(C415&lt;=15,"Very Short",C415&lt;=30,"Short",C415&lt;=60,"Medium",C415&gt;60,"Long")</f>
        <v>Long</v>
      </c>
      <c r="M415" t="str" cm="1">
        <f t="array" ref="M415">_xlfn.IFS(F415&lt;=50,"Low",F415&lt;=100,"Medium",F415&lt;=150,"High",F415&gt;150,"Very High")</f>
        <v>High</v>
      </c>
    </row>
    <row r="416" spans="1:13" ht="14.25" customHeight="1" x14ac:dyDescent="0.4">
      <c r="A416" s="6" t="s">
        <v>450</v>
      </c>
      <c r="B416" s="6" t="s">
        <v>12</v>
      </c>
      <c r="C416" s="6">
        <v>129</v>
      </c>
      <c r="D416" s="7" t="s">
        <v>35</v>
      </c>
      <c r="E416" s="11">
        <v>45041</v>
      </c>
      <c r="F416" s="10">
        <v>144</v>
      </c>
      <c r="G416" s="6">
        <v>4.0999999999999996</v>
      </c>
      <c r="H416" s="6">
        <f>IF(MONTH(Data!$E416)&lt;=6, YEAR(Data!$E416), YEAR(Data!$E416)+1)</f>
        <v>2023</v>
      </c>
      <c r="I416" s="6" t="str">
        <f>TEXT(Data!$E416,"DDDD")</f>
        <v>Tuesday</v>
      </c>
      <c r="J416" s="6" t="s">
        <v>25</v>
      </c>
      <c r="K416" s="6">
        <f>ROUND(Data!$G416,0)</f>
        <v>4</v>
      </c>
      <c r="L416" t="str" cm="1">
        <f t="array" ref="L416">_xlfn.IFS(C416&lt;=15,"Very Short",C416&lt;=30,"Short",C416&lt;=60,"Medium",C416&gt;60,"Long")</f>
        <v>Long</v>
      </c>
      <c r="M416" t="str" cm="1">
        <f t="array" ref="M416">_xlfn.IFS(F416&lt;=50,"Low",F416&lt;=100,"Medium",F416&lt;=150,"High",F416&gt;150,"Very High")</f>
        <v>High</v>
      </c>
    </row>
    <row r="417" spans="1:13" ht="14.25" customHeight="1" x14ac:dyDescent="0.4">
      <c r="A417" s="6" t="s">
        <v>451</v>
      </c>
      <c r="B417" s="6" t="s">
        <v>58</v>
      </c>
      <c r="C417" s="6">
        <v>124</v>
      </c>
      <c r="D417" s="7" t="s">
        <v>19</v>
      </c>
      <c r="E417" s="11">
        <v>45041</v>
      </c>
      <c r="F417" s="10">
        <v>132</v>
      </c>
      <c r="G417" s="6">
        <v>4.9000000000000004</v>
      </c>
      <c r="H417" s="6">
        <f>IF(MONTH(Data!$E417)&lt;=6, YEAR(Data!$E417), YEAR(Data!$E417)+1)</f>
        <v>2023</v>
      </c>
      <c r="I417" s="6" t="str">
        <f>TEXT(Data!$E417,"DDDD")</f>
        <v>Tuesday</v>
      </c>
      <c r="J417" s="6" t="s">
        <v>25</v>
      </c>
      <c r="K417" s="6">
        <f>ROUND(Data!$G417,0)</f>
        <v>5</v>
      </c>
      <c r="L417" t="str" cm="1">
        <f t="array" ref="L417">_xlfn.IFS(C417&lt;=15,"Very Short",C417&lt;=30,"Short",C417&lt;=60,"Medium",C417&gt;60,"Long")</f>
        <v>Long</v>
      </c>
      <c r="M417" t="str" cm="1">
        <f t="array" ref="M417">_xlfn.IFS(F417&lt;=50,"Low",F417&lt;=100,"Medium",F417&lt;=150,"High",F417&gt;150,"Very High")</f>
        <v>High</v>
      </c>
    </row>
    <row r="418" spans="1:13" ht="14.25" customHeight="1" x14ac:dyDescent="0.4">
      <c r="A418" s="6" t="s">
        <v>452</v>
      </c>
      <c r="B418" s="6" t="s">
        <v>18</v>
      </c>
      <c r="C418" s="6">
        <v>108</v>
      </c>
      <c r="D418" s="7" t="s">
        <v>19</v>
      </c>
      <c r="E418" s="11">
        <v>45041</v>
      </c>
      <c r="F418" s="10">
        <v>180</v>
      </c>
      <c r="G418" s="6">
        <v>3.9</v>
      </c>
      <c r="H418" s="6">
        <f>IF(MONTH(Data!$E418)&lt;=6, YEAR(Data!$E418), YEAR(Data!$E418)+1)</f>
        <v>2023</v>
      </c>
      <c r="I418" s="6" t="str">
        <f>TEXT(Data!$E418,"DDDD")</f>
        <v>Tuesday</v>
      </c>
      <c r="J418" s="6" t="s">
        <v>14</v>
      </c>
      <c r="K418" s="6">
        <f>ROUND(Data!$G418,0)</f>
        <v>4</v>
      </c>
      <c r="L418" t="str" cm="1">
        <f t="array" ref="L418">_xlfn.IFS(C418&lt;=15,"Very Short",C418&lt;=30,"Short",C418&lt;=60,"Medium",C418&gt;60,"Long")</f>
        <v>Long</v>
      </c>
      <c r="M418" t="str" cm="1">
        <f t="array" ref="M418">_xlfn.IFS(F418&lt;=50,"Low",F418&lt;=100,"Medium",F418&lt;=150,"High",F418&gt;150,"Very High")</f>
        <v>Very High</v>
      </c>
    </row>
    <row r="419" spans="1:13" ht="14.25" customHeight="1" x14ac:dyDescent="0.4">
      <c r="A419" s="6" t="s">
        <v>453</v>
      </c>
      <c r="B419" s="6" t="s">
        <v>23</v>
      </c>
      <c r="C419" s="6">
        <v>15</v>
      </c>
      <c r="D419" s="7" t="s">
        <v>19</v>
      </c>
      <c r="E419" s="11">
        <v>45041</v>
      </c>
      <c r="F419" s="10">
        <v>31</v>
      </c>
      <c r="G419" s="6">
        <v>4.0999999999999996</v>
      </c>
      <c r="H419" s="6">
        <f>IF(MONTH(Data!$E419)&lt;=6, YEAR(Data!$E419), YEAR(Data!$E419)+1)</f>
        <v>2023</v>
      </c>
      <c r="I419" s="6" t="str">
        <f>TEXT(Data!$E419,"DDDD")</f>
        <v>Tuesday</v>
      </c>
      <c r="J419" s="6" t="s">
        <v>47</v>
      </c>
      <c r="K419" s="6">
        <f>ROUND(Data!$G419,0)</f>
        <v>4</v>
      </c>
      <c r="L419" t="str" cm="1">
        <f t="array" ref="L419">_xlfn.IFS(C419&lt;=15,"Very Short",C419&lt;=30,"Short",C419&lt;=60,"Medium",C419&gt;60,"Long")</f>
        <v>Very Short</v>
      </c>
      <c r="M419" t="str" cm="1">
        <f t="array" ref="M419">_xlfn.IFS(F419&lt;=50,"Low",F419&lt;=100,"Medium",F419&lt;=150,"High",F419&gt;150,"Very High")</f>
        <v>Low</v>
      </c>
    </row>
    <row r="420" spans="1:13" ht="14.25" customHeight="1" x14ac:dyDescent="0.4">
      <c r="A420" s="6" t="s">
        <v>454</v>
      </c>
      <c r="B420" s="6" t="s">
        <v>18</v>
      </c>
      <c r="C420" s="6">
        <v>66</v>
      </c>
      <c r="D420" s="7" t="s">
        <v>19</v>
      </c>
      <c r="E420" s="11">
        <v>45041</v>
      </c>
      <c r="F420" s="10">
        <v>102</v>
      </c>
      <c r="G420" s="6">
        <v>3.8</v>
      </c>
      <c r="H420" s="6">
        <f>IF(MONTH(Data!$E420)&lt;=6, YEAR(Data!$E420), YEAR(Data!$E420)+1)</f>
        <v>2023</v>
      </c>
      <c r="I420" s="6" t="str">
        <f>TEXT(Data!$E420,"DDDD")</f>
        <v>Tuesday</v>
      </c>
      <c r="J420" s="6" t="s">
        <v>14</v>
      </c>
      <c r="K420" s="6">
        <f>ROUND(Data!$G420,0)</f>
        <v>4</v>
      </c>
      <c r="L420" t="str" cm="1">
        <f t="array" ref="L420">_xlfn.IFS(C420&lt;=15,"Very Short",C420&lt;=30,"Short",C420&lt;=60,"Medium",C420&gt;60,"Long")</f>
        <v>Long</v>
      </c>
      <c r="M420" t="str" cm="1">
        <f t="array" ref="M420">_xlfn.IFS(F420&lt;=50,"Low",F420&lt;=100,"Medium",F420&lt;=150,"High",F420&gt;150,"Very High")</f>
        <v>High</v>
      </c>
    </row>
    <row r="421" spans="1:13" ht="14.25" customHeight="1" x14ac:dyDescent="0.4">
      <c r="A421" s="6" t="s">
        <v>455</v>
      </c>
      <c r="B421" s="6" t="s">
        <v>29</v>
      </c>
      <c r="C421" s="6">
        <v>126</v>
      </c>
      <c r="D421" s="7" t="s">
        <v>24</v>
      </c>
      <c r="E421" s="11">
        <v>45042</v>
      </c>
      <c r="F421" s="10">
        <v>175</v>
      </c>
      <c r="G421" s="6">
        <v>4.8</v>
      </c>
      <c r="H421" s="6">
        <f>IF(MONTH(Data!$E421)&lt;=6, YEAR(Data!$E421), YEAR(Data!$E421)+1)</f>
        <v>2023</v>
      </c>
      <c r="I421" s="6" t="str">
        <f>TEXT(Data!$E421,"DDDD")</f>
        <v>Wednesday</v>
      </c>
      <c r="J421" s="6" t="s">
        <v>25</v>
      </c>
      <c r="K421" s="6">
        <f>ROUND(Data!$G421,0)</f>
        <v>5</v>
      </c>
      <c r="L421" t="str" cm="1">
        <f t="array" ref="L421">_xlfn.IFS(C421&lt;=15,"Very Short",C421&lt;=30,"Short",C421&lt;=60,"Medium",C421&gt;60,"Long")</f>
        <v>Long</v>
      </c>
      <c r="M421" t="str" cm="1">
        <f t="array" ref="M421">_xlfn.IFS(F421&lt;=50,"Low",F421&lt;=100,"Medium",F421&lt;=150,"High",F421&gt;150,"Very High")</f>
        <v>Very High</v>
      </c>
    </row>
    <row r="422" spans="1:13" ht="14.25" customHeight="1" x14ac:dyDescent="0.4">
      <c r="A422" s="6" t="s">
        <v>456</v>
      </c>
      <c r="B422" s="6" t="s">
        <v>58</v>
      </c>
      <c r="C422" s="6">
        <v>26</v>
      </c>
      <c r="D422" s="7" t="s">
        <v>13</v>
      </c>
      <c r="E422" s="11">
        <v>45042</v>
      </c>
      <c r="F422" s="10">
        <v>87</v>
      </c>
      <c r="G422" s="6">
        <v>4.7</v>
      </c>
      <c r="H422" s="6">
        <f>IF(MONTH(Data!$E422)&lt;=6, YEAR(Data!$E422), YEAR(Data!$E422)+1)</f>
        <v>2023</v>
      </c>
      <c r="I422" s="6" t="str">
        <f>TEXT(Data!$E422,"DDDD")</f>
        <v>Wednesday</v>
      </c>
      <c r="J422" s="6" t="s">
        <v>47</v>
      </c>
      <c r="K422" s="6">
        <f>ROUND(Data!$G422,0)</f>
        <v>5</v>
      </c>
      <c r="L422" t="str" cm="1">
        <f t="array" ref="L422">_xlfn.IFS(C422&lt;=15,"Very Short",C422&lt;=30,"Short",C422&lt;=60,"Medium",C422&gt;60,"Long")</f>
        <v>Short</v>
      </c>
      <c r="M422" t="str" cm="1">
        <f t="array" ref="M422">_xlfn.IFS(F422&lt;=50,"Low",F422&lt;=100,"Medium",F422&lt;=150,"High",F422&gt;150,"Very High")</f>
        <v>Medium</v>
      </c>
    </row>
    <row r="423" spans="1:13" ht="14.25" customHeight="1" x14ac:dyDescent="0.4">
      <c r="A423" s="6" t="s">
        <v>457</v>
      </c>
      <c r="B423" s="6" t="s">
        <v>40</v>
      </c>
      <c r="C423" s="6">
        <v>105</v>
      </c>
      <c r="D423" s="7" t="s">
        <v>24</v>
      </c>
      <c r="E423" s="11">
        <v>45042</v>
      </c>
      <c r="F423" s="10">
        <v>66</v>
      </c>
      <c r="G423" s="6">
        <v>4.2</v>
      </c>
      <c r="H423" s="6">
        <f>IF(MONTH(Data!$E423)&lt;=6, YEAR(Data!$E423), YEAR(Data!$E423)+1)</f>
        <v>2023</v>
      </c>
      <c r="I423" s="6" t="str">
        <f>TEXT(Data!$E423,"DDDD")</f>
        <v>Wednesday</v>
      </c>
      <c r="J423" s="6" t="s">
        <v>14</v>
      </c>
      <c r="K423" s="6">
        <f>ROUND(Data!$G423,0)</f>
        <v>4</v>
      </c>
      <c r="L423" t="str" cm="1">
        <f t="array" ref="L423">_xlfn.IFS(C423&lt;=15,"Very Short",C423&lt;=30,"Short",C423&lt;=60,"Medium",C423&gt;60,"Long")</f>
        <v>Long</v>
      </c>
      <c r="M423" t="str" cm="1">
        <f t="array" ref="M423">_xlfn.IFS(F423&lt;=50,"Low",F423&lt;=100,"Medium",F423&lt;=150,"High",F423&gt;150,"Very High")</f>
        <v>Medium</v>
      </c>
    </row>
    <row r="424" spans="1:13" ht="14.25" customHeight="1" x14ac:dyDescent="0.4">
      <c r="A424" s="6" t="s">
        <v>458</v>
      </c>
      <c r="B424" s="6" t="s">
        <v>40</v>
      </c>
      <c r="C424" s="6">
        <v>31</v>
      </c>
      <c r="D424" s="7" t="s">
        <v>24</v>
      </c>
      <c r="E424" s="11">
        <v>45042</v>
      </c>
      <c r="F424" s="10">
        <v>25</v>
      </c>
      <c r="G424" s="6">
        <v>3.2</v>
      </c>
      <c r="H424" s="6">
        <f>IF(MONTH(Data!$E424)&lt;=6, YEAR(Data!$E424), YEAR(Data!$E424)+1)</f>
        <v>2023</v>
      </c>
      <c r="I424" s="6" t="str">
        <f>TEXT(Data!$E424,"DDDD")</f>
        <v>Wednesday</v>
      </c>
      <c r="J424" s="6" t="s">
        <v>27</v>
      </c>
      <c r="K424" s="6">
        <f>ROUND(Data!$G424,0)</f>
        <v>3</v>
      </c>
      <c r="L424" t="str" cm="1">
        <f t="array" ref="L424">_xlfn.IFS(C424&lt;=15,"Very Short",C424&lt;=30,"Short",C424&lt;=60,"Medium",C424&gt;60,"Long")</f>
        <v>Medium</v>
      </c>
      <c r="M424" t="str" cm="1">
        <f t="array" ref="M424">_xlfn.IFS(F424&lt;=50,"Low",F424&lt;=100,"Medium",F424&lt;=150,"High",F424&gt;150,"Very High")</f>
        <v>Low</v>
      </c>
    </row>
    <row r="425" spans="1:13" ht="14.25" customHeight="1" x14ac:dyDescent="0.4">
      <c r="A425" s="6" t="s">
        <v>459</v>
      </c>
      <c r="B425" s="6" t="s">
        <v>18</v>
      </c>
      <c r="C425" s="6">
        <v>109</v>
      </c>
      <c r="D425" s="7" t="s">
        <v>19</v>
      </c>
      <c r="E425" s="11">
        <v>45042</v>
      </c>
      <c r="F425" s="10">
        <v>126</v>
      </c>
      <c r="G425" s="6">
        <v>3.4</v>
      </c>
      <c r="H425" s="6">
        <f>IF(MONTH(Data!$E425)&lt;=6, YEAR(Data!$E425), YEAR(Data!$E425)+1)</f>
        <v>2023</v>
      </c>
      <c r="I425" s="6" t="str">
        <f>TEXT(Data!$E425,"DDDD")</f>
        <v>Wednesday</v>
      </c>
      <c r="J425" s="6" t="s">
        <v>14</v>
      </c>
      <c r="K425" s="6">
        <f>ROUND(Data!$G425,0)</f>
        <v>3</v>
      </c>
      <c r="L425" t="str" cm="1">
        <f t="array" ref="L425">_xlfn.IFS(C425&lt;=15,"Very Short",C425&lt;=30,"Short",C425&lt;=60,"Medium",C425&gt;60,"Long")</f>
        <v>Long</v>
      </c>
      <c r="M425" t="str" cm="1">
        <f t="array" ref="M425">_xlfn.IFS(F425&lt;=50,"Low",F425&lt;=100,"Medium",F425&lt;=150,"High",F425&gt;150,"Very High")</f>
        <v>High</v>
      </c>
    </row>
    <row r="426" spans="1:13" ht="14.25" customHeight="1" x14ac:dyDescent="0.4">
      <c r="A426" s="6" t="s">
        <v>460</v>
      </c>
      <c r="B426" s="6" t="s">
        <v>12</v>
      </c>
      <c r="C426" s="6">
        <v>113</v>
      </c>
      <c r="D426" s="7" t="s">
        <v>31</v>
      </c>
      <c r="E426" s="11">
        <v>45043</v>
      </c>
      <c r="F426" s="10">
        <v>42</v>
      </c>
      <c r="G426" s="6">
        <v>4.5999999999999996</v>
      </c>
      <c r="H426" s="6">
        <f>IF(MONTH(Data!$E426)&lt;=6, YEAR(Data!$E426), YEAR(Data!$E426)+1)</f>
        <v>2023</v>
      </c>
      <c r="I426" s="6" t="str">
        <f>TEXT(Data!$E426,"DDDD")</f>
        <v>Thursday</v>
      </c>
      <c r="J426" s="6" t="s">
        <v>14</v>
      </c>
      <c r="K426" s="6">
        <f>ROUND(Data!$G426,0)</f>
        <v>5</v>
      </c>
      <c r="L426" t="str" cm="1">
        <f t="array" ref="L426">_xlfn.IFS(C426&lt;=15,"Very Short",C426&lt;=30,"Short",C426&lt;=60,"Medium",C426&gt;60,"Long")</f>
        <v>Long</v>
      </c>
      <c r="M426" t="str" cm="1">
        <f t="array" ref="M426">_xlfn.IFS(F426&lt;=50,"Low",F426&lt;=100,"Medium",F426&lt;=150,"High",F426&gt;150,"Very High")</f>
        <v>Low</v>
      </c>
    </row>
    <row r="427" spans="1:13" ht="14.25" customHeight="1" x14ac:dyDescent="0.4">
      <c r="A427" s="6" t="s">
        <v>461</v>
      </c>
      <c r="B427" s="6" t="s">
        <v>29</v>
      </c>
      <c r="C427" s="6">
        <v>101</v>
      </c>
      <c r="D427" s="7" t="s">
        <v>13</v>
      </c>
      <c r="E427" s="11">
        <v>45043</v>
      </c>
      <c r="F427" s="10">
        <v>225</v>
      </c>
      <c r="G427" s="6">
        <v>1.9</v>
      </c>
      <c r="H427" s="6">
        <f>IF(MONTH(Data!$E427)&lt;=6, YEAR(Data!$E427), YEAR(Data!$E427)+1)</f>
        <v>2023</v>
      </c>
      <c r="I427" s="6" t="str">
        <f>TEXT(Data!$E427,"DDDD")</f>
        <v>Thursday</v>
      </c>
      <c r="J427" s="6" t="s">
        <v>14</v>
      </c>
      <c r="K427" s="6">
        <f>ROUND(Data!$G427,0)</f>
        <v>2</v>
      </c>
      <c r="L427" t="str" cm="1">
        <f t="array" ref="L427">_xlfn.IFS(C427&lt;=15,"Very Short",C427&lt;=30,"Short",C427&lt;=60,"Medium",C427&gt;60,"Long")</f>
        <v>Long</v>
      </c>
      <c r="M427" t="str" cm="1">
        <f t="array" ref="M427">_xlfn.IFS(F427&lt;=50,"Low",F427&lt;=100,"Medium",F427&lt;=150,"High",F427&gt;150,"Very High")</f>
        <v>Very High</v>
      </c>
    </row>
    <row r="428" spans="1:13" ht="14.25" customHeight="1" x14ac:dyDescent="0.4">
      <c r="A428" s="6" t="s">
        <v>462</v>
      </c>
      <c r="B428" s="6" t="s">
        <v>21</v>
      </c>
      <c r="C428" s="6">
        <v>156</v>
      </c>
      <c r="D428" s="7" t="s">
        <v>13</v>
      </c>
      <c r="E428" s="11">
        <v>45043</v>
      </c>
      <c r="F428" s="10">
        <v>42</v>
      </c>
      <c r="G428" s="6">
        <v>3.3</v>
      </c>
      <c r="H428" s="6">
        <f>IF(MONTH(Data!$E428)&lt;=6, YEAR(Data!$E428), YEAR(Data!$E428)+1)</f>
        <v>2023</v>
      </c>
      <c r="I428" s="6" t="str">
        <f>TEXT(Data!$E428,"DDDD")</f>
        <v>Thursday</v>
      </c>
      <c r="J428" s="6" t="s">
        <v>25</v>
      </c>
      <c r="K428" s="6">
        <f>ROUND(Data!$G428,0)</f>
        <v>3</v>
      </c>
      <c r="L428" t="str" cm="1">
        <f t="array" ref="L428">_xlfn.IFS(C428&lt;=15,"Very Short",C428&lt;=30,"Short",C428&lt;=60,"Medium",C428&gt;60,"Long")</f>
        <v>Long</v>
      </c>
      <c r="M428" t="str" cm="1">
        <f t="array" ref="M428">_xlfn.IFS(F428&lt;=50,"Low",F428&lt;=100,"Medium",F428&lt;=150,"High",F428&gt;150,"Very High")</f>
        <v>Low</v>
      </c>
    </row>
    <row r="429" spans="1:13" ht="14.25" customHeight="1" x14ac:dyDescent="0.4">
      <c r="A429" s="6" t="s">
        <v>463</v>
      </c>
      <c r="B429" s="6" t="s">
        <v>18</v>
      </c>
      <c r="C429" s="6">
        <v>145</v>
      </c>
      <c r="D429" s="7" t="s">
        <v>31</v>
      </c>
      <c r="E429" s="11">
        <v>45044</v>
      </c>
      <c r="F429" s="10">
        <v>110</v>
      </c>
      <c r="G429" s="6">
        <v>3.1</v>
      </c>
      <c r="H429" s="6">
        <f>IF(MONTH(Data!$E429)&lt;=6, YEAR(Data!$E429), YEAR(Data!$E429)+1)</f>
        <v>2023</v>
      </c>
      <c r="I429" s="6" t="str">
        <f>TEXT(Data!$E429,"DDDD")</f>
        <v>Friday</v>
      </c>
      <c r="J429" s="6" t="s">
        <v>25</v>
      </c>
      <c r="K429" s="6">
        <f>ROUND(Data!$G429,0)</f>
        <v>3</v>
      </c>
      <c r="L429" t="str" cm="1">
        <f t="array" ref="L429">_xlfn.IFS(C429&lt;=15,"Very Short",C429&lt;=30,"Short",C429&lt;=60,"Medium",C429&gt;60,"Long")</f>
        <v>Long</v>
      </c>
      <c r="M429" t="str" cm="1">
        <f t="array" ref="M429">_xlfn.IFS(F429&lt;=50,"Low",F429&lt;=100,"Medium",F429&lt;=150,"High",F429&gt;150,"Very High")</f>
        <v>High</v>
      </c>
    </row>
    <row r="430" spans="1:13" ht="14.25" customHeight="1" x14ac:dyDescent="0.4">
      <c r="A430" s="6" t="s">
        <v>464</v>
      </c>
      <c r="B430" s="6" t="s">
        <v>50</v>
      </c>
      <c r="C430" s="6">
        <v>36</v>
      </c>
      <c r="D430" s="7" t="s">
        <v>19</v>
      </c>
      <c r="E430" s="11">
        <v>45044</v>
      </c>
      <c r="F430" s="10">
        <v>225</v>
      </c>
      <c r="G430" s="6">
        <v>4.8</v>
      </c>
      <c r="H430" s="6">
        <f>IF(MONTH(Data!$E430)&lt;=6, YEAR(Data!$E430), YEAR(Data!$E430)+1)</f>
        <v>2023</v>
      </c>
      <c r="I430" s="6" t="str">
        <f>TEXT(Data!$E430,"DDDD")</f>
        <v>Friday</v>
      </c>
      <c r="J430" s="6" t="s">
        <v>27</v>
      </c>
      <c r="K430" s="6">
        <f>ROUND(Data!$G430,0)</f>
        <v>5</v>
      </c>
      <c r="L430" t="str" cm="1">
        <f t="array" ref="L430">_xlfn.IFS(C430&lt;=15,"Very Short",C430&lt;=30,"Short",C430&lt;=60,"Medium",C430&gt;60,"Long")</f>
        <v>Medium</v>
      </c>
      <c r="M430" t="str" cm="1">
        <f t="array" ref="M430">_xlfn.IFS(F430&lt;=50,"Low",F430&lt;=100,"Medium",F430&lt;=150,"High",F430&gt;150,"Very High")</f>
        <v>Very High</v>
      </c>
    </row>
    <row r="431" spans="1:13" ht="14.25" customHeight="1" x14ac:dyDescent="0.4">
      <c r="A431" s="6" t="s">
        <v>465</v>
      </c>
      <c r="B431" s="6" t="s">
        <v>40</v>
      </c>
      <c r="C431" s="6">
        <v>135</v>
      </c>
      <c r="D431" s="7" t="s">
        <v>35</v>
      </c>
      <c r="E431" s="11">
        <v>45045</v>
      </c>
      <c r="F431" s="10">
        <v>125</v>
      </c>
      <c r="G431" s="6">
        <v>3.3</v>
      </c>
      <c r="H431" s="6">
        <f>IF(MONTH(Data!$E431)&lt;=6, YEAR(Data!$E431), YEAR(Data!$E431)+1)</f>
        <v>2023</v>
      </c>
      <c r="I431" s="6" t="str">
        <f>TEXT(Data!$E431,"DDDD")</f>
        <v>Saturday</v>
      </c>
      <c r="J431" s="6" t="s">
        <v>25</v>
      </c>
      <c r="K431" s="6">
        <f>ROUND(Data!$G431,0)</f>
        <v>3</v>
      </c>
      <c r="L431" t="str" cm="1">
        <f t="array" ref="L431">_xlfn.IFS(C431&lt;=15,"Very Short",C431&lt;=30,"Short",C431&lt;=60,"Medium",C431&gt;60,"Long")</f>
        <v>Long</v>
      </c>
      <c r="M431" t="str" cm="1">
        <f t="array" ref="M431">_xlfn.IFS(F431&lt;=50,"Low",F431&lt;=100,"Medium",F431&lt;=150,"High",F431&gt;150,"Very High")</f>
        <v>High</v>
      </c>
    </row>
    <row r="432" spans="1:13" ht="14.25" customHeight="1" x14ac:dyDescent="0.4">
      <c r="A432" s="6" t="s">
        <v>466</v>
      </c>
      <c r="B432" s="6" t="s">
        <v>29</v>
      </c>
      <c r="C432" s="6">
        <v>81</v>
      </c>
      <c r="D432" s="7" t="s">
        <v>19</v>
      </c>
      <c r="E432" s="11">
        <v>45045</v>
      </c>
      <c r="F432" s="10">
        <v>78</v>
      </c>
      <c r="G432" s="6">
        <v>2.9</v>
      </c>
      <c r="H432" s="6">
        <f>IF(MONTH(Data!$E432)&lt;=6, YEAR(Data!$E432), YEAR(Data!$E432)+1)</f>
        <v>2023</v>
      </c>
      <c r="I432" s="6" t="str">
        <f>TEXT(Data!$E432,"DDDD")</f>
        <v>Saturday</v>
      </c>
      <c r="J432" s="6" t="s">
        <v>14</v>
      </c>
      <c r="K432" s="6">
        <f>ROUND(Data!$G432,0)</f>
        <v>3</v>
      </c>
      <c r="L432" t="str" cm="1">
        <f t="array" ref="L432">_xlfn.IFS(C432&lt;=15,"Very Short",C432&lt;=30,"Short",C432&lt;=60,"Medium",C432&gt;60,"Long")</f>
        <v>Long</v>
      </c>
      <c r="M432" t="str" cm="1">
        <f t="array" ref="M432">_xlfn.IFS(F432&lt;=50,"Low",F432&lt;=100,"Medium",F432&lt;=150,"High",F432&gt;150,"Very High")</f>
        <v>Medium</v>
      </c>
    </row>
    <row r="433" spans="1:13" ht="14.25" customHeight="1" x14ac:dyDescent="0.4">
      <c r="A433" s="6" t="s">
        <v>467</v>
      </c>
      <c r="B433" s="6" t="s">
        <v>29</v>
      </c>
      <c r="C433" s="6">
        <v>81</v>
      </c>
      <c r="D433" s="7" t="s">
        <v>31</v>
      </c>
      <c r="E433" s="11">
        <v>45045</v>
      </c>
      <c r="F433" s="10">
        <v>40</v>
      </c>
      <c r="G433" s="6">
        <v>2.4</v>
      </c>
      <c r="H433" s="6">
        <f>IF(MONTH(Data!$E433)&lt;=6, YEAR(Data!$E433), YEAR(Data!$E433)+1)</f>
        <v>2023</v>
      </c>
      <c r="I433" s="6" t="str">
        <f>TEXT(Data!$E433,"DDDD")</f>
        <v>Saturday</v>
      </c>
      <c r="J433" s="6" t="s">
        <v>14</v>
      </c>
      <c r="K433" s="6">
        <f>ROUND(Data!$G433,0)</f>
        <v>2</v>
      </c>
      <c r="L433" t="str" cm="1">
        <f t="array" ref="L433">_xlfn.IFS(C433&lt;=15,"Very Short",C433&lt;=30,"Short",C433&lt;=60,"Medium",C433&gt;60,"Long")</f>
        <v>Long</v>
      </c>
      <c r="M433" t="str" cm="1">
        <f t="array" ref="M433">_xlfn.IFS(F433&lt;=50,"Low",F433&lt;=100,"Medium",F433&lt;=150,"High",F433&gt;150,"Very High")</f>
        <v>Low</v>
      </c>
    </row>
    <row r="434" spans="1:13" ht="14.25" customHeight="1" x14ac:dyDescent="0.4">
      <c r="A434" s="6" t="s">
        <v>468</v>
      </c>
      <c r="B434" s="6" t="s">
        <v>46</v>
      </c>
      <c r="C434" s="6">
        <v>93</v>
      </c>
      <c r="D434" s="7" t="s">
        <v>24</v>
      </c>
      <c r="E434" s="11">
        <v>45045</v>
      </c>
      <c r="F434" s="10">
        <v>150</v>
      </c>
      <c r="G434" s="6">
        <v>4.5999999999999996</v>
      </c>
      <c r="H434" s="6">
        <f>IF(MONTH(Data!$E434)&lt;=6, YEAR(Data!$E434), YEAR(Data!$E434)+1)</f>
        <v>2023</v>
      </c>
      <c r="I434" s="6" t="str">
        <f>TEXT(Data!$E434,"DDDD")</f>
        <v>Saturday</v>
      </c>
      <c r="J434" s="6" t="s">
        <v>14</v>
      </c>
      <c r="K434" s="6">
        <f>ROUND(Data!$G434,0)</f>
        <v>5</v>
      </c>
      <c r="L434" t="str" cm="1">
        <f t="array" ref="L434">_xlfn.IFS(C434&lt;=15,"Very Short",C434&lt;=30,"Short",C434&lt;=60,"Medium",C434&gt;60,"Long")</f>
        <v>Long</v>
      </c>
      <c r="M434" t="str" cm="1">
        <f t="array" ref="M434">_xlfn.IFS(F434&lt;=50,"Low",F434&lt;=100,"Medium",F434&lt;=150,"High",F434&gt;150,"Very High")</f>
        <v>High</v>
      </c>
    </row>
    <row r="435" spans="1:13" ht="14.25" customHeight="1" x14ac:dyDescent="0.4">
      <c r="A435" s="6" t="s">
        <v>469</v>
      </c>
      <c r="B435" s="6" t="s">
        <v>18</v>
      </c>
      <c r="C435" s="6">
        <v>14</v>
      </c>
      <c r="D435" s="7" t="s">
        <v>19</v>
      </c>
      <c r="E435" s="11">
        <v>45045</v>
      </c>
      <c r="F435" s="10">
        <v>96</v>
      </c>
      <c r="G435" s="6">
        <v>4.8</v>
      </c>
      <c r="H435" s="6">
        <f>IF(MONTH(Data!$E435)&lt;=6, YEAR(Data!$E435), YEAR(Data!$E435)+1)</f>
        <v>2023</v>
      </c>
      <c r="I435" s="6" t="str">
        <f>TEXT(Data!$E435,"DDDD")</f>
        <v>Saturday</v>
      </c>
      <c r="J435" s="6" t="s">
        <v>47</v>
      </c>
      <c r="K435" s="6">
        <f>ROUND(Data!$G435,0)</f>
        <v>5</v>
      </c>
      <c r="L435" t="str" cm="1">
        <f t="array" ref="L435">_xlfn.IFS(C435&lt;=15,"Very Short",C435&lt;=30,"Short",C435&lt;=60,"Medium",C435&gt;60,"Long")</f>
        <v>Very Short</v>
      </c>
      <c r="M435" t="str" cm="1">
        <f t="array" ref="M435">_xlfn.IFS(F435&lt;=50,"Low",F435&lt;=100,"Medium",F435&lt;=150,"High",F435&gt;150,"Very High")</f>
        <v>Medium</v>
      </c>
    </row>
    <row r="436" spans="1:13" ht="14.25" customHeight="1" x14ac:dyDescent="0.4">
      <c r="A436" s="6" t="s">
        <v>470</v>
      </c>
      <c r="B436" s="6" t="s">
        <v>40</v>
      </c>
      <c r="C436" s="6">
        <v>95</v>
      </c>
      <c r="D436" s="7" t="s">
        <v>31</v>
      </c>
      <c r="E436" s="11">
        <v>45046</v>
      </c>
      <c r="F436" s="10">
        <v>75</v>
      </c>
      <c r="G436" s="6">
        <v>4.8</v>
      </c>
      <c r="H436" s="6">
        <f>IF(MONTH(Data!$E436)&lt;=6, YEAR(Data!$E436), YEAR(Data!$E436)+1)</f>
        <v>2023</v>
      </c>
      <c r="I436" s="6" t="str">
        <f>TEXT(Data!$E436,"DDDD")</f>
        <v>Sunday</v>
      </c>
      <c r="J436" s="6" t="s">
        <v>14</v>
      </c>
      <c r="K436" s="6">
        <f>ROUND(Data!$G436,0)</f>
        <v>5</v>
      </c>
      <c r="L436" t="str" cm="1">
        <f t="array" ref="L436">_xlfn.IFS(C436&lt;=15,"Very Short",C436&lt;=30,"Short",C436&lt;=60,"Medium",C436&gt;60,"Long")</f>
        <v>Long</v>
      </c>
      <c r="M436" t="str" cm="1">
        <f t="array" ref="M436">_xlfn.IFS(F436&lt;=50,"Low",F436&lt;=100,"Medium",F436&lt;=150,"High",F436&gt;150,"Very High")</f>
        <v>Medium</v>
      </c>
    </row>
    <row r="437" spans="1:13" ht="14.25" customHeight="1" x14ac:dyDescent="0.4">
      <c r="A437" s="6" t="s">
        <v>471</v>
      </c>
      <c r="B437" s="6" t="s">
        <v>46</v>
      </c>
      <c r="C437" s="6">
        <v>81</v>
      </c>
      <c r="D437" s="7" t="s">
        <v>31</v>
      </c>
      <c r="E437" s="11">
        <v>45046</v>
      </c>
      <c r="F437" s="10">
        <v>60</v>
      </c>
      <c r="G437" s="6">
        <v>3.6</v>
      </c>
      <c r="H437" s="6">
        <f>IF(MONTH(Data!$E437)&lt;=6, YEAR(Data!$E437), YEAR(Data!$E437)+1)</f>
        <v>2023</v>
      </c>
      <c r="I437" s="6" t="str">
        <f>TEXT(Data!$E437,"DDDD")</f>
        <v>Sunday</v>
      </c>
      <c r="J437" s="6" t="s">
        <v>14</v>
      </c>
      <c r="K437" s="6">
        <f>ROUND(Data!$G437,0)</f>
        <v>4</v>
      </c>
      <c r="L437" t="str" cm="1">
        <f t="array" ref="L437">_xlfn.IFS(C437&lt;=15,"Very Short",C437&lt;=30,"Short",C437&lt;=60,"Medium",C437&gt;60,"Long")</f>
        <v>Long</v>
      </c>
      <c r="M437" t="str" cm="1">
        <f t="array" ref="M437">_xlfn.IFS(F437&lt;=50,"Low",F437&lt;=100,"Medium",F437&lt;=150,"High",F437&gt;150,"Very High")</f>
        <v>Medium</v>
      </c>
    </row>
    <row r="438" spans="1:13" ht="14.25" customHeight="1" x14ac:dyDescent="0.4">
      <c r="A438" s="6" t="s">
        <v>472</v>
      </c>
      <c r="B438" s="6" t="s">
        <v>88</v>
      </c>
      <c r="C438" s="6">
        <v>60</v>
      </c>
      <c r="D438" s="7" t="s">
        <v>19</v>
      </c>
      <c r="E438" s="11">
        <v>45047</v>
      </c>
      <c r="F438" s="10">
        <v>41</v>
      </c>
      <c r="G438" s="6">
        <v>4.8</v>
      </c>
      <c r="H438" s="6">
        <f>IF(MONTH(Data!$E438)&lt;=6, YEAR(Data!$E438), YEAR(Data!$E438)+1)</f>
        <v>2023</v>
      </c>
      <c r="I438" s="6" t="str">
        <f>TEXT(Data!$E438,"DDDD")</f>
        <v>Monday</v>
      </c>
      <c r="J438" s="6" t="s">
        <v>27</v>
      </c>
      <c r="K438" s="6">
        <f>ROUND(Data!$G438,0)</f>
        <v>5</v>
      </c>
      <c r="L438" t="str" cm="1">
        <f t="array" ref="L438">_xlfn.IFS(C438&lt;=15,"Very Short",C438&lt;=30,"Short",C438&lt;=60,"Medium",C438&gt;60,"Long")</f>
        <v>Medium</v>
      </c>
      <c r="M438" t="str" cm="1">
        <f t="array" ref="M438">_xlfn.IFS(F438&lt;=50,"Low",F438&lt;=100,"Medium",F438&lt;=150,"High",F438&gt;150,"Very High")</f>
        <v>Low</v>
      </c>
    </row>
    <row r="439" spans="1:13" ht="14.25" customHeight="1" x14ac:dyDescent="0.4">
      <c r="A439" s="6" t="s">
        <v>473</v>
      </c>
      <c r="B439" s="6" t="s">
        <v>38</v>
      </c>
      <c r="C439" s="6">
        <v>137</v>
      </c>
      <c r="D439" s="7" t="s">
        <v>24</v>
      </c>
      <c r="E439" s="11">
        <v>45047</v>
      </c>
      <c r="F439" s="10">
        <v>20</v>
      </c>
      <c r="G439" s="6">
        <v>4.2</v>
      </c>
      <c r="H439" s="6">
        <f>IF(MONTH(Data!$E439)&lt;=6, YEAR(Data!$E439), YEAR(Data!$E439)+1)</f>
        <v>2023</v>
      </c>
      <c r="I439" s="6" t="str">
        <f>TEXT(Data!$E439,"DDDD")</f>
        <v>Monday</v>
      </c>
      <c r="J439" s="6" t="s">
        <v>25</v>
      </c>
      <c r="K439" s="6">
        <f>ROUND(Data!$G439,0)</f>
        <v>4</v>
      </c>
      <c r="L439" t="str" cm="1">
        <f t="array" ref="L439">_xlfn.IFS(C439&lt;=15,"Very Short",C439&lt;=30,"Short",C439&lt;=60,"Medium",C439&gt;60,"Long")</f>
        <v>Long</v>
      </c>
      <c r="M439" t="str" cm="1">
        <f t="array" ref="M439">_xlfn.IFS(F439&lt;=50,"Low",F439&lt;=100,"Medium",F439&lt;=150,"High",F439&gt;150,"Very High")</f>
        <v>Low</v>
      </c>
    </row>
    <row r="440" spans="1:13" ht="14.25" customHeight="1" x14ac:dyDescent="0.4">
      <c r="A440" s="6" t="s">
        <v>474</v>
      </c>
      <c r="B440" s="6" t="s">
        <v>16</v>
      </c>
      <c r="C440" s="6">
        <v>112</v>
      </c>
      <c r="D440" s="7" t="s">
        <v>35</v>
      </c>
      <c r="E440" s="11">
        <v>45047</v>
      </c>
      <c r="F440" s="10">
        <v>84</v>
      </c>
      <c r="G440" s="6">
        <v>2.6</v>
      </c>
      <c r="H440" s="6">
        <f>IF(MONTH(Data!$E440)&lt;=6, YEAR(Data!$E440), YEAR(Data!$E440)+1)</f>
        <v>2023</v>
      </c>
      <c r="I440" s="6" t="str">
        <f>TEXT(Data!$E440,"DDDD")</f>
        <v>Monday</v>
      </c>
      <c r="J440" s="6" t="s">
        <v>14</v>
      </c>
      <c r="K440" s="6">
        <f>ROUND(Data!$G440,0)</f>
        <v>3</v>
      </c>
      <c r="L440" t="str" cm="1">
        <f t="array" ref="L440">_xlfn.IFS(C440&lt;=15,"Very Short",C440&lt;=30,"Short",C440&lt;=60,"Medium",C440&gt;60,"Long")</f>
        <v>Long</v>
      </c>
      <c r="M440" t="str" cm="1">
        <f t="array" ref="M440">_xlfn.IFS(F440&lt;=50,"Low",F440&lt;=100,"Medium",F440&lt;=150,"High",F440&gt;150,"Very High")</f>
        <v>Medium</v>
      </c>
    </row>
    <row r="441" spans="1:13" ht="14.25" customHeight="1" x14ac:dyDescent="0.4">
      <c r="A441" s="6" t="s">
        <v>475</v>
      </c>
      <c r="B441" s="6" t="s">
        <v>40</v>
      </c>
      <c r="C441" s="6">
        <v>76</v>
      </c>
      <c r="D441" s="7" t="s">
        <v>13</v>
      </c>
      <c r="E441" s="11">
        <v>45047</v>
      </c>
      <c r="F441" s="10">
        <v>140</v>
      </c>
      <c r="G441" s="6">
        <v>3.7</v>
      </c>
      <c r="H441" s="6">
        <f>IF(MONTH(Data!$E441)&lt;=6, YEAR(Data!$E441), YEAR(Data!$E441)+1)</f>
        <v>2023</v>
      </c>
      <c r="I441" s="6" t="str">
        <f>TEXT(Data!$E441,"DDDD")</f>
        <v>Monday</v>
      </c>
      <c r="J441" s="6" t="s">
        <v>14</v>
      </c>
      <c r="K441" s="6">
        <f>ROUND(Data!$G441,0)</f>
        <v>4</v>
      </c>
      <c r="L441" t="str" cm="1">
        <f t="array" ref="L441">_xlfn.IFS(C441&lt;=15,"Very Short",C441&lt;=30,"Short",C441&lt;=60,"Medium",C441&gt;60,"Long")</f>
        <v>Long</v>
      </c>
      <c r="M441" t="str" cm="1">
        <f t="array" ref="M441">_xlfn.IFS(F441&lt;=50,"Low",F441&lt;=100,"Medium",F441&lt;=150,"High",F441&gt;150,"Very High")</f>
        <v>High</v>
      </c>
    </row>
    <row r="442" spans="1:13" ht="14.25" customHeight="1" x14ac:dyDescent="0.4">
      <c r="A442" s="6" t="s">
        <v>476</v>
      </c>
      <c r="B442" s="6" t="s">
        <v>55</v>
      </c>
      <c r="C442" s="6">
        <v>73</v>
      </c>
      <c r="D442" s="7" t="s">
        <v>19</v>
      </c>
      <c r="E442" s="11">
        <v>45047</v>
      </c>
      <c r="F442" s="10">
        <v>66</v>
      </c>
      <c r="G442" s="6">
        <v>4.8</v>
      </c>
      <c r="H442" s="6">
        <f>IF(MONTH(Data!$E442)&lt;=6, YEAR(Data!$E442), YEAR(Data!$E442)+1)</f>
        <v>2023</v>
      </c>
      <c r="I442" s="6" t="str">
        <f>TEXT(Data!$E442,"DDDD")</f>
        <v>Monday</v>
      </c>
      <c r="J442" s="6" t="s">
        <v>14</v>
      </c>
      <c r="K442" s="6">
        <f>ROUND(Data!$G442,0)</f>
        <v>5</v>
      </c>
      <c r="L442" t="str" cm="1">
        <f t="array" ref="L442">_xlfn.IFS(C442&lt;=15,"Very Short",C442&lt;=30,"Short",C442&lt;=60,"Medium",C442&gt;60,"Long")</f>
        <v>Long</v>
      </c>
      <c r="M442" t="str" cm="1">
        <f t="array" ref="M442">_xlfn.IFS(F442&lt;=50,"Low",F442&lt;=100,"Medium",F442&lt;=150,"High",F442&gt;150,"Very High")</f>
        <v>Medium</v>
      </c>
    </row>
    <row r="443" spans="1:13" ht="14.25" customHeight="1" x14ac:dyDescent="0.4">
      <c r="A443" s="6" t="s">
        <v>477</v>
      </c>
      <c r="B443" s="6" t="s">
        <v>34</v>
      </c>
      <c r="C443" s="6">
        <v>119</v>
      </c>
      <c r="D443" s="7" t="s">
        <v>24</v>
      </c>
      <c r="E443" s="11">
        <v>45047</v>
      </c>
      <c r="F443" s="10">
        <v>105</v>
      </c>
      <c r="G443" s="6">
        <v>4.7</v>
      </c>
      <c r="H443" s="6">
        <f>IF(MONTH(Data!$E443)&lt;=6, YEAR(Data!$E443), YEAR(Data!$E443)+1)</f>
        <v>2023</v>
      </c>
      <c r="I443" s="6" t="str">
        <f>TEXT(Data!$E443,"DDDD")</f>
        <v>Monday</v>
      </c>
      <c r="J443" s="6" t="s">
        <v>14</v>
      </c>
      <c r="K443" s="6">
        <f>ROUND(Data!$G443,0)</f>
        <v>5</v>
      </c>
      <c r="L443" t="str" cm="1">
        <f t="array" ref="L443">_xlfn.IFS(C443&lt;=15,"Very Short",C443&lt;=30,"Short",C443&lt;=60,"Medium",C443&gt;60,"Long")</f>
        <v>Long</v>
      </c>
      <c r="M443" t="str" cm="1">
        <f t="array" ref="M443">_xlfn.IFS(F443&lt;=50,"Low",F443&lt;=100,"Medium",F443&lt;=150,"High",F443&gt;150,"Very High")</f>
        <v>High</v>
      </c>
    </row>
    <row r="444" spans="1:13" ht="14.25" customHeight="1" x14ac:dyDescent="0.4">
      <c r="A444" s="6" t="s">
        <v>478</v>
      </c>
      <c r="B444" s="6" t="s">
        <v>12</v>
      </c>
      <c r="C444" s="6">
        <v>135</v>
      </c>
      <c r="D444" s="7" t="s">
        <v>31</v>
      </c>
      <c r="E444" s="11">
        <v>45048</v>
      </c>
      <c r="F444" s="10">
        <v>104</v>
      </c>
      <c r="G444" s="6">
        <v>4.0999999999999996</v>
      </c>
      <c r="H444" s="6">
        <f>IF(MONTH(Data!$E444)&lt;=6, YEAR(Data!$E444), YEAR(Data!$E444)+1)</f>
        <v>2023</v>
      </c>
      <c r="I444" s="6" t="str">
        <f>TEXT(Data!$E444,"DDDD")</f>
        <v>Tuesday</v>
      </c>
      <c r="J444" s="6" t="s">
        <v>25</v>
      </c>
      <c r="K444" s="6">
        <f>ROUND(Data!$G444,0)</f>
        <v>4</v>
      </c>
      <c r="L444" t="str" cm="1">
        <f t="array" ref="L444">_xlfn.IFS(C444&lt;=15,"Very Short",C444&lt;=30,"Short",C444&lt;=60,"Medium",C444&gt;60,"Long")</f>
        <v>Long</v>
      </c>
      <c r="M444" t="str" cm="1">
        <f t="array" ref="M444">_xlfn.IFS(F444&lt;=50,"Low",F444&lt;=100,"Medium",F444&lt;=150,"High",F444&gt;150,"Very High")</f>
        <v>High</v>
      </c>
    </row>
    <row r="445" spans="1:13" ht="14.25" customHeight="1" x14ac:dyDescent="0.4">
      <c r="A445" s="6" t="s">
        <v>479</v>
      </c>
      <c r="B445" s="6" t="s">
        <v>38</v>
      </c>
      <c r="C445" s="6">
        <v>41</v>
      </c>
      <c r="D445" s="7" t="s">
        <v>35</v>
      </c>
      <c r="E445" s="11">
        <v>45048</v>
      </c>
      <c r="F445" s="10">
        <v>123</v>
      </c>
      <c r="G445" s="6">
        <v>3.2</v>
      </c>
      <c r="H445" s="6">
        <f>IF(MONTH(Data!$E445)&lt;=6, YEAR(Data!$E445), YEAR(Data!$E445)+1)</f>
        <v>2023</v>
      </c>
      <c r="I445" s="6" t="str">
        <f>TEXT(Data!$E445,"DDDD")</f>
        <v>Tuesday</v>
      </c>
      <c r="J445" s="6" t="s">
        <v>27</v>
      </c>
      <c r="K445" s="6">
        <f>ROUND(Data!$G445,0)</f>
        <v>3</v>
      </c>
      <c r="L445" t="str" cm="1">
        <f t="array" ref="L445">_xlfn.IFS(C445&lt;=15,"Very Short",C445&lt;=30,"Short",C445&lt;=60,"Medium",C445&gt;60,"Long")</f>
        <v>Medium</v>
      </c>
      <c r="M445" t="str" cm="1">
        <f t="array" ref="M445">_xlfn.IFS(F445&lt;=50,"Low",F445&lt;=100,"Medium",F445&lt;=150,"High",F445&gt;150,"Very High")</f>
        <v>High</v>
      </c>
    </row>
    <row r="446" spans="1:13" ht="14.25" customHeight="1" x14ac:dyDescent="0.4">
      <c r="A446" s="6" t="s">
        <v>480</v>
      </c>
      <c r="B446" s="6" t="s">
        <v>18</v>
      </c>
      <c r="C446" s="6">
        <v>35</v>
      </c>
      <c r="D446" s="7" t="s">
        <v>31</v>
      </c>
      <c r="E446" s="11">
        <v>45049</v>
      </c>
      <c r="F446" s="10">
        <v>215</v>
      </c>
      <c r="G446" s="6">
        <v>4.3</v>
      </c>
      <c r="H446" s="6">
        <f>IF(MONTH(Data!$E446)&lt;=6, YEAR(Data!$E446), YEAR(Data!$E446)+1)</f>
        <v>2023</v>
      </c>
      <c r="I446" s="6" t="str">
        <f>TEXT(Data!$E446,"DDDD")</f>
        <v>Wednesday</v>
      </c>
      <c r="J446" s="6" t="s">
        <v>27</v>
      </c>
      <c r="K446" s="6">
        <f>ROUND(Data!$G446,0)</f>
        <v>4</v>
      </c>
      <c r="L446" t="str" cm="1">
        <f t="array" ref="L446">_xlfn.IFS(C446&lt;=15,"Very Short",C446&lt;=30,"Short",C446&lt;=60,"Medium",C446&gt;60,"Long")</f>
        <v>Medium</v>
      </c>
      <c r="M446" t="str" cm="1">
        <f t="array" ref="M446">_xlfn.IFS(F446&lt;=50,"Low",F446&lt;=100,"Medium",F446&lt;=150,"High",F446&gt;150,"Very High")</f>
        <v>Very High</v>
      </c>
    </row>
    <row r="447" spans="1:13" ht="14.25" customHeight="1" x14ac:dyDescent="0.4">
      <c r="A447" s="6" t="s">
        <v>481</v>
      </c>
      <c r="B447" s="6" t="s">
        <v>12</v>
      </c>
      <c r="C447" s="6">
        <v>96</v>
      </c>
      <c r="D447" s="7" t="s">
        <v>19</v>
      </c>
      <c r="E447" s="11">
        <v>45049</v>
      </c>
      <c r="F447" s="10">
        <v>46</v>
      </c>
      <c r="G447" s="6">
        <v>0.7</v>
      </c>
      <c r="H447" s="6">
        <f>IF(MONTH(Data!$E447)&lt;=6, YEAR(Data!$E447), YEAR(Data!$E447)+1)</f>
        <v>2023</v>
      </c>
      <c r="I447" s="6" t="str">
        <f>TEXT(Data!$E447,"DDDD")</f>
        <v>Wednesday</v>
      </c>
      <c r="J447" s="6" t="s">
        <v>14</v>
      </c>
      <c r="K447" s="6">
        <f>ROUND(Data!$G447,0)</f>
        <v>1</v>
      </c>
      <c r="L447" t="str" cm="1">
        <f t="array" ref="L447">_xlfn.IFS(C447&lt;=15,"Very Short",C447&lt;=30,"Short",C447&lt;=60,"Medium",C447&gt;60,"Long")</f>
        <v>Long</v>
      </c>
      <c r="M447" t="str" cm="1">
        <f t="array" ref="M447">_xlfn.IFS(F447&lt;=50,"Low",F447&lt;=100,"Medium",F447&lt;=150,"High",F447&gt;150,"Very High")</f>
        <v>Low</v>
      </c>
    </row>
    <row r="448" spans="1:13" ht="14.25" customHeight="1" x14ac:dyDescent="0.4">
      <c r="A448" s="6" t="s">
        <v>482</v>
      </c>
      <c r="B448" s="6" t="s">
        <v>46</v>
      </c>
      <c r="C448" s="6">
        <v>61</v>
      </c>
      <c r="D448" s="7" t="s">
        <v>35</v>
      </c>
      <c r="E448" s="11">
        <v>45049</v>
      </c>
      <c r="F448" s="10">
        <v>115</v>
      </c>
      <c r="G448" s="6">
        <v>3.7</v>
      </c>
      <c r="H448" s="6">
        <f>IF(MONTH(Data!$E448)&lt;=6, YEAR(Data!$E448), YEAR(Data!$E448)+1)</f>
        <v>2023</v>
      </c>
      <c r="I448" s="6" t="str">
        <f>TEXT(Data!$E448,"DDDD")</f>
        <v>Wednesday</v>
      </c>
      <c r="J448" s="6" t="s">
        <v>14</v>
      </c>
      <c r="K448" s="6">
        <f>ROUND(Data!$G448,0)</f>
        <v>4</v>
      </c>
      <c r="L448" t="str" cm="1">
        <f t="array" ref="L448">_xlfn.IFS(C448&lt;=15,"Very Short",C448&lt;=30,"Short",C448&lt;=60,"Medium",C448&gt;60,"Long")</f>
        <v>Long</v>
      </c>
      <c r="M448" t="str" cm="1">
        <f t="array" ref="M448">_xlfn.IFS(F448&lt;=50,"Low",F448&lt;=100,"Medium",F448&lt;=150,"High",F448&gt;150,"Very High")</f>
        <v>High</v>
      </c>
    </row>
    <row r="449" spans="1:13" ht="14.25" customHeight="1" x14ac:dyDescent="0.4">
      <c r="A449" s="6" t="s">
        <v>483</v>
      </c>
      <c r="B449" s="6" t="s">
        <v>12</v>
      </c>
      <c r="C449" s="6">
        <v>91</v>
      </c>
      <c r="D449" s="7" t="s">
        <v>35</v>
      </c>
      <c r="E449" s="11">
        <v>45049</v>
      </c>
      <c r="F449" s="10">
        <v>124</v>
      </c>
      <c r="G449" s="6">
        <v>3.9</v>
      </c>
      <c r="H449" s="6">
        <f>IF(MONTH(Data!$E449)&lt;=6, YEAR(Data!$E449), YEAR(Data!$E449)+1)</f>
        <v>2023</v>
      </c>
      <c r="I449" s="6" t="str">
        <f>TEXT(Data!$E449,"DDDD")</f>
        <v>Wednesday</v>
      </c>
      <c r="J449" s="6" t="s">
        <v>14</v>
      </c>
      <c r="K449" s="6">
        <f>ROUND(Data!$G449,0)</f>
        <v>4</v>
      </c>
      <c r="L449" t="str" cm="1">
        <f t="array" ref="L449">_xlfn.IFS(C449&lt;=15,"Very Short",C449&lt;=30,"Short",C449&lt;=60,"Medium",C449&gt;60,"Long")</f>
        <v>Long</v>
      </c>
      <c r="M449" t="str" cm="1">
        <f t="array" ref="M449">_xlfn.IFS(F449&lt;=50,"Low",F449&lt;=100,"Medium",F449&lt;=150,"High",F449&gt;150,"Very High")</f>
        <v>High</v>
      </c>
    </row>
    <row r="450" spans="1:13" ht="14.25" customHeight="1" x14ac:dyDescent="0.4">
      <c r="A450" s="6" t="s">
        <v>484</v>
      </c>
      <c r="B450" s="6" t="s">
        <v>68</v>
      </c>
      <c r="C450" s="6">
        <v>30</v>
      </c>
      <c r="D450" s="7" t="s">
        <v>35</v>
      </c>
      <c r="E450" s="11">
        <v>45050</v>
      </c>
      <c r="F450" s="10">
        <v>205</v>
      </c>
      <c r="G450" s="6">
        <v>4.5</v>
      </c>
      <c r="H450" s="6">
        <f>IF(MONTH(Data!$E450)&lt;=6, YEAR(Data!$E450), YEAR(Data!$E450)+1)</f>
        <v>2023</v>
      </c>
      <c r="I450" s="6" t="str">
        <f>TEXT(Data!$E450,"DDDD")</f>
        <v>Thursday</v>
      </c>
      <c r="J450" s="6" t="s">
        <v>47</v>
      </c>
      <c r="K450" s="6">
        <f>ROUND(Data!$G450,0)</f>
        <v>5</v>
      </c>
      <c r="L450" t="str" cm="1">
        <f t="array" ref="L450">_xlfn.IFS(C450&lt;=15,"Very Short",C450&lt;=30,"Short",C450&lt;=60,"Medium",C450&gt;60,"Long")</f>
        <v>Short</v>
      </c>
      <c r="M450" t="str" cm="1">
        <f t="array" ref="M450">_xlfn.IFS(F450&lt;=50,"Low",F450&lt;=100,"Medium",F450&lt;=150,"High",F450&gt;150,"Very High")</f>
        <v>Very High</v>
      </c>
    </row>
    <row r="451" spans="1:13" ht="14.25" customHeight="1" x14ac:dyDescent="0.4">
      <c r="A451" s="6" t="s">
        <v>485</v>
      </c>
      <c r="B451" s="6" t="s">
        <v>88</v>
      </c>
      <c r="C451" s="6">
        <v>111</v>
      </c>
      <c r="D451" s="7" t="s">
        <v>24</v>
      </c>
      <c r="E451" s="11">
        <v>45050</v>
      </c>
      <c r="F451" s="10">
        <v>90</v>
      </c>
      <c r="G451" s="6">
        <v>2.8</v>
      </c>
      <c r="H451" s="6">
        <f>IF(MONTH(Data!$E451)&lt;=6, YEAR(Data!$E451), YEAR(Data!$E451)+1)</f>
        <v>2023</v>
      </c>
      <c r="I451" s="6" t="str">
        <f>TEXT(Data!$E451,"DDDD")</f>
        <v>Thursday</v>
      </c>
      <c r="J451" s="6" t="s">
        <v>14</v>
      </c>
      <c r="K451" s="6">
        <f>ROUND(Data!$G451,0)</f>
        <v>3</v>
      </c>
      <c r="L451" t="str" cm="1">
        <f t="array" ref="L451">_xlfn.IFS(C451&lt;=15,"Very Short",C451&lt;=30,"Short",C451&lt;=60,"Medium",C451&gt;60,"Long")</f>
        <v>Long</v>
      </c>
      <c r="M451" t="str" cm="1">
        <f t="array" ref="M451">_xlfn.IFS(F451&lt;=50,"Low",F451&lt;=100,"Medium",F451&lt;=150,"High",F451&gt;150,"Very High")</f>
        <v>Medium</v>
      </c>
    </row>
    <row r="452" spans="1:13" ht="14.25" customHeight="1" x14ac:dyDescent="0.4">
      <c r="A452" s="6" t="s">
        <v>486</v>
      </c>
      <c r="B452" s="6" t="s">
        <v>46</v>
      </c>
      <c r="C452" s="6">
        <v>81</v>
      </c>
      <c r="D452" s="7" t="s">
        <v>19</v>
      </c>
      <c r="E452" s="11">
        <v>45050</v>
      </c>
      <c r="F452" s="10">
        <v>92</v>
      </c>
      <c r="G452" s="6">
        <v>4.9000000000000004</v>
      </c>
      <c r="H452" s="6">
        <f>IF(MONTH(Data!$E452)&lt;=6, YEAR(Data!$E452), YEAR(Data!$E452)+1)</f>
        <v>2023</v>
      </c>
      <c r="I452" s="6" t="str">
        <f>TEXT(Data!$E452,"DDDD")</f>
        <v>Thursday</v>
      </c>
      <c r="J452" s="6" t="s">
        <v>14</v>
      </c>
      <c r="K452" s="6">
        <f>ROUND(Data!$G452,0)</f>
        <v>5</v>
      </c>
      <c r="L452" t="str" cm="1">
        <f t="array" ref="L452">_xlfn.IFS(C452&lt;=15,"Very Short",C452&lt;=30,"Short",C452&lt;=60,"Medium",C452&gt;60,"Long")</f>
        <v>Long</v>
      </c>
      <c r="M452" t="str" cm="1">
        <f t="array" ref="M452">_xlfn.IFS(F452&lt;=50,"Low",F452&lt;=100,"Medium",F452&lt;=150,"High",F452&gt;150,"Very High")</f>
        <v>Medium</v>
      </c>
    </row>
    <row r="453" spans="1:13" ht="14.25" customHeight="1" x14ac:dyDescent="0.4">
      <c r="A453" s="6" t="s">
        <v>487</v>
      </c>
      <c r="B453" s="6" t="s">
        <v>40</v>
      </c>
      <c r="C453" s="6">
        <v>40</v>
      </c>
      <c r="D453" s="7" t="s">
        <v>31</v>
      </c>
      <c r="E453" s="11">
        <v>45052</v>
      </c>
      <c r="F453" s="10">
        <v>108</v>
      </c>
      <c r="G453" s="6">
        <v>4.2</v>
      </c>
      <c r="H453" s="6">
        <f>IF(MONTH(Data!$E453)&lt;=6, YEAR(Data!$E453), YEAR(Data!$E453)+1)</f>
        <v>2023</v>
      </c>
      <c r="I453" s="6" t="str">
        <f>TEXT(Data!$E453,"DDDD")</f>
        <v>Saturday</v>
      </c>
      <c r="J453" s="6" t="s">
        <v>27</v>
      </c>
      <c r="K453" s="6">
        <f>ROUND(Data!$G453,0)</f>
        <v>4</v>
      </c>
      <c r="L453" t="str" cm="1">
        <f t="array" ref="L453">_xlfn.IFS(C453&lt;=15,"Very Short",C453&lt;=30,"Short",C453&lt;=60,"Medium",C453&gt;60,"Long")</f>
        <v>Medium</v>
      </c>
      <c r="M453" t="str" cm="1">
        <f t="array" ref="M453">_xlfn.IFS(F453&lt;=50,"Low",F453&lt;=100,"Medium",F453&lt;=150,"High",F453&gt;150,"Very High")</f>
        <v>High</v>
      </c>
    </row>
    <row r="454" spans="1:13" ht="14.25" customHeight="1" x14ac:dyDescent="0.4">
      <c r="A454" s="6" t="s">
        <v>488</v>
      </c>
      <c r="B454" s="6" t="s">
        <v>88</v>
      </c>
      <c r="C454" s="6">
        <v>143</v>
      </c>
      <c r="D454" s="7" t="s">
        <v>31</v>
      </c>
      <c r="E454" s="11">
        <v>45052</v>
      </c>
      <c r="F454" s="10">
        <v>54</v>
      </c>
      <c r="G454" s="6">
        <v>4.4000000000000004</v>
      </c>
      <c r="H454" s="6">
        <f>IF(MONTH(Data!$E454)&lt;=6, YEAR(Data!$E454), YEAR(Data!$E454)+1)</f>
        <v>2023</v>
      </c>
      <c r="I454" s="6" t="str">
        <f>TEXT(Data!$E454,"DDDD")</f>
        <v>Saturday</v>
      </c>
      <c r="J454" s="6" t="s">
        <v>25</v>
      </c>
      <c r="K454" s="6">
        <f>ROUND(Data!$G454,0)</f>
        <v>4</v>
      </c>
      <c r="L454" t="str" cm="1">
        <f t="array" ref="L454">_xlfn.IFS(C454&lt;=15,"Very Short",C454&lt;=30,"Short",C454&lt;=60,"Medium",C454&gt;60,"Long")</f>
        <v>Long</v>
      </c>
      <c r="M454" t="str" cm="1">
        <f t="array" ref="M454">_xlfn.IFS(F454&lt;=50,"Low",F454&lt;=100,"Medium",F454&lt;=150,"High",F454&gt;150,"Very High")</f>
        <v>Medium</v>
      </c>
    </row>
    <row r="455" spans="1:13" ht="14.25" customHeight="1" x14ac:dyDescent="0.4">
      <c r="A455" s="6" t="s">
        <v>489</v>
      </c>
      <c r="B455" s="6" t="s">
        <v>40</v>
      </c>
      <c r="C455" s="6">
        <v>70</v>
      </c>
      <c r="D455" s="7" t="s">
        <v>31</v>
      </c>
      <c r="E455" s="11">
        <v>45053</v>
      </c>
      <c r="F455" s="10">
        <v>44</v>
      </c>
      <c r="G455" s="6">
        <v>3.5</v>
      </c>
      <c r="H455" s="6">
        <f>IF(MONTH(Data!$E455)&lt;=6, YEAR(Data!$E455), YEAR(Data!$E455)+1)</f>
        <v>2023</v>
      </c>
      <c r="I455" s="6" t="str">
        <f>TEXT(Data!$E455,"DDDD")</f>
        <v>Sunday</v>
      </c>
      <c r="J455" s="6" t="s">
        <v>14</v>
      </c>
      <c r="K455" s="6">
        <f>ROUND(Data!$G455,0)</f>
        <v>4</v>
      </c>
      <c r="L455" t="str" cm="1">
        <f t="array" ref="L455">_xlfn.IFS(C455&lt;=15,"Very Short",C455&lt;=30,"Short",C455&lt;=60,"Medium",C455&gt;60,"Long")</f>
        <v>Long</v>
      </c>
      <c r="M455" t="str" cm="1">
        <f t="array" ref="M455">_xlfn.IFS(F455&lt;=50,"Low",F455&lt;=100,"Medium",F455&lt;=150,"High",F455&gt;150,"Very High")</f>
        <v>Low</v>
      </c>
    </row>
    <row r="456" spans="1:13" ht="14.25" customHeight="1" x14ac:dyDescent="0.4">
      <c r="A456" s="6" t="s">
        <v>490</v>
      </c>
      <c r="B456" s="6" t="s">
        <v>55</v>
      </c>
      <c r="C456" s="6">
        <v>137</v>
      </c>
      <c r="D456" s="7" t="s">
        <v>31</v>
      </c>
      <c r="E456" s="11">
        <v>45053</v>
      </c>
      <c r="F456" s="10">
        <v>44</v>
      </c>
      <c r="G456" s="6">
        <v>4.7</v>
      </c>
      <c r="H456" s="6">
        <f>IF(MONTH(Data!$E456)&lt;=6, YEAR(Data!$E456), YEAR(Data!$E456)+1)</f>
        <v>2023</v>
      </c>
      <c r="I456" s="6" t="str">
        <f>TEXT(Data!$E456,"DDDD")</f>
        <v>Sunday</v>
      </c>
      <c r="J456" s="6" t="s">
        <v>25</v>
      </c>
      <c r="K456" s="6">
        <f>ROUND(Data!$G456,0)</f>
        <v>5</v>
      </c>
      <c r="L456" t="str" cm="1">
        <f t="array" ref="L456">_xlfn.IFS(C456&lt;=15,"Very Short",C456&lt;=30,"Short",C456&lt;=60,"Medium",C456&gt;60,"Long")</f>
        <v>Long</v>
      </c>
      <c r="M456" t="str" cm="1">
        <f t="array" ref="M456">_xlfn.IFS(F456&lt;=50,"Low",F456&lt;=100,"Medium",F456&lt;=150,"High",F456&gt;150,"Very High")</f>
        <v>Low</v>
      </c>
    </row>
    <row r="457" spans="1:13" ht="14.25" customHeight="1" x14ac:dyDescent="0.4">
      <c r="A457" s="6" t="s">
        <v>491</v>
      </c>
      <c r="B457" s="6" t="s">
        <v>12</v>
      </c>
      <c r="C457" s="6">
        <v>52</v>
      </c>
      <c r="D457" s="7" t="s">
        <v>19</v>
      </c>
      <c r="E457" s="11">
        <v>45054</v>
      </c>
      <c r="F457" s="10">
        <v>37</v>
      </c>
      <c r="G457" s="6">
        <v>4.9000000000000004</v>
      </c>
      <c r="H457" s="6">
        <f>IF(MONTH(Data!$E457)&lt;=6, YEAR(Data!$E457), YEAR(Data!$E457)+1)</f>
        <v>2023</v>
      </c>
      <c r="I457" s="6" t="str">
        <f>TEXT(Data!$E457,"DDDD")</f>
        <v>Monday</v>
      </c>
      <c r="J457" s="6" t="s">
        <v>27</v>
      </c>
      <c r="K457" s="6">
        <f>ROUND(Data!$G457,0)</f>
        <v>5</v>
      </c>
      <c r="L457" t="str" cm="1">
        <f t="array" ref="L457">_xlfn.IFS(C457&lt;=15,"Very Short",C457&lt;=30,"Short",C457&lt;=60,"Medium",C457&gt;60,"Long")</f>
        <v>Medium</v>
      </c>
      <c r="M457" t="str" cm="1">
        <f t="array" ref="M457">_xlfn.IFS(F457&lt;=50,"Low",F457&lt;=100,"Medium",F457&lt;=150,"High",F457&gt;150,"Very High")</f>
        <v>Low</v>
      </c>
    </row>
    <row r="458" spans="1:13" ht="14.25" customHeight="1" x14ac:dyDescent="0.4">
      <c r="A458" s="6" t="s">
        <v>492</v>
      </c>
      <c r="B458" s="6" t="s">
        <v>16</v>
      </c>
      <c r="C458" s="6">
        <v>31</v>
      </c>
      <c r="D458" s="7" t="s">
        <v>24</v>
      </c>
      <c r="E458" s="11">
        <v>45054</v>
      </c>
      <c r="F458" s="10">
        <v>180</v>
      </c>
      <c r="G458" s="6">
        <v>4.5</v>
      </c>
      <c r="H458" s="6">
        <f>IF(MONTH(Data!$E458)&lt;=6, YEAR(Data!$E458), YEAR(Data!$E458)+1)</f>
        <v>2023</v>
      </c>
      <c r="I458" s="6" t="str">
        <f>TEXT(Data!$E458,"DDDD")</f>
        <v>Monday</v>
      </c>
      <c r="J458" s="6" t="s">
        <v>27</v>
      </c>
      <c r="K458" s="6">
        <f>ROUND(Data!$G458,0)</f>
        <v>5</v>
      </c>
      <c r="L458" t="str" cm="1">
        <f t="array" ref="L458">_xlfn.IFS(C458&lt;=15,"Very Short",C458&lt;=30,"Short",C458&lt;=60,"Medium",C458&gt;60,"Long")</f>
        <v>Medium</v>
      </c>
      <c r="M458" t="str" cm="1">
        <f t="array" ref="M458">_xlfn.IFS(F458&lt;=50,"Low",F458&lt;=100,"Medium",F458&lt;=150,"High",F458&gt;150,"Very High")</f>
        <v>Very High</v>
      </c>
    </row>
    <row r="459" spans="1:13" ht="14.25" customHeight="1" x14ac:dyDescent="0.4">
      <c r="A459" s="6" t="s">
        <v>493</v>
      </c>
      <c r="B459" s="6" t="s">
        <v>12</v>
      </c>
      <c r="C459" s="6">
        <v>114</v>
      </c>
      <c r="D459" s="7" t="s">
        <v>35</v>
      </c>
      <c r="E459" s="11">
        <v>45054</v>
      </c>
      <c r="F459" s="10">
        <v>105</v>
      </c>
      <c r="G459" s="6">
        <v>4.9000000000000004</v>
      </c>
      <c r="H459" s="6">
        <f>IF(MONTH(Data!$E459)&lt;=6, YEAR(Data!$E459), YEAR(Data!$E459)+1)</f>
        <v>2023</v>
      </c>
      <c r="I459" s="6" t="str">
        <f>TEXT(Data!$E459,"DDDD")</f>
        <v>Monday</v>
      </c>
      <c r="J459" s="6" t="s">
        <v>14</v>
      </c>
      <c r="K459" s="6">
        <f>ROUND(Data!$G459,0)</f>
        <v>5</v>
      </c>
      <c r="L459" t="str" cm="1">
        <f t="array" ref="L459">_xlfn.IFS(C459&lt;=15,"Very Short",C459&lt;=30,"Short",C459&lt;=60,"Medium",C459&gt;60,"Long")</f>
        <v>Long</v>
      </c>
      <c r="M459" t="str" cm="1">
        <f t="array" ref="M459">_xlfn.IFS(F459&lt;=50,"Low",F459&lt;=100,"Medium",F459&lt;=150,"High",F459&gt;150,"Very High")</f>
        <v>High</v>
      </c>
    </row>
    <row r="460" spans="1:13" ht="14.25" customHeight="1" x14ac:dyDescent="0.4">
      <c r="A460" s="6" t="s">
        <v>494</v>
      </c>
      <c r="B460" s="6" t="s">
        <v>55</v>
      </c>
      <c r="C460" s="6">
        <v>73</v>
      </c>
      <c r="D460" s="7" t="s">
        <v>13</v>
      </c>
      <c r="E460" s="11">
        <v>45054</v>
      </c>
      <c r="F460" s="10">
        <v>87</v>
      </c>
      <c r="G460" s="6">
        <v>3.6</v>
      </c>
      <c r="H460" s="6">
        <f>IF(MONTH(Data!$E460)&lt;=6, YEAR(Data!$E460), YEAR(Data!$E460)+1)</f>
        <v>2023</v>
      </c>
      <c r="I460" s="6" t="str">
        <f>TEXT(Data!$E460,"DDDD")</f>
        <v>Monday</v>
      </c>
      <c r="J460" s="6" t="s">
        <v>14</v>
      </c>
      <c r="K460" s="6">
        <f>ROUND(Data!$G460,0)</f>
        <v>4</v>
      </c>
      <c r="L460" t="str" cm="1">
        <f t="array" ref="L460">_xlfn.IFS(C460&lt;=15,"Very Short",C460&lt;=30,"Short",C460&lt;=60,"Medium",C460&gt;60,"Long")</f>
        <v>Long</v>
      </c>
      <c r="M460" t="str" cm="1">
        <f t="array" ref="M460">_xlfn.IFS(F460&lt;=50,"Low",F460&lt;=100,"Medium",F460&lt;=150,"High",F460&gt;150,"Very High")</f>
        <v>Medium</v>
      </c>
    </row>
    <row r="461" spans="1:13" ht="14.25" customHeight="1" x14ac:dyDescent="0.4">
      <c r="A461" s="6" t="s">
        <v>495</v>
      </c>
      <c r="B461" s="6" t="s">
        <v>46</v>
      </c>
      <c r="C461" s="6">
        <v>25</v>
      </c>
      <c r="D461" s="7" t="s">
        <v>24</v>
      </c>
      <c r="E461" s="11">
        <v>45054</v>
      </c>
      <c r="F461" s="10">
        <v>52</v>
      </c>
      <c r="G461" s="6">
        <v>3.8</v>
      </c>
      <c r="H461" s="6">
        <f>IF(MONTH(Data!$E461)&lt;=6, YEAR(Data!$E461), YEAR(Data!$E461)+1)</f>
        <v>2023</v>
      </c>
      <c r="I461" s="6" t="str">
        <f>TEXT(Data!$E461,"DDDD")</f>
        <v>Monday</v>
      </c>
      <c r="J461" s="6" t="s">
        <v>47</v>
      </c>
      <c r="K461" s="6">
        <f>ROUND(Data!$G461,0)</f>
        <v>4</v>
      </c>
      <c r="L461" t="str" cm="1">
        <f t="array" ref="L461">_xlfn.IFS(C461&lt;=15,"Very Short",C461&lt;=30,"Short",C461&lt;=60,"Medium",C461&gt;60,"Long")</f>
        <v>Short</v>
      </c>
      <c r="M461" t="str" cm="1">
        <f t="array" ref="M461">_xlfn.IFS(F461&lt;=50,"Low",F461&lt;=100,"Medium",F461&lt;=150,"High",F461&gt;150,"Very High")</f>
        <v>Medium</v>
      </c>
    </row>
    <row r="462" spans="1:13" ht="14.25" customHeight="1" x14ac:dyDescent="0.4">
      <c r="A462" s="6" t="s">
        <v>496</v>
      </c>
      <c r="B462" s="6" t="s">
        <v>23</v>
      </c>
      <c r="C462" s="6">
        <v>44</v>
      </c>
      <c r="D462" s="7" t="s">
        <v>35</v>
      </c>
      <c r="E462" s="11">
        <v>45054</v>
      </c>
      <c r="F462" s="10">
        <v>63</v>
      </c>
      <c r="G462" s="6">
        <v>3.5</v>
      </c>
      <c r="H462" s="6">
        <f>IF(MONTH(Data!$E462)&lt;=6, YEAR(Data!$E462), YEAR(Data!$E462)+1)</f>
        <v>2023</v>
      </c>
      <c r="I462" s="6" t="str">
        <f>TEXT(Data!$E462,"DDDD")</f>
        <v>Monday</v>
      </c>
      <c r="J462" s="6" t="s">
        <v>27</v>
      </c>
      <c r="K462" s="6">
        <f>ROUND(Data!$G462,0)</f>
        <v>4</v>
      </c>
      <c r="L462" t="str" cm="1">
        <f t="array" ref="L462">_xlfn.IFS(C462&lt;=15,"Very Short",C462&lt;=30,"Short",C462&lt;=60,"Medium",C462&gt;60,"Long")</f>
        <v>Medium</v>
      </c>
      <c r="M462" t="str" cm="1">
        <f t="array" ref="M462">_xlfn.IFS(F462&lt;=50,"Low",F462&lt;=100,"Medium",F462&lt;=150,"High",F462&gt;150,"Very High")</f>
        <v>Medium</v>
      </c>
    </row>
    <row r="463" spans="1:13" ht="14.25" customHeight="1" x14ac:dyDescent="0.4">
      <c r="A463" s="6" t="s">
        <v>497</v>
      </c>
      <c r="B463" s="6" t="s">
        <v>50</v>
      </c>
      <c r="C463" s="6">
        <v>34</v>
      </c>
      <c r="D463" s="7" t="s">
        <v>19</v>
      </c>
      <c r="E463" s="11">
        <v>45055</v>
      </c>
      <c r="F463" s="10">
        <v>195</v>
      </c>
      <c r="G463" s="6">
        <v>4.8</v>
      </c>
      <c r="H463" s="6">
        <f>IF(MONTH(Data!$E463)&lt;=6, YEAR(Data!$E463), YEAR(Data!$E463)+1)</f>
        <v>2023</v>
      </c>
      <c r="I463" s="6" t="str">
        <f>TEXT(Data!$E463,"DDDD")</f>
        <v>Tuesday</v>
      </c>
      <c r="J463" s="6" t="s">
        <v>27</v>
      </c>
      <c r="K463" s="6">
        <f>ROUND(Data!$G463,0)</f>
        <v>5</v>
      </c>
      <c r="L463" t="str" cm="1">
        <f t="array" ref="L463">_xlfn.IFS(C463&lt;=15,"Very Short",C463&lt;=30,"Short",C463&lt;=60,"Medium",C463&gt;60,"Long")</f>
        <v>Medium</v>
      </c>
      <c r="M463" t="str" cm="1">
        <f t="array" ref="M463">_xlfn.IFS(F463&lt;=50,"Low",F463&lt;=100,"Medium",F463&lt;=150,"High",F463&gt;150,"Very High")</f>
        <v>Very High</v>
      </c>
    </row>
    <row r="464" spans="1:13" ht="14.25" customHeight="1" x14ac:dyDescent="0.4">
      <c r="A464" s="6" t="s">
        <v>498</v>
      </c>
      <c r="B464" s="6" t="s">
        <v>88</v>
      </c>
      <c r="C464" s="6">
        <v>89</v>
      </c>
      <c r="D464" s="7" t="s">
        <v>31</v>
      </c>
      <c r="E464" s="11">
        <v>45056</v>
      </c>
      <c r="F464" s="10">
        <v>176</v>
      </c>
      <c r="G464" s="6">
        <v>4.5</v>
      </c>
      <c r="H464" s="6">
        <f>IF(MONTH(Data!$E464)&lt;=6, YEAR(Data!$E464), YEAR(Data!$E464)+1)</f>
        <v>2023</v>
      </c>
      <c r="I464" s="6" t="str">
        <f>TEXT(Data!$E464,"DDDD")</f>
        <v>Wednesday</v>
      </c>
      <c r="J464" s="6" t="s">
        <v>14</v>
      </c>
      <c r="K464" s="6">
        <f>ROUND(Data!$G464,0)</f>
        <v>5</v>
      </c>
      <c r="L464" t="str" cm="1">
        <f t="array" ref="L464">_xlfn.IFS(C464&lt;=15,"Very Short",C464&lt;=30,"Short",C464&lt;=60,"Medium",C464&gt;60,"Long")</f>
        <v>Long</v>
      </c>
      <c r="M464" t="str" cm="1">
        <f t="array" ref="M464">_xlfn.IFS(F464&lt;=50,"Low",F464&lt;=100,"Medium",F464&lt;=150,"High",F464&gt;150,"Very High")</f>
        <v>Very High</v>
      </c>
    </row>
    <row r="465" spans="1:13" ht="14.25" customHeight="1" x14ac:dyDescent="0.4">
      <c r="A465" s="6" t="s">
        <v>499</v>
      </c>
      <c r="B465" s="6" t="s">
        <v>34</v>
      </c>
      <c r="C465" s="6">
        <v>54</v>
      </c>
      <c r="D465" s="7" t="s">
        <v>24</v>
      </c>
      <c r="E465" s="11">
        <v>45057</v>
      </c>
      <c r="F465" s="10">
        <v>31</v>
      </c>
      <c r="G465" s="6">
        <v>3.3</v>
      </c>
      <c r="H465" s="6">
        <f>IF(MONTH(Data!$E465)&lt;=6, YEAR(Data!$E465), YEAR(Data!$E465)+1)</f>
        <v>2023</v>
      </c>
      <c r="I465" s="6" t="str">
        <f>TEXT(Data!$E465,"DDDD")</f>
        <v>Thursday</v>
      </c>
      <c r="J465" s="6" t="s">
        <v>27</v>
      </c>
      <c r="K465" s="6">
        <f>ROUND(Data!$G465,0)</f>
        <v>3</v>
      </c>
      <c r="L465" t="str" cm="1">
        <f t="array" ref="L465">_xlfn.IFS(C465&lt;=15,"Very Short",C465&lt;=30,"Short",C465&lt;=60,"Medium",C465&gt;60,"Long")</f>
        <v>Medium</v>
      </c>
      <c r="M465" t="str" cm="1">
        <f t="array" ref="M465">_xlfn.IFS(F465&lt;=50,"Low",F465&lt;=100,"Medium",F465&lt;=150,"High",F465&gt;150,"Very High")</f>
        <v>Low</v>
      </c>
    </row>
    <row r="466" spans="1:13" ht="14.25" customHeight="1" x14ac:dyDescent="0.4">
      <c r="A466" s="6" t="s">
        <v>500</v>
      </c>
      <c r="B466" s="6" t="s">
        <v>18</v>
      </c>
      <c r="C466" s="6">
        <v>25</v>
      </c>
      <c r="D466" s="7" t="s">
        <v>24</v>
      </c>
      <c r="E466" s="11">
        <v>45058</v>
      </c>
      <c r="F466" s="10">
        <v>27</v>
      </c>
      <c r="G466" s="6">
        <v>3.2</v>
      </c>
      <c r="H466" s="6">
        <f>IF(MONTH(Data!$E466)&lt;=6, YEAR(Data!$E466), YEAR(Data!$E466)+1)</f>
        <v>2023</v>
      </c>
      <c r="I466" s="6" t="str">
        <f>TEXT(Data!$E466,"DDDD")</f>
        <v>Friday</v>
      </c>
      <c r="J466" s="6" t="s">
        <v>47</v>
      </c>
      <c r="K466" s="6">
        <f>ROUND(Data!$G466,0)</f>
        <v>3</v>
      </c>
      <c r="L466" t="str" cm="1">
        <f t="array" ref="L466">_xlfn.IFS(C466&lt;=15,"Very Short",C466&lt;=30,"Short",C466&lt;=60,"Medium",C466&gt;60,"Long")</f>
        <v>Short</v>
      </c>
      <c r="M466" t="str" cm="1">
        <f t="array" ref="M466">_xlfn.IFS(F466&lt;=50,"Low",F466&lt;=100,"Medium",F466&lt;=150,"High",F466&gt;150,"Very High")</f>
        <v>Low</v>
      </c>
    </row>
    <row r="467" spans="1:13" ht="14.25" customHeight="1" x14ac:dyDescent="0.4">
      <c r="A467" s="6" t="s">
        <v>501</v>
      </c>
      <c r="B467" s="6" t="s">
        <v>38</v>
      </c>
      <c r="C467" s="6">
        <v>91</v>
      </c>
      <c r="D467" s="7" t="s">
        <v>31</v>
      </c>
      <c r="E467" s="11">
        <v>45058</v>
      </c>
      <c r="F467" s="10">
        <v>76</v>
      </c>
      <c r="G467" s="6">
        <v>4.9000000000000004</v>
      </c>
      <c r="H467" s="6">
        <f>IF(MONTH(Data!$E467)&lt;=6, YEAR(Data!$E467), YEAR(Data!$E467)+1)</f>
        <v>2023</v>
      </c>
      <c r="I467" s="6" t="str">
        <f>TEXT(Data!$E467,"DDDD")</f>
        <v>Friday</v>
      </c>
      <c r="J467" s="6" t="s">
        <v>14</v>
      </c>
      <c r="K467" s="6">
        <f>ROUND(Data!$G467,0)</f>
        <v>5</v>
      </c>
      <c r="L467" t="str" cm="1">
        <f t="array" ref="L467">_xlfn.IFS(C467&lt;=15,"Very Short",C467&lt;=30,"Short",C467&lt;=60,"Medium",C467&gt;60,"Long")</f>
        <v>Long</v>
      </c>
      <c r="M467" t="str" cm="1">
        <f t="array" ref="M467">_xlfn.IFS(F467&lt;=50,"Low",F467&lt;=100,"Medium",F467&lt;=150,"High",F467&gt;150,"Very High")</f>
        <v>Medium</v>
      </c>
    </row>
    <row r="468" spans="1:13" ht="14.25" customHeight="1" x14ac:dyDescent="0.4">
      <c r="A468" s="6" t="s">
        <v>502</v>
      </c>
      <c r="B468" s="6" t="s">
        <v>23</v>
      </c>
      <c r="C468" s="6">
        <v>144</v>
      </c>
      <c r="D468" s="7" t="s">
        <v>35</v>
      </c>
      <c r="E468" s="11">
        <v>45058</v>
      </c>
      <c r="F468" s="10">
        <v>62</v>
      </c>
      <c r="G468" s="6">
        <v>4.8</v>
      </c>
      <c r="H468" s="6">
        <f>IF(MONTH(Data!$E468)&lt;=6, YEAR(Data!$E468), YEAR(Data!$E468)+1)</f>
        <v>2023</v>
      </c>
      <c r="I468" s="6" t="str">
        <f>TEXT(Data!$E468,"DDDD")</f>
        <v>Friday</v>
      </c>
      <c r="J468" s="6" t="s">
        <v>25</v>
      </c>
      <c r="K468" s="6">
        <f>ROUND(Data!$G468,0)</f>
        <v>5</v>
      </c>
      <c r="L468" t="str" cm="1">
        <f t="array" ref="L468">_xlfn.IFS(C468&lt;=15,"Very Short",C468&lt;=30,"Short",C468&lt;=60,"Medium",C468&gt;60,"Long")</f>
        <v>Long</v>
      </c>
      <c r="M468" t="str" cm="1">
        <f t="array" ref="M468">_xlfn.IFS(F468&lt;=50,"Low",F468&lt;=100,"Medium",F468&lt;=150,"High",F468&gt;150,"Very High")</f>
        <v>Medium</v>
      </c>
    </row>
    <row r="469" spans="1:13" ht="14.25" customHeight="1" x14ac:dyDescent="0.4">
      <c r="A469" s="6" t="s">
        <v>503</v>
      </c>
      <c r="B469" s="6" t="s">
        <v>38</v>
      </c>
      <c r="C469" s="6">
        <v>81</v>
      </c>
      <c r="D469" s="7" t="s">
        <v>19</v>
      </c>
      <c r="E469" s="11">
        <v>45060</v>
      </c>
      <c r="F469" s="10">
        <v>100</v>
      </c>
      <c r="G469" s="6">
        <v>1.3</v>
      </c>
      <c r="H469" s="6">
        <f>IF(MONTH(Data!$E469)&lt;=6, YEAR(Data!$E469), YEAR(Data!$E469)+1)</f>
        <v>2023</v>
      </c>
      <c r="I469" s="6" t="str">
        <f>TEXT(Data!$E469,"DDDD")</f>
        <v>Sunday</v>
      </c>
      <c r="J469" s="6" t="s">
        <v>14</v>
      </c>
      <c r="K469" s="6">
        <f>ROUND(Data!$G469,0)</f>
        <v>1</v>
      </c>
      <c r="L469" t="str" cm="1">
        <f t="array" ref="L469">_xlfn.IFS(C469&lt;=15,"Very Short",C469&lt;=30,"Short",C469&lt;=60,"Medium",C469&gt;60,"Long")</f>
        <v>Long</v>
      </c>
      <c r="M469" t="str" cm="1">
        <f t="array" ref="M469">_xlfn.IFS(F469&lt;=50,"Low",F469&lt;=100,"Medium",F469&lt;=150,"High",F469&gt;150,"Very High")</f>
        <v>Medium</v>
      </c>
    </row>
    <row r="470" spans="1:13" ht="14.25" customHeight="1" x14ac:dyDescent="0.4">
      <c r="A470" s="6" t="s">
        <v>504</v>
      </c>
      <c r="B470" s="6" t="s">
        <v>68</v>
      </c>
      <c r="C470" s="6">
        <v>92</v>
      </c>
      <c r="D470" s="7" t="s">
        <v>24</v>
      </c>
      <c r="E470" s="11">
        <v>45060</v>
      </c>
      <c r="F470" s="10">
        <v>44</v>
      </c>
      <c r="G470" s="6">
        <v>3.1</v>
      </c>
      <c r="H470" s="6">
        <f>IF(MONTH(Data!$E470)&lt;=6, YEAR(Data!$E470), YEAR(Data!$E470)+1)</f>
        <v>2023</v>
      </c>
      <c r="I470" s="6" t="str">
        <f>TEXT(Data!$E470,"DDDD")</f>
        <v>Sunday</v>
      </c>
      <c r="J470" s="6" t="s">
        <v>14</v>
      </c>
      <c r="K470" s="6">
        <f>ROUND(Data!$G470,0)</f>
        <v>3</v>
      </c>
      <c r="L470" t="str" cm="1">
        <f t="array" ref="L470">_xlfn.IFS(C470&lt;=15,"Very Short",C470&lt;=30,"Short",C470&lt;=60,"Medium",C470&gt;60,"Long")</f>
        <v>Long</v>
      </c>
      <c r="M470" t="str" cm="1">
        <f t="array" ref="M470">_xlfn.IFS(F470&lt;=50,"Low",F470&lt;=100,"Medium",F470&lt;=150,"High",F470&gt;150,"Very High")</f>
        <v>Low</v>
      </c>
    </row>
    <row r="471" spans="1:13" ht="14.25" customHeight="1" x14ac:dyDescent="0.4">
      <c r="A471" s="6" t="s">
        <v>505</v>
      </c>
      <c r="B471" s="6" t="s">
        <v>18</v>
      </c>
      <c r="C471" s="6">
        <v>115</v>
      </c>
      <c r="D471" s="7" t="s">
        <v>31</v>
      </c>
      <c r="E471" s="11">
        <v>45060</v>
      </c>
      <c r="F471" s="10">
        <v>168</v>
      </c>
      <c r="G471" s="6">
        <v>3.4</v>
      </c>
      <c r="H471" s="6">
        <f>IF(MONTH(Data!$E471)&lt;=6, YEAR(Data!$E471), YEAR(Data!$E471)+1)</f>
        <v>2023</v>
      </c>
      <c r="I471" s="6" t="str">
        <f>TEXT(Data!$E471,"DDDD")</f>
        <v>Sunday</v>
      </c>
      <c r="J471" s="6" t="s">
        <v>14</v>
      </c>
      <c r="K471" s="6">
        <f>ROUND(Data!$G471,0)</f>
        <v>3</v>
      </c>
      <c r="L471" t="str" cm="1">
        <f t="array" ref="L471">_xlfn.IFS(C471&lt;=15,"Very Short",C471&lt;=30,"Short",C471&lt;=60,"Medium",C471&gt;60,"Long")</f>
        <v>Long</v>
      </c>
      <c r="M471" t="str" cm="1">
        <f t="array" ref="M471">_xlfn.IFS(F471&lt;=50,"Low",F471&lt;=100,"Medium",F471&lt;=150,"High",F471&gt;150,"Very High")</f>
        <v>Very High</v>
      </c>
    </row>
    <row r="472" spans="1:13" ht="14.25" customHeight="1" x14ac:dyDescent="0.4">
      <c r="A472" s="6" t="s">
        <v>506</v>
      </c>
      <c r="B472" s="6" t="s">
        <v>29</v>
      </c>
      <c r="C472" s="6">
        <v>56</v>
      </c>
      <c r="D472" s="7" t="s">
        <v>31</v>
      </c>
      <c r="E472" s="11">
        <v>45061</v>
      </c>
      <c r="F472" s="10">
        <v>200</v>
      </c>
      <c r="G472" s="6">
        <v>4.5999999999999996</v>
      </c>
      <c r="H472" s="6">
        <f>IF(MONTH(Data!$E472)&lt;=6, YEAR(Data!$E472), YEAR(Data!$E472)+1)</f>
        <v>2023</v>
      </c>
      <c r="I472" s="6" t="str">
        <f>TEXT(Data!$E472,"DDDD")</f>
        <v>Monday</v>
      </c>
      <c r="J472" s="6" t="s">
        <v>27</v>
      </c>
      <c r="K472" s="6">
        <f>ROUND(Data!$G472,0)</f>
        <v>5</v>
      </c>
      <c r="L472" t="str" cm="1">
        <f t="array" ref="L472">_xlfn.IFS(C472&lt;=15,"Very Short",C472&lt;=30,"Short",C472&lt;=60,"Medium",C472&gt;60,"Long")</f>
        <v>Medium</v>
      </c>
      <c r="M472" t="str" cm="1">
        <f t="array" ref="M472">_xlfn.IFS(F472&lt;=50,"Low",F472&lt;=100,"Medium",F472&lt;=150,"High",F472&gt;150,"Very High")</f>
        <v>Very High</v>
      </c>
    </row>
    <row r="473" spans="1:13" ht="14.25" customHeight="1" x14ac:dyDescent="0.4">
      <c r="A473" s="6" t="s">
        <v>507</v>
      </c>
      <c r="B473" s="6" t="s">
        <v>16</v>
      </c>
      <c r="C473" s="6">
        <v>154</v>
      </c>
      <c r="D473" s="7" t="s">
        <v>24</v>
      </c>
      <c r="E473" s="11">
        <v>45061</v>
      </c>
      <c r="F473" s="10">
        <v>84</v>
      </c>
      <c r="G473" s="6">
        <v>4.3</v>
      </c>
      <c r="H473" s="6">
        <f>IF(MONTH(Data!$E473)&lt;=6, YEAR(Data!$E473), YEAR(Data!$E473)+1)</f>
        <v>2023</v>
      </c>
      <c r="I473" s="6" t="str">
        <f>TEXT(Data!$E473,"DDDD")</f>
        <v>Monday</v>
      </c>
      <c r="J473" s="6" t="s">
        <v>25</v>
      </c>
      <c r="K473" s="6">
        <f>ROUND(Data!$G473,0)</f>
        <v>4</v>
      </c>
      <c r="L473" t="str" cm="1">
        <f t="array" ref="L473">_xlfn.IFS(C473&lt;=15,"Very Short",C473&lt;=30,"Short",C473&lt;=60,"Medium",C473&gt;60,"Long")</f>
        <v>Long</v>
      </c>
      <c r="M473" t="str" cm="1">
        <f t="array" ref="M473">_xlfn.IFS(F473&lt;=50,"Low",F473&lt;=100,"Medium",F473&lt;=150,"High",F473&gt;150,"Very High")</f>
        <v>Medium</v>
      </c>
    </row>
    <row r="474" spans="1:13" ht="14.25" customHeight="1" x14ac:dyDescent="0.4">
      <c r="A474" s="6" t="s">
        <v>508</v>
      </c>
      <c r="B474" s="6" t="s">
        <v>88</v>
      </c>
      <c r="C474" s="6">
        <v>51</v>
      </c>
      <c r="D474" s="7" t="s">
        <v>31</v>
      </c>
      <c r="E474" s="11">
        <v>45062</v>
      </c>
      <c r="F474" s="10">
        <v>117</v>
      </c>
      <c r="G474" s="6">
        <v>2.7</v>
      </c>
      <c r="H474" s="6">
        <f>IF(MONTH(Data!$E474)&lt;=6, YEAR(Data!$E474), YEAR(Data!$E474)+1)</f>
        <v>2023</v>
      </c>
      <c r="I474" s="6" t="str">
        <f>TEXT(Data!$E474,"DDDD")</f>
        <v>Tuesday</v>
      </c>
      <c r="J474" s="6" t="s">
        <v>27</v>
      </c>
      <c r="K474" s="6">
        <f>ROUND(Data!$G474,0)</f>
        <v>3</v>
      </c>
      <c r="L474" t="str" cm="1">
        <f t="array" ref="L474">_xlfn.IFS(C474&lt;=15,"Very Short",C474&lt;=30,"Short",C474&lt;=60,"Medium",C474&gt;60,"Long")</f>
        <v>Medium</v>
      </c>
      <c r="M474" t="str" cm="1">
        <f t="array" ref="M474">_xlfn.IFS(F474&lt;=50,"Low",F474&lt;=100,"Medium",F474&lt;=150,"High",F474&gt;150,"Very High")</f>
        <v>High</v>
      </c>
    </row>
    <row r="475" spans="1:13" ht="14.25" customHeight="1" x14ac:dyDescent="0.4">
      <c r="A475" s="6" t="s">
        <v>509</v>
      </c>
      <c r="B475" s="6" t="s">
        <v>50</v>
      </c>
      <c r="C475" s="6">
        <v>21</v>
      </c>
      <c r="D475" s="7" t="s">
        <v>19</v>
      </c>
      <c r="E475" s="11">
        <v>45062</v>
      </c>
      <c r="F475" s="10">
        <v>63</v>
      </c>
      <c r="G475" s="6">
        <v>4.2</v>
      </c>
      <c r="H475" s="6">
        <f>IF(MONTH(Data!$E475)&lt;=6, YEAR(Data!$E475), YEAR(Data!$E475)+1)</f>
        <v>2023</v>
      </c>
      <c r="I475" s="6" t="str">
        <f>TEXT(Data!$E475,"DDDD")</f>
        <v>Tuesday</v>
      </c>
      <c r="J475" s="6" t="s">
        <v>47</v>
      </c>
      <c r="K475" s="6">
        <f>ROUND(Data!$G475,0)</f>
        <v>4</v>
      </c>
      <c r="L475" t="str" cm="1">
        <f t="array" ref="L475">_xlfn.IFS(C475&lt;=15,"Very Short",C475&lt;=30,"Short",C475&lt;=60,"Medium",C475&gt;60,"Long")</f>
        <v>Short</v>
      </c>
      <c r="M475" t="str" cm="1">
        <f t="array" ref="M475">_xlfn.IFS(F475&lt;=50,"Low",F475&lt;=100,"Medium",F475&lt;=150,"High",F475&gt;150,"Very High")</f>
        <v>Medium</v>
      </c>
    </row>
    <row r="476" spans="1:13" ht="14.25" customHeight="1" x14ac:dyDescent="0.4">
      <c r="A476" s="6" t="s">
        <v>510</v>
      </c>
      <c r="B476" s="6" t="s">
        <v>18</v>
      </c>
      <c r="C476" s="6">
        <v>80</v>
      </c>
      <c r="D476" s="7" t="s">
        <v>31</v>
      </c>
      <c r="E476" s="11">
        <v>45063</v>
      </c>
      <c r="F476" s="10">
        <v>145</v>
      </c>
      <c r="G476" s="6">
        <v>4.9000000000000004</v>
      </c>
      <c r="H476" s="6">
        <f>IF(MONTH(Data!$E476)&lt;=6, YEAR(Data!$E476), YEAR(Data!$E476)+1)</f>
        <v>2023</v>
      </c>
      <c r="I476" s="6" t="str">
        <f>TEXT(Data!$E476,"DDDD")</f>
        <v>Wednesday</v>
      </c>
      <c r="J476" s="6" t="s">
        <v>14</v>
      </c>
      <c r="K476" s="6">
        <f>ROUND(Data!$G476,0)</f>
        <v>5</v>
      </c>
      <c r="L476" t="str" cm="1">
        <f t="array" ref="L476">_xlfn.IFS(C476&lt;=15,"Very Short",C476&lt;=30,"Short",C476&lt;=60,"Medium",C476&gt;60,"Long")</f>
        <v>Long</v>
      </c>
      <c r="M476" t="str" cm="1">
        <f t="array" ref="M476">_xlfn.IFS(F476&lt;=50,"Low",F476&lt;=100,"Medium",F476&lt;=150,"High",F476&gt;150,"Very High")</f>
        <v>High</v>
      </c>
    </row>
    <row r="477" spans="1:13" ht="14.25" customHeight="1" x14ac:dyDescent="0.4">
      <c r="A477" s="6" t="s">
        <v>511</v>
      </c>
      <c r="B477" s="6" t="s">
        <v>88</v>
      </c>
      <c r="C477" s="6">
        <v>139</v>
      </c>
      <c r="D477" s="7" t="s">
        <v>24</v>
      </c>
      <c r="E477" s="11">
        <v>45063</v>
      </c>
      <c r="F477" s="10">
        <v>220</v>
      </c>
      <c r="G477" s="6">
        <v>3.2</v>
      </c>
      <c r="H477" s="6">
        <f>IF(MONTH(Data!$E477)&lt;=6, YEAR(Data!$E477), YEAR(Data!$E477)+1)</f>
        <v>2023</v>
      </c>
      <c r="I477" s="6" t="str">
        <f>TEXT(Data!$E477,"DDDD")</f>
        <v>Wednesday</v>
      </c>
      <c r="J477" s="6" t="s">
        <v>25</v>
      </c>
      <c r="K477" s="6">
        <f>ROUND(Data!$G477,0)</f>
        <v>3</v>
      </c>
      <c r="L477" t="str" cm="1">
        <f t="array" ref="L477">_xlfn.IFS(C477&lt;=15,"Very Short",C477&lt;=30,"Short",C477&lt;=60,"Medium",C477&gt;60,"Long")</f>
        <v>Long</v>
      </c>
      <c r="M477" t="str" cm="1">
        <f t="array" ref="M477">_xlfn.IFS(F477&lt;=50,"Low",F477&lt;=100,"Medium",F477&lt;=150,"High",F477&gt;150,"Very High")</f>
        <v>Very High</v>
      </c>
    </row>
    <row r="478" spans="1:13" ht="14.25" customHeight="1" x14ac:dyDescent="0.4">
      <c r="A478" s="6" t="s">
        <v>512</v>
      </c>
      <c r="B478" s="6" t="s">
        <v>40</v>
      </c>
      <c r="C478" s="6">
        <v>50</v>
      </c>
      <c r="D478" s="7" t="s">
        <v>19</v>
      </c>
      <c r="E478" s="11">
        <v>45063</v>
      </c>
      <c r="F478" s="10">
        <v>26</v>
      </c>
      <c r="G478" s="6">
        <v>4.7</v>
      </c>
      <c r="H478" s="6">
        <f>IF(MONTH(Data!$E478)&lt;=6, YEAR(Data!$E478), YEAR(Data!$E478)+1)</f>
        <v>2023</v>
      </c>
      <c r="I478" s="6" t="str">
        <f>TEXT(Data!$E478,"DDDD")</f>
        <v>Wednesday</v>
      </c>
      <c r="J478" s="6" t="s">
        <v>27</v>
      </c>
      <c r="K478" s="6">
        <f>ROUND(Data!$G478,0)</f>
        <v>5</v>
      </c>
      <c r="L478" t="str" cm="1">
        <f t="array" ref="L478">_xlfn.IFS(C478&lt;=15,"Very Short",C478&lt;=30,"Short",C478&lt;=60,"Medium",C478&gt;60,"Long")</f>
        <v>Medium</v>
      </c>
      <c r="M478" t="str" cm="1">
        <f t="array" ref="M478">_xlfn.IFS(F478&lt;=50,"Low",F478&lt;=100,"Medium",F478&lt;=150,"High",F478&gt;150,"Very High")</f>
        <v>Low</v>
      </c>
    </row>
    <row r="479" spans="1:13" ht="14.25" customHeight="1" x14ac:dyDescent="0.4">
      <c r="A479" s="6" t="s">
        <v>513</v>
      </c>
      <c r="B479" s="6" t="s">
        <v>18</v>
      </c>
      <c r="C479" s="6">
        <v>88</v>
      </c>
      <c r="D479" s="7" t="s">
        <v>31</v>
      </c>
      <c r="E479" s="11">
        <v>45063</v>
      </c>
      <c r="F479" s="10">
        <v>78</v>
      </c>
      <c r="G479" s="6">
        <v>4.3</v>
      </c>
      <c r="H479" s="6">
        <f>IF(MONTH(Data!$E479)&lt;=6, YEAR(Data!$E479), YEAR(Data!$E479)+1)</f>
        <v>2023</v>
      </c>
      <c r="I479" s="6" t="str">
        <f>TEXT(Data!$E479,"DDDD")</f>
        <v>Wednesday</v>
      </c>
      <c r="J479" s="6" t="s">
        <v>14</v>
      </c>
      <c r="K479" s="6">
        <f>ROUND(Data!$G479,0)</f>
        <v>4</v>
      </c>
      <c r="L479" t="str" cm="1">
        <f t="array" ref="L479">_xlfn.IFS(C479&lt;=15,"Very Short",C479&lt;=30,"Short",C479&lt;=60,"Medium",C479&gt;60,"Long")</f>
        <v>Long</v>
      </c>
      <c r="M479" t="str" cm="1">
        <f t="array" ref="M479">_xlfn.IFS(F479&lt;=50,"Low",F479&lt;=100,"Medium",F479&lt;=150,"High",F479&gt;150,"Very High")</f>
        <v>Medium</v>
      </c>
    </row>
    <row r="480" spans="1:13" ht="14.25" customHeight="1" x14ac:dyDescent="0.4">
      <c r="A480" s="6" t="s">
        <v>514</v>
      </c>
      <c r="B480" s="6" t="s">
        <v>34</v>
      </c>
      <c r="C480" s="6">
        <v>19</v>
      </c>
      <c r="D480" s="7" t="s">
        <v>35</v>
      </c>
      <c r="E480" s="11">
        <v>45064</v>
      </c>
      <c r="F480" s="10">
        <v>132</v>
      </c>
      <c r="G480" s="6">
        <v>4.3</v>
      </c>
      <c r="H480" s="6">
        <f>IF(MONTH(Data!$E480)&lt;=6, YEAR(Data!$E480), YEAR(Data!$E480)+1)</f>
        <v>2023</v>
      </c>
      <c r="I480" s="6" t="str">
        <f>TEXT(Data!$E480,"DDDD")</f>
        <v>Thursday</v>
      </c>
      <c r="J480" s="6" t="s">
        <v>47</v>
      </c>
      <c r="K480" s="6">
        <f>ROUND(Data!$G480,0)</f>
        <v>4</v>
      </c>
      <c r="L480" t="str" cm="1">
        <f t="array" ref="L480">_xlfn.IFS(C480&lt;=15,"Very Short",C480&lt;=30,"Short",C480&lt;=60,"Medium",C480&gt;60,"Long")</f>
        <v>Short</v>
      </c>
      <c r="M480" t="str" cm="1">
        <f t="array" ref="M480">_xlfn.IFS(F480&lt;=50,"Low",F480&lt;=100,"Medium",F480&lt;=150,"High",F480&gt;150,"Very High")</f>
        <v>High</v>
      </c>
    </row>
    <row r="481" spans="1:13" ht="14.25" customHeight="1" x14ac:dyDescent="0.4">
      <c r="A481" s="6" t="s">
        <v>515</v>
      </c>
      <c r="B481" s="6" t="s">
        <v>46</v>
      </c>
      <c r="C481" s="6">
        <v>104</v>
      </c>
      <c r="D481" s="7" t="s">
        <v>35</v>
      </c>
      <c r="E481" s="11">
        <v>45065</v>
      </c>
      <c r="F481" s="10">
        <v>68</v>
      </c>
      <c r="G481" s="6">
        <v>3.7</v>
      </c>
      <c r="H481" s="6">
        <f>IF(MONTH(Data!$E481)&lt;=6, YEAR(Data!$E481), YEAR(Data!$E481)+1)</f>
        <v>2023</v>
      </c>
      <c r="I481" s="6" t="str">
        <f>TEXT(Data!$E481,"DDDD")</f>
        <v>Friday</v>
      </c>
      <c r="J481" s="6" t="s">
        <v>14</v>
      </c>
      <c r="K481" s="6">
        <f>ROUND(Data!$G481,0)</f>
        <v>4</v>
      </c>
      <c r="L481" t="str" cm="1">
        <f t="array" ref="L481">_xlfn.IFS(C481&lt;=15,"Very Short",C481&lt;=30,"Short",C481&lt;=60,"Medium",C481&gt;60,"Long")</f>
        <v>Long</v>
      </c>
      <c r="M481" t="str" cm="1">
        <f t="array" ref="M481">_xlfn.IFS(F481&lt;=50,"Low",F481&lt;=100,"Medium",F481&lt;=150,"High",F481&gt;150,"Very High")</f>
        <v>Medium</v>
      </c>
    </row>
    <row r="482" spans="1:13" ht="14.25" customHeight="1" x14ac:dyDescent="0.4">
      <c r="A482" s="6" t="s">
        <v>516</v>
      </c>
      <c r="B482" s="6" t="s">
        <v>16</v>
      </c>
      <c r="C482" s="6">
        <v>67</v>
      </c>
      <c r="D482" s="7" t="s">
        <v>24</v>
      </c>
      <c r="E482" s="11">
        <v>45067</v>
      </c>
      <c r="F482" s="10">
        <v>129</v>
      </c>
      <c r="G482" s="6">
        <v>4.7</v>
      </c>
      <c r="H482" s="6">
        <f>IF(MONTH(Data!$E482)&lt;=6, YEAR(Data!$E482), YEAR(Data!$E482)+1)</f>
        <v>2023</v>
      </c>
      <c r="I482" s="6" t="str">
        <f>TEXT(Data!$E482,"DDDD")</f>
        <v>Sunday</v>
      </c>
      <c r="J482" s="6" t="s">
        <v>14</v>
      </c>
      <c r="K482" s="6">
        <f>ROUND(Data!$G482,0)</f>
        <v>5</v>
      </c>
      <c r="L482" t="str" cm="1">
        <f t="array" ref="L482">_xlfn.IFS(C482&lt;=15,"Very Short",C482&lt;=30,"Short",C482&lt;=60,"Medium",C482&gt;60,"Long")</f>
        <v>Long</v>
      </c>
      <c r="M482" t="str" cm="1">
        <f t="array" ref="M482">_xlfn.IFS(F482&lt;=50,"Low",F482&lt;=100,"Medium",F482&lt;=150,"High",F482&gt;150,"Very High")</f>
        <v>High</v>
      </c>
    </row>
    <row r="483" spans="1:13" ht="14.25" customHeight="1" x14ac:dyDescent="0.4">
      <c r="A483" s="6" t="s">
        <v>517</v>
      </c>
      <c r="B483" s="6" t="s">
        <v>58</v>
      </c>
      <c r="C483" s="6">
        <v>107</v>
      </c>
      <c r="D483" s="7" t="s">
        <v>35</v>
      </c>
      <c r="E483" s="11">
        <v>45067</v>
      </c>
      <c r="F483" s="10">
        <v>115</v>
      </c>
      <c r="G483" s="6">
        <v>4.9000000000000004</v>
      </c>
      <c r="H483" s="6">
        <f>IF(MONTH(Data!$E483)&lt;=6, YEAR(Data!$E483), YEAR(Data!$E483)+1)</f>
        <v>2023</v>
      </c>
      <c r="I483" s="6" t="str">
        <f>TEXT(Data!$E483,"DDDD")</f>
        <v>Sunday</v>
      </c>
      <c r="J483" s="6" t="s">
        <v>14</v>
      </c>
      <c r="K483" s="6">
        <f>ROUND(Data!$G483,0)</f>
        <v>5</v>
      </c>
      <c r="L483" t="str" cm="1">
        <f t="array" ref="L483">_xlfn.IFS(C483&lt;=15,"Very Short",C483&lt;=30,"Short",C483&lt;=60,"Medium",C483&gt;60,"Long")</f>
        <v>Long</v>
      </c>
      <c r="M483" t="str" cm="1">
        <f t="array" ref="M483">_xlfn.IFS(F483&lt;=50,"Low",F483&lt;=100,"Medium",F483&lt;=150,"High",F483&gt;150,"Very High")</f>
        <v>High</v>
      </c>
    </row>
    <row r="484" spans="1:13" ht="14.25" customHeight="1" x14ac:dyDescent="0.4">
      <c r="A484" s="6" t="s">
        <v>518</v>
      </c>
      <c r="B484" s="6" t="s">
        <v>58</v>
      </c>
      <c r="C484" s="6">
        <v>93</v>
      </c>
      <c r="D484" s="7" t="s">
        <v>35</v>
      </c>
      <c r="E484" s="11">
        <v>45067</v>
      </c>
      <c r="F484" s="10">
        <v>128</v>
      </c>
      <c r="G484" s="6">
        <v>3.9</v>
      </c>
      <c r="H484" s="6">
        <f>IF(MONTH(Data!$E484)&lt;=6, YEAR(Data!$E484), YEAR(Data!$E484)+1)</f>
        <v>2023</v>
      </c>
      <c r="I484" s="6" t="str">
        <f>TEXT(Data!$E484,"DDDD")</f>
        <v>Sunday</v>
      </c>
      <c r="J484" s="6" t="s">
        <v>14</v>
      </c>
      <c r="K484" s="6">
        <f>ROUND(Data!$G484,0)</f>
        <v>4</v>
      </c>
      <c r="L484" t="str" cm="1">
        <f t="array" ref="L484">_xlfn.IFS(C484&lt;=15,"Very Short",C484&lt;=30,"Short",C484&lt;=60,"Medium",C484&gt;60,"Long")</f>
        <v>Long</v>
      </c>
      <c r="M484" t="str" cm="1">
        <f t="array" ref="M484">_xlfn.IFS(F484&lt;=50,"Low",F484&lt;=100,"Medium",F484&lt;=150,"High",F484&gt;150,"Very High")</f>
        <v>High</v>
      </c>
    </row>
    <row r="485" spans="1:13" ht="14.25" customHeight="1" x14ac:dyDescent="0.4">
      <c r="A485" s="6" t="s">
        <v>519</v>
      </c>
      <c r="B485" s="6" t="s">
        <v>58</v>
      </c>
      <c r="C485" s="6">
        <v>117</v>
      </c>
      <c r="D485" s="7" t="s">
        <v>24</v>
      </c>
      <c r="E485" s="11">
        <v>45067</v>
      </c>
      <c r="F485" s="10">
        <v>90</v>
      </c>
      <c r="G485" s="6">
        <v>4.5</v>
      </c>
      <c r="H485" s="6">
        <f>IF(MONTH(Data!$E485)&lt;=6, YEAR(Data!$E485), YEAR(Data!$E485)+1)</f>
        <v>2023</v>
      </c>
      <c r="I485" s="6" t="str">
        <f>TEXT(Data!$E485,"DDDD")</f>
        <v>Sunday</v>
      </c>
      <c r="J485" s="6" t="s">
        <v>14</v>
      </c>
      <c r="K485" s="6">
        <f>ROUND(Data!$G485,0)</f>
        <v>5</v>
      </c>
      <c r="L485" t="str" cm="1">
        <f t="array" ref="L485">_xlfn.IFS(C485&lt;=15,"Very Short",C485&lt;=30,"Short",C485&lt;=60,"Medium",C485&gt;60,"Long")</f>
        <v>Long</v>
      </c>
      <c r="M485" t="str" cm="1">
        <f t="array" ref="M485">_xlfn.IFS(F485&lt;=50,"Low",F485&lt;=100,"Medium",F485&lt;=150,"High",F485&gt;150,"Very High")</f>
        <v>Medium</v>
      </c>
    </row>
    <row r="486" spans="1:13" ht="14.25" customHeight="1" x14ac:dyDescent="0.4">
      <c r="A486" s="6" t="s">
        <v>520</v>
      </c>
      <c r="B486" s="6" t="s">
        <v>40</v>
      </c>
      <c r="C486" s="6">
        <v>76</v>
      </c>
      <c r="D486" s="7" t="s">
        <v>31</v>
      </c>
      <c r="E486" s="11">
        <v>45068</v>
      </c>
      <c r="F486" s="10">
        <v>39</v>
      </c>
      <c r="G486" s="6">
        <v>4.5999999999999996</v>
      </c>
      <c r="H486" s="6">
        <f>IF(MONTH(Data!$E486)&lt;=6, YEAR(Data!$E486), YEAR(Data!$E486)+1)</f>
        <v>2023</v>
      </c>
      <c r="I486" s="6" t="str">
        <f>TEXT(Data!$E486,"DDDD")</f>
        <v>Monday</v>
      </c>
      <c r="J486" s="6" t="s">
        <v>14</v>
      </c>
      <c r="K486" s="6">
        <f>ROUND(Data!$G486,0)</f>
        <v>5</v>
      </c>
      <c r="L486" t="str" cm="1">
        <f t="array" ref="L486">_xlfn.IFS(C486&lt;=15,"Very Short",C486&lt;=30,"Short",C486&lt;=60,"Medium",C486&gt;60,"Long")</f>
        <v>Long</v>
      </c>
      <c r="M486" t="str" cm="1">
        <f t="array" ref="M486">_xlfn.IFS(F486&lt;=50,"Low",F486&lt;=100,"Medium",F486&lt;=150,"High",F486&gt;150,"Very High")</f>
        <v>Low</v>
      </c>
    </row>
    <row r="487" spans="1:13" ht="14.25" customHeight="1" x14ac:dyDescent="0.4">
      <c r="A487" s="6" t="s">
        <v>521</v>
      </c>
      <c r="B487" s="6" t="s">
        <v>34</v>
      </c>
      <c r="C487" s="6">
        <v>64</v>
      </c>
      <c r="D487" s="7" t="s">
        <v>35</v>
      </c>
      <c r="E487" s="11">
        <v>45068</v>
      </c>
      <c r="F487" s="10">
        <v>132</v>
      </c>
      <c r="G487" s="6">
        <v>3.3</v>
      </c>
      <c r="H487" s="6">
        <f>IF(MONTH(Data!$E487)&lt;=6, YEAR(Data!$E487), YEAR(Data!$E487)+1)</f>
        <v>2023</v>
      </c>
      <c r="I487" s="6" t="str">
        <f>TEXT(Data!$E487,"DDDD")</f>
        <v>Monday</v>
      </c>
      <c r="J487" s="6" t="s">
        <v>14</v>
      </c>
      <c r="K487" s="6">
        <f>ROUND(Data!$G487,0)</f>
        <v>3</v>
      </c>
      <c r="L487" t="str" cm="1">
        <f t="array" ref="L487">_xlfn.IFS(C487&lt;=15,"Very Short",C487&lt;=30,"Short",C487&lt;=60,"Medium",C487&gt;60,"Long")</f>
        <v>Long</v>
      </c>
      <c r="M487" t="str" cm="1">
        <f t="array" ref="M487">_xlfn.IFS(F487&lt;=50,"Low",F487&lt;=100,"Medium",F487&lt;=150,"High",F487&gt;150,"Very High")</f>
        <v>High</v>
      </c>
    </row>
    <row r="488" spans="1:13" ht="14.25" customHeight="1" x14ac:dyDescent="0.4">
      <c r="A488" s="6" t="s">
        <v>522</v>
      </c>
      <c r="B488" s="6" t="s">
        <v>23</v>
      </c>
      <c r="C488" s="6">
        <v>33</v>
      </c>
      <c r="D488" s="7" t="s">
        <v>35</v>
      </c>
      <c r="E488" s="11">
        <v>45068</v>
      </c>
      <c r="F488" s="10">
        <v>170</v>
      </c>
      <c r="G488" s="6">
        <v>3.8</v>
      </c>
      <c r="H488" s="6">
        <f>IF(MONTH(Data!$E488)&lt;=6, YEAR(Data!$E488), YEAR(Data!$E488)+1)</f>
        <v>2023</v>
      </c>
      <c r="I488" s="6" t="str">
        <f>TEXT(Data!$E488,"DDDD")</f>
        <v>Monday</v>
      </c>
      <c r="J488" s="6" t="s">
        <v>27</v>
      </c>
      <c r="K488" s="6">
        <f>ROUND(Data!$G488,0)</f>
        <v>4</v>
      </c>
      <c r="L488" t="str" cm="1">
        <f t="array" ref="L488">_xlfn.IFS(C488&lt;=15,"Very Short",C488&lt;=30,"Short",C488&lt;=60,"Medium",C488&gt;60,"Long")</f>
        <v>Medium</v>
      </c>
      <c r="M488" t="str" cm="1">
        <f t="array" ref="M488">_xlfn.IFS(F488&lt;=50,"Low",F488&lt;=100,"Medium",F488&lt;=150,"High",F488&gt;150,"Very High")</f>
        <v>Very High</v>
      </c>
    </row>
    <row r="489" spans="1:13" ht="14.25" customHeight="1" x14ac:dyDescent="0.4">
      <c r="A489" s="6" t="s">
        <v>523</v>
      </c>
      <c r="B489" s="6" t="s">
        <v>58</v>
      </c>
      <c r="C489" s="6">
        <v>115</v>
      </c>
      <c r="D489" s="7" t="s">
        <v>24</v>
      </c>
      <c r="E489" s="11">
        <v>45068</v>
      </c>
      <c r="F489" s="10">
        <v>42</v>
      </c>
      <c r="G489" s="6">
        <v>4.7</v>
      </c>
      <c r="H489" s="6">
        <f>IF(MONTH(Data!$E489)&lt;=6, YEAR(Data!$E489), YEAR(Data!$E489)+1)</f>
        <v>2023</v>
      </c>
      <c r="I489" s="6" t="str">
        <f>TEXT(Data!$E489,"DDDD")</f>
        <v>Monday</v>
      </c>
      <c r="J489" s="6" t="s">
        <v>14</v>
      </c>
      <c r="K489" s="6">
        <f>ROUND(Data!$G489,0)</f>
        <v>5</v>
      </c>
      <c r="L489" t="str" cm="1">
        <f t="array" ref="L489">_xlfn.IFS(C489&lt;=15,"Very Short",C489&lt;=30,"Short",C489&lt;=60,"Medium",C489&gt;60,"Long")</f>
        <v>Long</v>
      </c>
      <c r="M489" t="str" cm="1">
        <f t="array" ref="M489">_xlfn.IFS(F489&lt;=50,"Low",F489&lt;=100,"Medium",F489&lt;=150,"High",F489&gt;150,"Very High")</f>
        <v>Low</v>
      </c>
    </row>
    <row r="490" spans="1:13" ht="14.25" customHeight="1" x14ac:dyDescent="0.4">
      <c r="A490" s="6" t="s">
        <v>524</v>
      </c>
      <c r="B490" s="6" t="s">
        <v>21</v>
      </c>
      <c r="C490" s="6">
        <v>155</v>
      </c>
      <c r="D490" s="7" t="s">
        <v>31</v>
      </c>
      <c r="E490" s="11">
        <v>45069</v>
      </c>
      <c r="F490" s="10">
        <v>37</v>
      </c>
      <c r="G490" s="6">
        <v>4</v>
      </c>
      <c r="H490" s="6">
        <f>IF(MONTH(Data!$E490)&lt;=6, YEAR(Data!$E490), YEAR(Data!$E490)+1)</f>
        <v>2023</v>
      </c>
      <c r="I490" s="6" t="str">
        <f>TEXT(Data!$E490,"DDDD")</f>
        <v>Tuesday</v>
      </c>
      <c r="J490" s="6" t="s">
        <v>25</v>
      </c>
      <c r="K490" s="6">
        <f>ROUND(Data!$G490,0)</f>
        <v>4</v>
      </c>
      <c r="L490" t="str" cm="1">
        <f t="array" ref="L490">_xlfn.IFS(C490&lt;=15,"Very Short",C490&lt;=30,"Short",C490&lt;=60,"Medium",C490&gt;60,"Long")</f>
        <v>Long</v>
      </c>
      <c r="M490" t="str" cm="1">
        <f t="array" ref="M490">_xlfn.IFS(F490&lt;=50,"Low",F490&lt;=100,"Medium",F490&lt;=150,"High",F490&gt;150,"Very High")</f>
        <v>Low</v>
      </c>
    </row>
    <row r="491" spans="1:13" ht="14.25" customHeight="1" x14ac:dyDescent="0.4">
      <c r="A491" s="6" t="s">
        <v>525</v>
      </c>
      <c r="B491" s="6" t="s">
        <v>16</v>
      </c>
      <c r="C491" s="6">
        <v>117</v>
      </c>
      <c r="D491" s="7" t="s">
        <v>31</v>
      </c>
      <c r="E491" s="11">
        <v>45069</v>
      </c>
      <c r="F491" s="10">
        <v>88</v>
      </c>
      <c r="G491" s="6">
        <v>4.7</v>
      </c>
      <c r="H491" s="6">
        <f>IF(MONTH(Data!$E491)&lt;=6, YEAR(Data!$E491), YEAR(Data!$E491)+1)</f>
        <v>2023</v>
      </c>
      <c r="I491" s="6" t="str">
        <f>TEXT(Data!$E491,"DDDD")</f>
        <v>Tuesday</v>
      </c>
      <c r="J491" s="6" t="s">
        <v>14</v>
      </c>
      <c r="K491" s="6">
        <f>ROUND(Data!$G491,0)</f>
        <v>5</v>
      </c>
      <c r="L491" t="str" cm="1">
        <f t="array" ref="L491">_xlfn.IFS(C491&lt;=15,"Very Short",C491&lt;=30,"Short",C491&lt;=60,"Medium",C491&gt;60,"Long")</f>
        <v>Long</v>
      </c>
      <c r="M491" t="str" cm="1">
        <f t="array" ref="M491">_xlfn.IFS(F491&lt;=50,"Low",F491&lt;=100,"Medium",F491&lt;=150,"High",F491&gt;150,"Very High")</f>
        <v>Medium</v>
      </c>
    </row>
    <row r="492" spans="1:13" ht="14.25" customHeight="1" x14ac:dyDescent="0.4">
      <c r="A492" s="6" t="s">
        <v>526</v>
      </c>
      <c r="B492" s="6" t="s">
        <v>88</v>
      </c>
      <c r="C492" s="6">
        <v>63</v>
      </c>
      <c r="D492" s="7" t="s">
        <v>31</v>
      </c>
      <c r="E492" s="11">
        <v>45069</v>
      </c>
      <c r="F492" s="10">
        <v>80</v>
      </c>
      <c r="G492" s="6">
        <v>2.5</v>
      </c>
      <c r="H492" s="6">
        <f>IF(MONTH(Data!$E492)&lt;=6, YEAR(Data!$E492), YEAR(Data!$E492)+1)</f>
        <v>2023</v>
      </c>
      <c r="I492" s="6" t="str">
        <f>TEXT(Data!$E492,"DDDD")</f>
        <v>Tuesday</v>
      </c>
      <c r="J492" s="6" t="s">
        <v>14</v>
      </c>
      <c r="K492" s="6">
        <f>ROUND(Data!$G492,0)</f>
        <v>3</v>
      </c>
      <c r="L492" t="str" cm="1">
        <f t="array" ref="L492">_xlfn.IFS(C492&lt;=15,"Very Short",C492&lt;=30,"Short",C492&lt;=60,"Medium",C492&gt;60,"Long")</f>
        <v>Long</v>
      </c>
      <c r="M492" t="str" cm="1">
        <f t="array" ref="M492">_xlfn.IFS(F492&lt;=50,"Low",F492&lt;=100,"Medium",F492&lt;=150,"High",F492&gt;150,"Very High")</f>
        <v>Medium</v>
      </c>
    </row>
    <row r="493" spans="1:13" ht="14.25" customHeight="1" x14ac:dyDescent="0.4">
      <c r="A493" s="6" t="s">
        <v>527</v>
      </c>
      <c r="B493" s="6" t="s">
        <v>34</v>
      </c>
      <c r="C493" s="6">
        <v>59</v>
      </c>
      <c r="D493" s="7" t="s">
        <v>13</v>
      </c>
      <c r="E493" s="11">
        <v>45070</v>
      </c>
      <c r="F493" s="10">
        <v>123</v>
      </c>
      <c r="G493" s="6">
        <v>3.6</v>
      </c>
      <c r="H493" s="6">
        <f>IF(MONTH(Data!$E493)&lt;=6, YEAR(Data!$E493), YEAR(Data!$E493)+1)</f>
        <v>2023</v>
      </c>
      <c r="I493" s="6" t="str">
        <f>TEXT(Data!$E493,"DDDD")</f>
        <v>Wednesday</v>
      </c>
      <c r="J493" s="6" t="s">
        <v>27</v>
      </c>
      <c r="K493" s="6">
        <f>ROUND(Data!$G493,0)</f>
        <v>4</v>
      </c>
      <c r="L493" t="str" cm="1">
        <f t="array" ref="L493">_xlfn.IFS(C493&lt;=15,"Very Short",C493&lt;=30,"Short",C493&lt;=60,"Medium",C493&gt;60,"Long")</f>
        <v>Medium</v>
      </c>
      <c r="M493" t="str" cm="1">
        <f t="array" ref="M493">_xlfn.IFS(F493&lt;=50,"Low",F493&lt;=100,"Medium",F493&lt;=150,"High",F493&gt;150,"Very High")</f>
        <v>High</v>
      </c>
    </row>
    <row r="494" spans="1:13" ht="14.25" customHeight="1" x14ac:dyDescent="0.4">
      <c r="A494" s="6" t="s">
        <v>528</v>
      </c>
      <c r="B494" s="6" t="s">
        <v>50</v>
      </c>
      <c r="C494" s="6">
        <v>133</v>
      </c>
      <c r="D494" s="7" t="s">
        <v>35</v>
      </c>
      <c r="E494" s="11">
        <v>45070</v>
      </c>
      <c r="F494" s="10">
        <v>31</v>
      </c>
      <c r="G494" s="6">
        <v>3.7</v>
      </c>
      <c r="H494" s="6">
        <f>IF(MONTH(Data!$E494)&lt;=6, YEAR(Data!$E494), YEAR(Data!$E494)+1)</f>
        <v>2023</v>
      </c>
      <c r="I494" s="6" t="str">
        <f>TEXT(Data!$E494,"DDDD")</f>
        <v>Wednesday</v>
      </c>
      <c r="J494" s="6" t="s">
        <v>25</v>
      </c>
      <c r="K494" s="6">
        <f>ROUND(Data!$G494,0)</f>
        <v>4</v>
      </c>
      <c r="L494" t="str" cm="1">
        <f t="array" ref="L494">_xlfn.IFS(C494&lt;=15,"Very Short",C494&lt;=30,"Short",C494&lt;=60,"Medium",C494&gt;60,"Long")</f>
        <v>Long</v>
      </c>
      <c r="M494" t="str" cm="1">
        <f t="array" ref="M494">_xlfn.IFS(F494&lt;=50,"Low",F494&lt;=100,"Medium",F494&lt;=150,"High",F494&gt;150,"Very High")</f>
        <v>Low</v>
      </c>
    </row>
    <row r="495" spans="1:13" ht="14.25" customHeight="1" x14ac:dyDescent="0.4">
      <c r="A495" s="6" t="s">
        <v>529</v>
      </c>
      <c r="B495" s="6" t="s">
        <v>68</v>
      </c>
      <c r="C495" s="6">
        <v>101</v>
      </c>
      <c r="D495" s="7" t="s">
        <v>19</v>
      </c>
      <c r="E495" s="11">
        <v>45070</v>
      </c>
      <c r="F495" s="10">
        <v>205</v>
      </c>
      <c r="G495" s="6">
        <v>3.9</v>
      </c>
      <c r="H495" s="6">
        <f>IF(MONTH(Data!$E495)&lt;=6, YEAR(Data!$E495), YEAR(Data!$E495)+1)</f>
        <v>2023</v>
      </c>
      <c r="I495" s="6" t="str">
        <f>TEXT(Data!$E495,"DDDD")</f>
        <v>Wednesday</v>
      </c>
      <c r="J495" s="6" t="s">
        <v>14</v>
      </c>
      <c r="K495" s="6">
        <f>ROUND(Data!$G495,0)</f>
        <v>4</v>
      </c>
      <c r="L495" t="str" cm="1">
        <f t="array" ref="L495">_xlfn.IFS(C495&lt;=15,"Very Short",C495&lt;=30,"Short",C495&lt;=60,"Medium",C495&gt;60,"Long")</f>
        <v>Long</v>
      </c>
      <c r="M495" t="str" cm="1">
        <f t="array" ref="M495">_xlfn.IFS(F495&lt;=50,"Low",F495&lt;=100,"Medium",F495&lt;=150,"High",F495&gt;150,"Very High")</f>
        <v>Very High</v>
      </c>
    </row>
    <row r="496" spans="1:13" ht="14.25" customHeight="1" x14ac:dyDescent="0.4">
      <c r="A496" s="6" t="s">
        <v>530</v>
      </c>
      <c r="B496" s="6" t="s">
        <v>38</v>
      </c>
      <c r="C496" s="6">
        <v>151</v>
      </c>
      <c r="D496" s="7" t="s">
        <v>31</v>
      </c>
      <c r="E496" s="11">
        <v>45071</v>
      </c>
      <c r="F496" s="10">
        <v>123</v>
      </c>
      <c r="G496" s="6">
        <v>3.7</v>
      </c>
      <c r="H496" s="6">
        <f>IF(MONTH(Data!$E496)&lt;=6, YEAR(Data!$E496), YEAR(Data!$E496)+1)</f>
        <v>2023</v>
      </c>
      <c r="I496" s="6" t="str">
        <f>TEXT(Data!$E496,"DDDD")</f>
        <v>Thursday</v>
      </c>
      <c r="J496" s="6" t="s">
        <v>25</v>
      </c>
      <c r="K496" s="6">
        <f>ROUND(Data!$G496,0)</f>
        <v>4</v>
      </c>
      <c r="L496" t="str" cm="1">
        <f t="array" ref="L496">_xlfn.IFS(C496&lt;=15,"Very Short",C496&lt;=30,"Short",C496&lt;=60,"Medium",C496&gt;60,"Long")</f>
        <v>Long</v>
      </c>
      <c r="M496" t="str" cm="1">
        <f t="array" ref="M496">_xlfn.IFS(F496&lt;=50,"Low",F496&lt;=100,"Medium",F496&lt;=150,"High",F496&gt;150,"Very High")</f>
        <v>High</v>
      </c>
    </row>
    <row r="497" spans="1:13" ht="14.25" customHeight="1" x14ac:dyDescent="0.4">
      <c r="A497" s="6" t="s">
        <v>531</v>
      </c>
      <c r="B497" s="6" t="s">
        <v>23</v>
      </c>
      <c r="C497" s="6">
        <v>146</v>
      </c>
      <c r="D497" s="7" t="s">
        <v>35</v>
      </c>
      <c r="E497" s="11">
        <v>45071</v>
      </c>
      <c r="F497" s="10">
        <v>123</v>
      </c>
      <c r="G497" s="6">
        <v>4.3</v>
      </c>
      <c r="H497" s="6">
        <f>IF(MONTH(Data!$E497)&lt;=6, YEAR(Data!$E497), YEAR(Data!$E497)+1)</f>
        <v>2023</v>
      </c>
      <c r="I497" s="6" t="str">
        <f>TEXT(Data!$E497,"DDDD")</f>
        <v>Thursday</v>
      </c>
      <c r="J497" s="6" t="s">
        <v>25</v>
      </c>
      <c r="K497" s="6">
        <f>ROUND(Data!$G497,0)</f>
        <v>4</v>
      </c>
      <c r="L497" t="str" cm="1">
        <f t="array" ref="L497">_xlfn.IFS(C497&lt;=15,"Very Short",C497&lt;=30,"Short",C497&lt;=60,"Medium",C497&gt;60,"Long")</f>
        <v>Long</v>
      </c>
      <c r="M497" t="str" cm="1">
        <f t="array" ref="M497">_xlfn.IFS(F497&lt;=50,"Low",F497&lt;=100,"Medium",F497&lt;=150,"High",F497&gt;150,"Very High")</f>
        <v>High</v>
      </c>
    </row>
    <row r="498" spans="1:13" ht="14.25" customHeight="1" x14ac:dyDescent="0.4">
      <c r="A498" s="6" t="s">
        <v>532</v>
      </c>
      <c r="B498" s="6" t="s">
        <v>88</v>
      </c>
      <c r="C498" s="6">
        <v>148</v>
      </c>
      <c r="D498" s="7" t="s">
        <v>35</v>
      </c>
      <c r="E498" s="11">
        <v>45071</v>
      </c>
      <c r="F498" s="10">
        <v>36</v>
      </c>
      <c r="G498" s="6">
        <v>2.9</v>
      </c>
      <c r="H498" s="6">
        <f>IF(MONTH(Data!$E498)&lt;=6, YEAR(Data!$E498), YEAR(Data!$E498)+1)</f>
        <v>2023</v>
      </c>
      <c r="I498" s="6" t="str">
        <f>TEXT(Data!$E498,"DDDD")</f>
        <v>Thursday</v>
      </c>
      <c r="J498" s="6" t="s">
        <v>25</v>
      </c>
      <c r="K498" s="6">
        <f>ROUND(Data!$G498,0)</f>
        <v>3</v>
      </c>
      <c r="L498" t="str" cm="1">
        <f t="array" ref="L498">_xlfn.IFS(C498&lt;=15,"Very Short",C498&lt;=30,"Short",C498&lt;=60,"Medium",C498&gt;60,"Long")</f>
        <v>Long</v>
      </c>
      <c r="M498" t="str" cm="1">
        <f t="array" ref="M498">_xlfn.IFS(F498&lt;=50,"Low",F498&lt;=100,"Medium",F498&lt;=150,"High",F498&gt;150,"Very High")</f>
        <v>Low</v>
      </c>
    </row>
    <row r="499" spans="1:13" ht="14.25" customHeight="1" x14ac:dyDescent="0.4">
      <c r="A499" s="6" t="s">
        <v>533</v>
      </c>
      <c r="B499" s="6" t="s">
        <v>38</v>
      </c>
      <c r="C499" s="6">
        <v>81</v>
      </c>
      <c r="D499" s="7" t="s">
        <v>35</v>
      </c>
      <c r="E499" s="11">
        <v>45071</v>
      </c>
      <c r="F499" s="10">
        <v>116</v>
      </c>
      <c r="G499" s="6">
        <v>4.3</v>
      </c>
      <c r="H499" s="6">
        <f>IF(MONTH(Data!$E499)&lt;=6, YEAR(Data!$E499), YEAR(Data!$E499)+1)</f>
        <v>2023</v>
      </c>
      <c r="I499" s="6" t="str">
        <f>TEXT(Data!$E499,"DDDD")</f>
        <v>Thursday</v>
      </c>
      <c r="J499" s="6" t="s">
        <v>14</v>
      </c>
      <c r="K499" s="6">
        <f>ROUND(Data!$G499,0)</f>
        <v>4</v>
      </c>
      <c r="L499" t="str" cm="1">
        <f t="array" ref="L499">_xlfn.IFS(C499&lt;=15,"Very Short",C499&lt;=30,"Short",C499&lt;=60,"Medium",C499&gt;60,"Long")</f>
        <v>Long</v>
      </c>
      <c r="M499" t="str" cm="1">
        <f t="array" ref="M499">_xlfn.IFS(F499&lt;=50,"Low",F499&lt;=100,"Medium",F499&lt;=150,"High",F499&gt;150,"Very High")</f>
        <v>High</v>
      </c>
    </row>
    <row r="500" spans="1:13" ht="14.25" customHeight="1" x14ac:dyDescent="0.4">
      <c r="A500" s="6" t="s">
        <v>534</v>
      </c>
      <c r="B500" s="6" t="s">
        <v>46</v>
      </c>
      <c r="C500" s="6">
        <v>115</v>
      </c>
      <c r="D500" s="7" t="s">
        <v>35</v>
      </c>
      <c r="E500" s="11">
        <v>45071</v>
      </c>
      <c r="F500" s="10">
        <v>40</v>
      </c>
      <c r="G500" s="6">
        <v>4.9000000000000004</v>
      </c>
      <c r="H500" s="6">
        <f>IF(MONTH(Data!$E500)&lt;=6, YEAR(Data!$E500), YEAR(Data!$E500)+1)</f>
        <v>2023</v>
      </c>
      <c r="I500" s="6" t="str">
        <f>TEXT(Data!$E500,"DDDD")</f>
        <v>Thursday</v>
      </c>
      <c r="J500" s="6" t="s">
        <v>14</v>
      </c>
      <c r="K500" s="6">
        <f>ROUND(Data!$G500,0)</f>
        <v>5</v>
      </c>
      <c r="L500" t="str" cm="1">
        <f t="array" ref="L500">_xlfn.IFS(C500&lt;=15,"Very Short",C500&lt;=30,"Short",C500&lt;=60,"Medium",C500&gt;60,"Long")</f>
        <v>Long</v>
      </c>
      <c r="M500" t="str" cm="1">
        <f t="array" ref="M500">_xlfn.IFS(F500&lt;=50,"Low",F500&lt;=100,"Medium",F500&lt;=150,"High",F500&gt;150,"Very High")</f>
        <v>Low</v>
      </c>
    </row>
    <row r="501" spans="1:13" ht="14.25" customHeight="1" x14ac:dyDescent="0.4">
      <c r="A501" s="6" t="s">
        <v>535</v>
      </c>
      <c r="B501" s="6" t="s">
        <v>46</v>
      </c>
      <c r="C501" s="6">
        <v>117</v>
      </c>
      <c r="D501" s="7" t="s">
        <v>31</v>
      </c>
      <c r="E501" s="11">
        <v>45071</v>
      </c>
      <c r="F501" s="10">
        <v>40</v>
      </c>
      <c r="G501" s="6">
        <v>4</v>
      </c>
      <c r="H501" s="6">
        <f>IF(MONTH(Data!$E501)&lt;=6, YEAR(Data!$E501), YEAR(Data!$E501)+1)</f>
        <v>2023</v>
      </c>
      <c r="I501" s="6" t="str">
        <f>TEXT(Data!$E501,"DDDD")</f>
        <v>Thursday</v>
      </c>
      <c r="J501" s="6" t="s">
        <v>14</v>
      </c>
      <c r="K501" s="6">
        <f>ROUND(Data!$G501,0)</f>
        <v>4</v>
      </c>
      <c r="L501" t="str" cm="1">
        <f t="array" ref="L501">_xlfn.IFS(C501&lt;=15,"Very Short",C501&lt;=30,"Short",C501&lt;=60,"Medium",C501&gt;60,"Long")</f>
        <v>Long</v>
      </c>
      <c r="M501" t="str" cm="1">
        <f t="array" ref="M501">_xlfn.IFS(F501&lt;=50,"Low",F501&lt;=100,"Medium",F501&lt;=150,"High",F501&gt;150,"Very High")</f>
        <v>Low</v>
      </c>
    </row>
    <row r="502" spans="1:13" ht="14.25" customHeight="1" x14ac:dyDescent="0.4">
      <c r="A502" s="6" t="s">
        <v>536</v>
      </c>
      <c r="B502" s="6" t="s">
        <v>68</v>
      </c>
      <c r="C502" s="6">
        <v>110</v>
      </c>
      <c r="D502" s="7" t="s">
        <v>24</v>
      </c>
      <c r="E502" s="11">
        <v>45072</v>
      </c>
      <c r="F502" s="10">
        <v>82</v>
      </c>
      <c r="G502" s="6">
        <v>4</v>
      </c>
      <c r="H502" s="6">
        <f>IF(MONTH(Data!$E502)&lt;=6, YEAR(Data!$E502), YEAR(Data!$E502)+1)</f>
        <v>2023</v>
      </c>
      <c r="I502" s="6" t="str">
        <f>TEXT(Data!$E502,"DDDD")</f>
        <v>Friday</v>
      </c>
      <c r="J502" s="6" t="s">
        <v>14</v>
      </c>
      <c r="K502" s="6">
        <f>ROUND(Data!$G502,0)</f>
        <v>4</v>
      </c>
      <c r="L502" t="str" cm="1">
        <f t="array" ref="L502">_xlfn.IFS(C502&lt;=15,"Very Short",C502&lt;=30,"Short",C502&lt;=60,"Medium",C502&gt;60,"Long")</f>
        <v>Long</v>
      </c>
      <c r="M502" t="str" cm="1">
        <f t="array" ref="M502">_xlfn.IFS(F502&lt;=50,"Low",F502&lt;=100,"Medium",F502&lt;=150,"High",F502&gt;150,"Very High")</f>
        <v>Medium</v>
      </c>
    </row>
    <row r="503" spans="1:13" ht="14.25" customHeight="1" x14ac:dyDescent="0.4">
      <c r="A503" s="6" t="s">
        <v>537</v>
      </c>
      <c r="B503" s="6" t="s">
        <v>40</v>
      </c>
      <c r="C503" s="6">
        <v>103</v>
      </c>
      <c r="D503" s="7" t="s">
        <v>13</v>
      </c>
      <c r="E503" s="11">
        <v>45072</v>
      </c>
      <c r="F503" s="10">
        <v>62</v>
      </c>
      <c r="G503" s="6">
        <v>3.4</v>
      </c>
      <c r="H503" s="6">
        <f>IF(MONTH(Data!$E503)&lt;=6, YEAR(Data!$E503), YEAR(Data!$E503)+1)</f>
        <v>2023</v>
      </c>
      <c r="I503" s="6" t="str">
        <f>TEXT(Data!$E503,"DDDD")</f>
        <v>Friday</v>
      </c>
      <c r="J503" s="6" t="s">
        <v>14</v>
      </c>
      <c r="K503" s="6">
        <f>ROUND(Data!$G503,0)</f>
        <v>3</v>
      </c>
      <c r="L503" t="str" cm="1">
        <f t="array" ref="L503">_xlfn.IFS(C503&lt;=15,"Very Short",C503&lt;=30,"Short",C503&lt;=60,"Medium",C503&gt;60,"Long")</f>
        <v>Long</v>
      </c>
      <c r="M503" t="str" cm="1">
        <f t="array" ref="M503">_xlfn.IFS(F503&lt;=50,"Low",F503&lt;=100,"Medium",F503&lt;=150,"High",F503&gt;150,"Very High")</f>
        <v>Medium</v>
      </c>
    </row>
    <row r="504" spans="1:13" ht="14.25" customHeight="1" x14ac:dyDescent="0.4">
      <c r="A504" s="6" t="s">
        <v>538</v>
      </c>
      <c r="B504" s="6" t="s">
        <v>21</v>
      </c>
      <c r="C504" s="6">
        <v>45</v>
      </c>
      <c r="D504" s="7" t="s">
        <v>13</v>
      </c>
      <c r="E504" s="11">
        <v>45072</v>
      </c>
      <c r="F504" s="10">
        <v>135</v>
      </c>
      <c r="G504" s="6">
        <v>3.9</v>
      </c>
      <c r="H504" s="6">
        <f>IF(MONTH(Data!$E504)&lt;=6, YEAR(Data!$E504), YEAR(Data!$E504)+1)</f>
        <v>2023</v>
      </c>
      <c r="I504" s="6" t="str">
        <f>TEXT(Data!$E504,"DDDD")</f>
        <v>Friday</v>
      </c>
      <c r="J504" s="6" t="s">
        <v>27</v>
      </c>
      <c r="K504" s="6">
        <f>ROUND(Data!$G504,0)</f>
        <v>4</v>
      </c>
      <c r="L504" t="str" cm="1">
        <f t="array" ref="L504">_xlfn.IFS(C504&lt;=15,"Very Short",C504&lt;=30,"Short",C504&lt;=60,"Medium",C504&gt;60,"Long")</f>
        <v>Medium</v>
      </c>
      <c r="M504" t="str" cm="1">
        <f t="array" ref="M504">_xlfn.IFS(F504&lt;=50,"Low",F504&lt;=100,"Medium",F504&lt;=150,"High",F504&gt;150,"Very High")</f>
        <v>High</v>
      </c>
    </row>
    <row r="505" spans="1:13" ht="14.25" customHeight="1" x14ac:dyDescent="0.4">
      <c r="A505" s="6" t="s">
        <v>539</v>
      </c>
      <c r="B505" s="6" t="s">
        <v>68</v>
      </c>
      <c r="C505" s="6">
        <v>110</v>
      </c>
      <c r="D505" s="7" t="s">
        <v>19</v>
      </c>
      <c r="E505" s="11">
        <v>45072</v>
      </c>
      <c r="F505" s="10">
        <v>155</v>
      </c>
      <c r="G505" s="6">
        <v>2.1</v>
      </c>
      <c r="H505" s="6">
        <f>IF(MONTH(Data!$E505)&lt;=6, YEAR(Data!$E505), YEAR(Data!$E505)+1)</f>
        <v>2023</v>
      </c>
      <c r="I505" s="6" t="str">
        <f>TEXT(Data!$E505,"DDDD")</f>
        <v>Friday</v>
      </c>
      <c r="J505" s="6" t="s">
        <v>14</v>
      </c>
      <c r="K505" s="6">
        <f>ROUND(Data!$G505,0)</f>
        <v>2</v>
      </c>
      <c r="L505" t="str" cm="1">
        <f t="array" ref="L505">_xlfn.IFS(C505&lt;=15,"Very Short",C505&lt;=30,"Short",C505&lt;=60,"Medium",C505&gt;60,"Long")</f>
        <v>Long</v>
      </c>
      <c r="M505" t="str" cm="1">
        <f t="array" ref="M505">_xlfn.IFS(F505&lt;=50,"Low",F505&lt;=100,"Medium",F505&lt;=150,"High",F505&gt;150,"Very High")</f>
        <v>Very High</v>
      </c>
    </row>
    <row r="506" spans="1:13" ht="14.25" customHeight="1" x14ac:dyDescent="0.4">
      <c r="A506" s="6" t="s">
        <v>540</v>
      </c>
      <c r="B506" s="6" t="s">
        <v>34</v>
      </c>
      <c r="C506" s="6">
        <v>43</v>
      </c>
      <c r="D506" s="7" t="s">
        <v>24</v>
      </c>
      <c r="E506" s="11">
        <v>45072</v>
      </c>
      <c r="F506" s="10">
        <v>37</v>
      </c>
      <c r="G506" s="6">
        <v>4.9000000000000004</v>
      </c>
      <c r="H506" s="6">
        <f>IF(MONTH(Data!$E506)&lt;=6, YEAR(Data!$E506), YEAR(Data!$E506)+1)</f>
        <v>2023</v>
      </c>
      <c r="I506" s="6" t="str">
        <f>TEXT(Data!$E506,"DDDD")</f>
        <v>Friday</v>
      </c>
      <c r="J506" s="6" t="s">
        <v>27</v>
      </c>
      <c r="K506" s="6">
        <f>ROUND(Data!$G506,0)</f>
        <v>5</v>
      </c>
      <c r="L506" t="str" cm="1">
        <f t="array" ref="L506">_xlfn.IFS(C506&lt;=15,"Very Short",C506&lt;=30,"Short",C506&lt;=60,"Medium",C506&gt;60,"Long")</f>
        <v>Medium</v>
      </c>
      <c r="M506" t="str" cm="1">
        <f t="array" ref="M506">_xlfn.IFS(F506&lt;=50,"Low",F506&lt;=100,"Medium",F506&lt;=150,"High",F506&gt;150,"Very High")</f>
        <v>Low</v>
      </c>
    </row>
    <row r="507" spans="1:13" ht="14.25" customHeight="1" x14ac:dyDescent="0.4">
      <c r="A507" s="6" t="s">
        <v>541</v>
      </c>
      <c r="B507" s="6" t="s">
        <v>68</v>
      </c>
      <c r="C507" s="6">
        <v>104</v>
      </c>
      <c r="D507" s="7" t="s">
        <v>31</v>
      </c>
      <c r="E507" s="11">
        <v>45073</v>
      </c>
      <c r="F507" s="10">
        <v>56</v>
      </c>
      <c r="G507" s="6">
        <v>3.4</v>
      </c>
      <c r="H507" s="6">
        <f>IF(MONTH(Data!$E507)&lt;=6, YEAR(Data!$E507), YEAR(Data!$E507)+1)</f>
        <v>2023</v>
      </c>
      <c r="I507" s="6" t="str">
        <f>TEXT(Data!$E507,"DDDD")</f>
        <v>Saturday</v>
      </c>
      <c r="J507" s="6" t="s">
        <v>14</v>
      </c>
      <c r="K507" s="6">
        <f>ROUND(Data!$G507,0)</f>
        <v>3</v>
      </c>
      <c r="L507" t="str" cm="1">
        <f t="array" ref="L507">_xlfn.IFS(C507&lt;=15,"Very Short",C507&lt;=30,"Short",C507&lt;=60,"Medium",C507&gt;60,"Long")</f>
        <v>Long</v>
      </c>
      <c r="M507" t="str" cm="1">
        <f t="array" ref="M507">_xlfn.IFS(F507&lt;=50,"Low",F507&lt;=100,"Medium",F507&lt;=150,"High",F507&gt;150,"Very High")</f>
        <v>Medium</v>
      </c>
    </row>
    <row r="508" spans="1:13" ht="14.25" customHeight="1" x14ac:dyDescent="0.4">
      <c r="A508" s="6" t="s">
        <v>542</v>
      </c>
      <c r="B508" s="6" t="s">
        <v>68</v>
      </c>
      <c r="C508" s="6">
        <v>101</v>
      </c>
      <c r="D508" s="7" t="s">
        <v>31</v>
      </c>
      <c r="E508" s="11">
        <v>45073</v>
      </c>
      <c r="F508" s="10">
        <v>185</v>
      </c>
      <c r="G508" s="6">
        <v>5</v>
      </c>
      <c r="H508" s="6">
        <f>IF(MONTH(Data!$E508)&lt;=6, YEAR(Data!$E508), YEAR(Data!$E508)+1)</f>
        <v>2023</v>
      </c>
      <c r="I508" s="6" t="str">
        <f>TEXT(Data!$E508,"DDDD")</f>
        <v>Saturday</v>
      </c>
      <c r="J508" s="6" t="s">
        <v>14</v>
      </c>
      <c r="K508" s="6">
        <f>ROUND(Data!$G508,0)</f>
        <v>5</v>
      </c>
      <c r="L508" t="str" cm="1">
        <f t="array" ref="L508">_xlfn.IFS(C508&lt;=15,"Very Short",C508&lt;=30,"Short",C508&lt;=60,"Medium",C508&gt;60,"Long")</f>
        <v>Long</v>
      </c>
      <c r="M508" t="str" cm="1">
        <f t="array" ref="M508">_xlfn.IFS(F508&lt;=50,"Low",F508&lt;=100,"Medium",F508&lt;=150,"High",F508&gt;150,"Very High")</f>
        <v>Very High</v>
      </c>
    </row>
    <row r="509" spans="1:13" ht="14.25" customHeight="1" x14ac:dyDescent="0.4">
      <c r="A509" s="6" t="s">
        <v>543</v>
      </c>
      <c r="B509" s="6" t="s">
        <v>12</v>
      </c>
      <c r="C509" s="6">
        <v>55</v>
      </c>
      <c r="D509" s="7" t="s">
        <v>24</v>
      </c>
      <c r="E509" s="11">
        <v>45074</v>
      </c>
      <c r="F509" s="10">
        <v>145</v>
      </c>
      <c r="G509" s="6">
        <v>4.5</v>
      </c>
      <c r="H509" s="6">
        <f>IF(MONTH(Data!$E509)&lt;=6, YEAR(Data!$E509), YEAR(Data!$E509)+1)</f>
        <v>2023</v>
      </c>
      <c r="I509" s="6" t="str">
        <f>TEXT(Data!$E509,"DDDD")</f>
        <v>Sunday</v>
      </c>
      <c r="J509" s="6" t="s">
        <v>27</v>
      </c>
      <c r="K509" s="6">
        <f>ROUND(Data!$G509,0)</f>
        <v>5</v>
      </c>
      <c r="L509" t="str" cm="1">
        <f t="array" ref="L509">_xlfn.IFS(C509&lt;=15,"Very Short",C509&lt;=30,"Short",C509&lt;=60,"Medium",C509&gt;60,"Long")</f>
        <v>Medium</v>
      </c>
      <c r="M509" t="str" cm="1">
        <f t="array" ref="M509">_xlfn.IFS(F509&lt;=50,"Low",F509&lt;=100,"Medium",F509&lt;=150,"High",F509&gt;150,"Very High")</f>
        <v>High</v>
      </c>
    </row>
    <row r="510" spans="1:13" ht="14.25" customHeight="1" x14ac:dyDescent="0.4">
      <c r="A510" s="6" t="s">
        <v>544</v>
      </c>
      <c r="B510" s="6" t="s">
        <v>38</v>
      </c>
      <c r="C510" s="6">
        <v>40</v>
      </c>
      <c r="D510" s="7" t="s">
        <v>13</v>
      </c>
      <c r="E510" s="11">
        <v>45074</v>
      </c>
      <c r="F510" s="10">
        <v>116</v>
      </c>
      <c r="G510" s="6">
        <v>2.6</v>
      </c>
      <c r="H510" s="6">
        <f>IF(MONTH(Data!$E510)&lt;=6, YEAR(Data!$E510), YEAR(Data!$E510)+1)</f>
        <v>2023</v>
      </c>
      <c r="I510" s="6" t="str">
        <f>TEXT(Data!$E510,"DDDD")</f>
        <v>Sunday</v>
      </c>
      <c r="J510" s="6" t="s">
        <v>27</v>
      </c>
      <c r="K510" s="6">
        <f>ROUND(Data!$G510,0)</f>
        <v>3</v>
      </c>
      <c r="L510" t="str" cm="1">
        <f t="array" ref="L510">_xlfn.IFS(C510&lt;=15,"Very Short",C510&lt;=30,"Short",C510&lt;=60,"Medium",C510&gt;60,"Long")</f>
        <v>Medium</v>
      </c>
      <c r="M510" t="str" cm="1">
        <f t="array" ref="M510">_xlfn.IFS(F510&lt;=50,"Low",F510&lt;=100,"Medium",F510&lt;=150,"High",F510&gt;150,"Very High")</f>
        <v>High</v>
      </c>
    </row>
    <row r="511" spans="1:13" ht="14.25" customHeight="1" x14ac:dyDescent="0.4">
      <c r="A511" s="6" t="s">
        <v>545</v>
      </c>
      <c r="B511" s="6" t="s">
        <v>34</v>
      </c>
      <c r="C511" s="6">
        <v>122</v>
      </c>
      <c r="D511" s="7" t="s">
        <v>35</v>
      </c>
      <c r="E511" s="11">
        <v>45074</v>
      </c>
      <c r="F511" s="10">
        <v>45</v>
      </c>
      <c r="G511" s="6">
        <v>4.2</v>
      </c>
      <c r="H511" s="6">
        <f>IF(MONTH(Data!$E511)&lt;=6, YEAR(Data!$E511), YEAR(Data!$E511)+1)</f>
        <v>2023</v>
      </c>
      <c r="I511" s="6" t="str">
        <f>TEXT(Data!$E511,"DDDD")</f>
        <v>Sunday</v>
      </c>
      <c r="J511" s="6" t="s">
        <v>25</v>
      </c>
      <c r="K511" s="6">
        <f>ROUND(Data!$G511,0)</f>
        <v>4</v>
      </c>
      <c r="L511" t="str" cm="1">
        <f t="array" ref="L511">_xlfn.IFS(C511&lt;=15,"Very Short",C511&lt;=30,"Short",C511&lt;=60,"Medium",C511&gt;60,"Long")</f>
        <v>Long</v>
      </c>
      <c r="M511" t="str" cm="1">
        <f t="array" ref="M511">_xlfn.IFS(F511&lt;=50,"Low",F511&lt;=100,"Medium",F511&lt;=150,"High",F511&gt;150,"Very High")</f>
        <v>Low</v>
      </c>
    </row>
    <row r="512" spans="1:13" ht="14.25" customHeight="1" x14ac:dyDescent="0.4">
      <c r="A512" s="6" t="s">
        <v>546</v>
      </c>
      <c r="B512" s="6" t="s">
        <v>23</v>
      </c>
      <c r="C512" s="6">
        <v>98</v>
      </c>
      <c r="D512" s="7" t="s">
        <v>31</v>
      </c>
      <c r="E512" s="11">
        <v>45075</v>
      </c>
      <c r="F512" s="10">
        <v>35</v>
      </c>
      <c r="G512" s="6">
        <v>4.5</v>
      </c>
      <c r="H512" s="6">
        <f>IF(MONTH(Data!$E512)&lt;=6, YEAR(Data!$E512), YEAR(Data!$E512)+1)</f>
        <v>2023</v>
      </c>
      <c r="I512" s="6" t="str">
        <f>TEXT(Data!$E512,"DDDD")</f>
        <v>Monday</v>
      </c>
      <c r="J512" s="6" t="s">
        <v>14</v>
      </c>
      <c r="K512" s="6">
        <f>ROUND(Data!$G512,0)</f>
        <v>5</v>
      </c>
      <c r="L512" t="str" cm="1">
        <f t="array" ref="L512">_xlfn.IFS(C512&lt;=15,"Very Short",C512&lt;=30,"Short",C512&lt;=60,"Medium",C512&gt;60,"Long")</f>
        <v>Long</v>
      </c>
      <c r="M512" t="str" cm="1">
        <f t="array" ref="M512">_xlfn.IFS(F512&lt;=50,"Low",F512&lt;=100,"Medium",F512&lt;=150,"High",F512&gt;150,"Very High")</f>
        <v>Low</v>
      </c>
    </row>
    <row r="513" spans="1:13" ht="14.25" customHeight="1" x14ac:dyDescent="0.4">
      <c r="A513" s="6" t="s">
        <v>547</v>
      </c>
      <c r="B513" s="6" t="s">
        <v>46</v>
      </c>
      <c r="C513" s="6">
        <v>110</v>
      </c>
      <c r="D513" s="7" t="s">
        <v>13</v>
      </c>
      <c r="E513" s="11">
        <v>45075</v>
      </c>
      <c r="F513" s="10">
        <v>100</v>
      </c>
      <c r="G513" s="6">
        <v>4.4000000000000004</v>
      </c>
      <c r="H513" s="6">
        <f>IF(MONTH(Data!$E513)&lt;=6, YEAR(Data!$E513), YEAR(Data!$E513)+1)</f>
        <v>2023</v>
      </c>
      <c r="I513" s="6" t="str">
        <f>TEXT(Data!$E513,"DDDD")</f>
        <v>Monday</v>
      </c>
      <c r="J513" s="6" t="s">
        <v>14</v>
      </c>
      <c r="K513" s="6">
        <f>ROUND(Data!$G513,0)</f>
        <v>4</v>
      </c>
      <c r="L513" t="str" cm="1">
        <f t="array" ref="L513">_xlfn.IFS(C513&lt;=15,"Very Short",C513&lt;=30,"Short",C513&lt;=60,"Medium",C513&gt;60,"Long")</f>
        <v>Long</v>
      </c>
      <c r="M513" t="str" cm="1">
        <f t="array" ref="M513">_xlfn.IFS(F513&lt;=50,"Low",F513&lt;=100,"Medium",F513&lt;=150,"High",F513&gt;150,"Very High")</f>
        <v>Medium</v>
      </c>
    </row>
    <row r="514" spans="1:13" ht="14.25" customHeight="1" x14ac:dyDescent="0.4">
      <c r="A514" s="6" t="s">
        <v>548</v>
      </c>
      <c r="B514" s="6" t="s">
        <v>46</v>
      </c>
      <c r="C514" s="6">
        <v>62</v>
      </c>
      <c r="D514" s="7" t="s">
        <v>24</v>
      </c>
      <c r="E514" s="11">
        <v>45076</v>
      </c>
      <c r="F514" s="10">
        <v>125</v>
      </c>
      <c r="G514" s="6">
        <v>3.5</v>
      </c>
      <c r="H514" s="6">
        <f>IF(MONTH(Data!$E514)&lt;=6, YEAR(Data!$E514), YEAR(Data!$E514)+1)</f>
        <v>2023</v>
      </c>
      <c r="I514" s="6" t="str">
        <f>TEXT(Data!$E514,"DDDD")</f>
        <v>Tuesday</v>
      </c>
      <c r="J514" s="6" t="s">
        <v>14</v>
      </c>
      <c r="K514" s="6">
        <f>ROUND(Data!$G514,0)</f>
        <v>4</v>
      </c>
      <c r="L514" t="str" cm="1">
        <f t="array" ref="L514">_xlfn.IFS(C514&lt;=15,"Very Short",C514&lt;=30,"Short",C514&lt;=60,"Medium",C514&gt;60,"Long")</f>
        <v>Long</v>
      </c>
      <c r="M514" t="str" cm="1">
        <f t="array" ref="M514">_xlfn.IFS(F514&lt;=50,"Low",F514&lt;=100,"Medium",F514&lt;=150,"High",F514&gt;150,"Very High")</f>
        <v>High</v>
      </c>
    </row>
    <row r="515" spans="1:13" ht="14.25" customHeight="1" x14ac:dyDescent="0.4">
      <c r="A515" s="6" t="s">
        <v>549</v>
      </c>
      <c r="B515" s="6" t="s">
        <v>34</v>
      </c>
      <c r="C515" s="6">
        <v>134</v>
      </c>
      <c r="D515" s="7" t="s">
        <v>35</v>
      </c>
      <c r="E515" s="11">
        <v>45076</v>
      </c>
      <c r="F515" s="10">
        <v>120</v>
      </c>
      <c r="G515" s="6">
        <v>3</v>
      </c>
      <c r="H515" s="6">
        <f>IF(MONTH(Data!$E515)&lt;=6, YEAR(Data!$E515), YEAR(Data!$E515)+1)</f>
        <v>2023</v>
      </c>
      <c r="I515" s="6" t="str">
        <f>TEXT(Data!$E515,"DDDD")</f>
        <v>Tuesday</v>
      </c>
      <c r="J515" s="6" t="s">
        <v>25</v>
      </c>
      <c r="K515" s="6">
        <f>ROUND(Data!$G515,0)</f>
        <v>3</v>
      </c>
      <c r="L515" t="str" cm="1">
        <f t="array" ref="L515">_xlfn.IFS(C515&lt;=15,"Very Short",C515&lt;=30,"Short",C515&lt;=60,"Medium",C515&gt;60,"Long")</f>
        <v>Long</v>
      </c>
      <c r="M515" t="str" cm="1">
        <f t="array" ref="M515">_xlfn.IFS(F515&lt;=50,"Low",F515&lt;=100,"Medium",F515&lt;=150,"High",F515&gt;150,"Very High")</f>
        <v>High</v>
      </c>
    </row>
    <row r="516" spans="1:13" ht="14.25" customHeight="1" x14ac:dyDescent="0.4">
      <c r="A516" s="6" t="s">
        <v>550</v>
      </c>
      <c r="B516" s="6" t="s">
        <v>55</v>
      </c>
      <c r="C516" s="6">
        <v>94</v>
      </c>
      <c r="D516" s="7" t="s">
        <v>19</v>
      </c>
      <c r="E516" s="11">
        <v>45076</v>
      </c>
      <c r="F516" s="10">
        <v>180</v>
      </c>
      <c r="G516" s="6">
        <v>4.7</v>
      </c>
      <c r="H516" s="6">
        <f>IF(MONTH(Data!$E516)&lt;=6, YEAR(Data!$E516), YEAR(Data!$E516)+1)</f>
        <v>2023</v>
      </c>
      <c r="I516" s="6" t="str">
        <f>TEXT(Data!$E516,"DDDD")</f>
        <v>Tuesday</v>
      </c>
      <c r="J516" s="6" t="s">
        <v>14</v>
      </c>
      <c r="K516" s="6">
        <f>ROUND(Data!$G516,0)</f>
        <v>5</v>
      </c>
      <c r="L516" t="str" cm="1">
        <f t="array" ref="L516">_xlfn.IFS(C516&lt;=15,"Very Short",C516&lt;=30,"Short",C516&lt;=60,"Medium",C516&gt;60,"Long")</f>
        <v>Long</v>
      </c>
      <c r="M516" t="str" cm="1">
        <f t="array" ref="M516">_xlfn.IFS(F516&lt;=50,"Low",F516&lt;=100,"Medium",F516&lt;=150,"High",F516&gt;150,"Very High")</f>
        <v>Very High</v>
      </c>
    </row>
    <row r="517" spans="1:13" ht="14.25" customHeight="1" x14ac:dyDescent="0.4">
      <c r="A517" s="6" t="s">
        <v>551</v>
      </c>
      <c r="B517" s="6" t="s">
        <v>29</v>
      </c>
      <c r="C517" s="6">
        <v>63</v>
      </c>
      <c r="D517" s="7" t="s">
        <v>13</v>
      </c>
      <c r="E517" s="11">
        <v>45076</v>
      </c>
      <c r="F517" s="10">
        <v>44</v>
      </c>
      <c r="G517" s="6">
        <v>3</v>
      </c>
      <c r="H517" s="6">
        <f>IF(MONTH(Data!$E517)&lt;=6, YEAR(Data!$E517), YEAR(Data!$E517)+1)</f>
        <v>2023</v>
      </c>
      <c r="I517" s="6" t="str">
        <f>TEXT(Data!$E517,"DDDD")</f>
        <v>Tuesday</v>
      </c>
      <c r="J517" s="6" t="s">
        <v>14</v>
      </c>
      <c r="K517" s="6">
        <f>ROUND(Data!$G517,0)</f>
        <v>3</v>
      </c>
      <c r="L517" t="str" cm="1">
        <f t="array" ref="L517">_xlfn.IFS(C517&lt;=15,"Very Short",C517&lt;=30,"Short",C517&lt;=60,"Medium",C517&gt;60,"Long")</f>
        <v>Long</v>
      </c>
      <c r="M517" t="str" cm="1">
        <f t="array" ref="M517">_xlfn.IFS(F517&lt;=50,"Low",F517&lt;=100,"Medium",F517&lt;=150,"High",F517&gt;150,"Very High")</f>
        <v>Low</v>
      </c>
    </row>
    <row r="518" spans="1:13" ht="14.25" customHeight="1" x14ac:dyDescent="0.4">
      <c r="A518" s="6" t="s">
        <v>552</v>
      </c>
      <c r="B518" s="6" t="s">
        <v>50</v>
      </c>
      <c r="C518" s="6">
        <v>95</v>
      </c>
      <c r="D518" s="7" t="s">
        <v>35</v>
      </c>
      <c r="E518" s="11">
        <v>45076</v>
      </c>
      <c r="F518" s="10">
        <v>86</v>
      </c>
      <c r="G518" s="6">
        <v>3.6</v>
      </c>
      <c r="H518" s="6">
        <f>IF(MONTH(Data!$E518)&lt;=6, YEAR(Data!$E518), YEAR(Data!$E518)+1)</f>
        <v>2023</v>
      </c>
      <c r="I518" s="6" t="str">
        <f>TEXT(Data!$E518,"DDDD")</f>
        <v>Tuesday</v>
      </c>
      <c r="J518" s="6" t="s">
        <v>14</v>
      </c>
      <c r="K518" s="6">
        <f>ROUND(Data!$G518,0)</f>
        <v>4</v>
      </c>
      <c r="L518" t="str" cm="1">
        <f t="array" ref="L518">_xlfn.IFS(C518&lt;=15,"Very Short",C518&lt;=30,"Short",C518&lt;=60,"Medium",C518&gt;60,"Long")</f>
        <v>Long</v>
      </c>
      <c r="M518" t="str" cm="1">
        <f t="array" ref="M518">_xlfn.IFS(F518&lt;=50,"Low",F518&lt;=100,"Medium",F518&lt;=150,"High",F518&gt;150,"Very High")</f>
        <v>Medium</v>
      </c>
    </row>
    <row r="519" spans="1:13" ht="14.25" customHeight="1" x14ac:dyDescent="0.4">
      <c r="A519" s="6" t="s">
        <v>553</v>
      </c>
      <c r="B519" s="6" t="s">
        <v>34</v>
      </c>
      <c r="C519" s="6">
        <v>106</v>
      </c>
      <c r="D519" s="7" t="s">
        <v>35</v>
      </c>
      <c r="E519" s="11">
        <v>45077</v>
      </c>
      <c r="F519" s="10">
        <v>120</v>
      </c>
      <c r="G519" s="6">
        <v>4.0999999999999996</v>
      </c>
      <c r="H519" s="6">
        <f>IF(MONTH(Data!$E519)&lt;=6, YEAR(Data!$E519), YEAR(Data!$E519)+1)</f>
        <v>2023</v>
      </c>
      <c r="I519" s="6" t="str">
        <f>TEXT(Data!$E519,"DDDD")</f>
        <v>Wednesday</v>
      </c>
      <c r="J519" s="6" t="s">
        <v>14</v>
      </c>
      <c r="K519" s="6">
        <f>ROUND(Data!$G519,0)</f>
        <v>4</v>
      </c>
      <c r="L519" t="str" cm="1">
        <f t="array" ref="L519">_xlfn.IFS(C519&lt;=15,"Very Short",C519&lt;=30,"Short",C519&lt;=60,"Medium",C519&gt;60,"Long")</f>
        <v>Long</v>
      </c>
      <c r="M519" t="str" cm="1">
        <f t="array" ref="M519">_xlfn.IFS(F519&lt;=50,"Low",F519&lt;=100,"Medium",F519&lt;=150,"High",F519&gt;150,"Very High")</f>
        <v>High</v>
      </c>
    </row>
    <row r="520" spans="1:13" ht="14.25" customHeight="1" x14ac:dyDescent="0.4">
      <c r="A520" s="6" t="s">
        <v>554</v>
      </c>
      <c r="B520" s="6" t="s">
        <v>21</v>
      </c>
      <c r="C520" s="6">
        <v>94</v>
      </c>
      <c r="D520" s="7" t="s">
        <v>19</v>
      </c>
      <c r="E520" s="11">
        <v>45077</v>
      </c>
      <c r="F520" s="10">
        <v>100</v>
      </c>
      <c r="G520" s="6">
        <v>3.7</v>
      </c>
      <c r="H520" s="6">
        <f>IF(MONTH(Data!$E520)&lt;=6, YEAR(Data!$E520), YEAR(Data!$E520)+1)</f>
        <v>2023</v>
      </c>
      <c r="I520" s="6" t="str">
        <f>TEXT(Data!$E520,"DDDD")</f>
        <v>Wednesday</v>
      </c>
      <c r="J520" s="6" t="s">
        <v>14</v>
      </c>
      <c r="K520" s="6">
        <f>ROUND(Data!$G520,0)</f>
        <v>4</v>
      </c>
      <c r="L520" t="str" cm="1">
        <f t="array" ref="L520">_xlfn.IFS(C520&lt;=15,"Very Short",C520&lt;=30,"Short",C520&lt;=60,"Medium",C520&gt;60,"Long")</f>
        <v>Long</v>
      </c>
      <c r="M520" t="str" cm="1">
        <f t="array" ref="M520">_xlfn.IFS(F520&lt;=50,"Low",F520&lt;=100,"Medium",F520&lt;=150,"High",F520&gt;150,"Very High")</f>
        <v>Medium</v>
      </c>
    </row>
    <row r="521" spans="1:13" ht="14.25" customHeight="1" x14ac:dyDescent="0.4">
      <c r="A521" s="6" t="s">
        <v>555</v>
      </c>
      <c r="B521" s="6" t="s">
        <v>21</v>
      </c>
      <c r="C521" s="6">
        <v>51</v>
      </c>
      <c r="D521" s="7" t="s">
        <v>19</v>
      </c>
      <c r="E521" s="11">
        <v>45078</v>
      </c>
      <c r="F521" s="10">
        <v>108</v>
      </c>
      <c r="G521" s="6">
        <v>4.5</v>
      </c>
      <c r="H521" s="6">
        <f>IF(MONTH(Data!$E521)&lt;=6, YEAR(Data!$E521), YEAR(Data!$E521)+1)</f>
        <v>2023</v>
      </c>
      <c r="I521" s="6" t="str">
        <f>TEXT(Data!$E521,"DDDD")</f>
        <v>Thursday</v>
      </c>
      <c r="J521" s="6" t="s">
        <v>27</v>
      </c>
      <c r="K521" s="6">
        <f>ROUND(Data!$G521,0)</f>
        <v>5</v>
      </c>
      <c r="L521" t="str" cm="1">
        <f t="array" ref="L521">_xlfn.IFS(C521&lt;=15,"Very Short",C521&lt;=30,"Short",C521&lt;=60,"Medium",C521&gt;60,"Long")</f>
        <v>Medium</v>
      </c>
      <c r="M521" t="str" cm="1">
        <f t="array" ref="M521">_xlfn.IFS(F521&lt;=50,"Low",F521&lt;=100,"Medium",F521&lt;=150,"High",F521&gt;150,"Very High")</f>
        <v>High</v>
      </c>
    </row>
    <row r="522" spans="1:13" ht="14.25" customHeight="1" x14ac:dyDescent="0.4">
      <c r="A522" s="6" t="s">
        <v>556</v>
      </c>
      <c r="B522" s="6" t="s">
        <v>88</v>
      </c>
      <c r="C522" s="6">
        <v>39</v>
      </c>
      <c r="D522" s="7" t="s">
        <v>19</v>
      </c>
      <c r="E522" s="11">
        <v>45078</v>
      </c>
      <c r="F522" s="10">
        <v>46</v>
      </c>
      <c r="G522" s="6">
        <v>4.5999999999999996</v>
      </c>
      <c r="H522" s="6">
        <f>IF(MONTH(Data!$E522)&lt;=6, YEAR(Data!$E522), YEAR(Data!$E522)+1)</f>
        <v>2023</v>
      </c>
      <c r="I522" s="6" t="str">
        <f>TEXT(Data!$E522,"DDDD")</f>
        <v>Thursday</v>
      </c>
      <c r="J522" s="6" t="s">
        <v>27</v>
      </c>
      <c r="K522" s="6">
        <f>ROUND(Data!$G522,0)</f>
        <v>5</v>
      </c>
      <c r="L522" t="str" cm="1">
        <f t="array" ref="L522">_xlfn.IFS(C522&lt;=15,"Very Short",C522&lt;=30,"Short",C522&lt;=60,"Medium",C522&gt;60,"Long")</f>
        <v>Medium</v>
      </c>
      <c r="M522" t="str" cm="1">
        <f t="array" ref="M522">_xlfn.IFS(F522&lt;=50,"Low",F522&lt;=100,"Medium",F522&lt;=150,"High",F522&gt;150,"Very High")</f>
        <v>Low</v>
      </c>
    </row>
    <row r="523" spans="1:13" ht="14.25" customHeight="1" x14ac:dyDescent="0.4">
      <c r="A523" s="6" t="s">
        <v>557</v>
      </c>
      <c r="B523" s="6" t="s">
        <v>38</v>
      </c>
      <c r="C523" s="6">
        <v>111</v>
      </c>
      <c r="D523" s="7" t="s">
        <v>35</v>
      </c>
      <c r="E523" s="11">
        <v>45078</v>
      </c>
      <c r="F523" s="10">
        <v>210</v>
      </c>
      <c r="G523" s="6">
        <v>4.3</v>
      </c>
      <c r="H523" s="6">
        <f>IF(MONTH(Data!$E523)&lt;=6, YEAR(Data!$E523), YEAR(Data!$E523)+1)</f>
        <v>2023</v>
      </c>
      <c r="I523" s="6" t="str">
        <f>TEXT(Data!$E523,"DDDD")</f>
        <v>Thursday</v>
      </c>
      <c r="J523" s="6" t="s">
        <v>14</v>
      </c>
      <c r="K523" s="6">
        <f>ROUND(Data!$G523,0)</f>
        <v>4</v>
      </c>
      <c r="L523" t="str" cm="1">
        <f t="array" ref="L523">_xlfn.IFS(C523&lt;=15,"Very Short",C523&lt;=30,"Short",C523&lt;=60,"Medium",C523&gt;60,"Long")</f>
        <v>Long</v>
      </c>
      <c r="M523" t="str" cm="1">
        <f t="array" ref="M523">_xlfn.IFS(F523&lt;=50,"Low",F523&lt;=100,"Medium",F523&lt;=150,"High",F523&gt;150,"Very High")</f>
        <v>Very High</v>
      </c>
    </row>
    <row r="524" spans="1:13" ht="14.25" customHeight="1" x14ac:dyDescent="0.4">
      <c r="A524" s="6" t="s">
        <v>558</v>
      </c>
      <c r="B524" s="6" t="s">
        <v>58</v>
      </c>
      <c r="C524" s="6">
        <v>141</v>
      </c>
      <c r="D524" s="7" t="s">
        <v>24</v>
      </c>
      <c r="E524" s="11">
        <v>45080</v>
      </c>
      <c r="F524" s="10">
        <v>54</v>
      </c>
      <c r="G524" s="6">
        <v>4.8</v>
      </c>
      <c r="H524" s="6">
        <f>IF(MONTH(Data!$E524)&lt;=6, YEAR(Data!$E524), YEAR(Data!$E524)+1)</f>
        <v>2023</v>
      </c>
      <c r="I524" s="6" t="str">
        <f>TEXT(Data!$E524,"DDDD")</f>
        <v>Saturday</v>
      </c>
      <c r="J524" s="6" t="s">
        <v>25</v>
      </c>
      <c r="K524" s="6">
        <f>ROUND(Data!$G524,0)</f>
        <v>5</v>
      </c>
      <c r="L524" t="str" cm="1">
        <f t="array" ref="L524">_xlfn.IFS(C524&lt;=15,"Very Short",C524&lt;=30,"Short",C524&lt;=60,"Medium",C524&gt;60,"Long")</f>
        <v>Long</v>
      </c>
      <c r="M524" t="str" cm="1">
        <f t="array" ref="M524">_xlfn.IFS(F524&lt;=50,"Low",F524&lt;=100,"Medium",F524&lt;=150,"High",F524&gt;150,"Very High")</f>
        <v>Medium</v>
      </c>
    </row>
    <row r="525" spans="1:13" ht="14.25" customHeight="1" x14ac:dyDescent="0.4">
      <c r="A525" s="6" t="s">
        <v>559</v>
      </c>
      <c r="B525" s="6" t="s">
        <v>29</v>
      </c>
      <c r="C525" s="6">
        <v>147</v>
      </c>
      <c r="D525" s="7" t="s">
        <v>35</v>
      </c>
      <c r="E525" s="11">
        <v>45080</v>
      </c>
      <c r="F525" s="10">
        <v>115</v>
      </c>
      <c r="G525" s="6">
        <v>4.7</v>
      </c>
      <c r="H525" s="6">
        <f>IF(MONTH(Data!$E525)&lt;=6, YEAR(Data!$E525), YEAR(Data!$E525)+1)</f>
        <v>2023</v>
      </c>
      <c r="I525" s="6" t="str">
        <f>TEXT(Data!$E525,"DDDD")</f>
        <v>Saturday</v>
      </c>
      <c r="J525" s="6" t="s">
        <v>25</v>
      </c>
      <c r="K525" s="6">
        <f>ROUND(Data!$G525,0)</f>
        <v>5</v>
      </c>
      <c r="L525" t="str" cm="1">
        <f t="array" ref="L525">_xlfn.IFS(C525&lt;=15,"Very Short",C525&lt;=30,"Short",C525&lt;=60,"Medium",C525&gt;60,"Long")</f>
        <v>Long</v>
      </c>
      <c r="M525" t="str" cm="1">
        <f t="array" ref="M525">_xlfn.IFS(F525&lt;=50,"Low",F525&lt;=100,"Medium",F525&lt;=150,"High",F525&gt;150,"Very High")</f>
        <v>High</v>
      </c>
    </row>
    <row r="526" spans="1:13" ht="14.25" customHeight="1" x14ac:dyDescent="0.4">
      <c r="A526" s="6" t="s">
        <v>560</v>
      </c>
      <c r="B526" s="6" t="s">
        <v>55</v>
      </c>
      <c r="C526" s="6">
        <v>49</v>
      </c>
      <c r="D526" s="7" t="s">
        <v>19</v>
      </c>
      <c r="E526" s="11">
        <v>45081</v>
      </c>
      <c r="F526" s="10">
        <v>100</v>
      </c>
      <c r="G526" s="6">
        <v>2.2000000000000002</v>
      </c>
      <c r="H526" s="6">
        <f>IF(MONTH(Data!$E526)&lt;=6, YEAR(Data!$E526), YEAR(Data!$E526)+1)</f>
        <v>2023</v>
      </c>
      <c r="I526" s="6" t="str">
        <f>TEXT(Data!$E526,"DDDD")</f>
        <v>Sunday</v>
      </c>
      <c r="J526" s="6" t="s">
        <v>27</v>
      </c>
      <c r="K526" s="6">
        <f>ROUND(Data!$G526,0)</f>
        <v>2</v>
      </c>
      <c r="L526" t="str" cm="1">
        <f t="array" ref="L526">_xlfn.IFS(C526&lt;=15,"Very Short",C526&lt;=30,"Short",C526&lt;=60,"Medium",C526&gt;60,"Long")</f>
        <v>Medium</v>
      </c>
      <c r="M526" t="str" cm="1">
        <f t="array" ref="M526">_xlfn.IFS(F526&lt;=50,"Low",F526&lt;=100,"Medium",F526&lt;=150,"High",F526&gt;150,"Very High")</f>
        <v>Medium</v>
      </c>
    </row>
    <row r="527" spans="1:13" ht="14.25" customHeight="1" x14ac:dyDescent="0.4">
      <c r="A527" s="6" t="s">
        <v>561</v>
      </c>
      <c r="B527" s="6" t="s">
        <v>18</v>
      </c>
      <c r="C527" s="6">
        <v>75</v>
      </c>
      <c r="D527" s="7" t="s">
        <v>35</v>
      </c>
      <c r="E527" s="11">
        <v>45081</v>
      </c>
      <c r="F527" s="10">
        <v>38</v>
      </c>
      <c r="G527" s="6">
        <v>4.4000000000000004</v>
      </c>
      <c r="H527" s="6">
        <f>IF(MONTH(Data!$E527)&lt;=6, YEAR(Data!$E527), YEAR(Data!$E527)+1)</f>
        <v>2023</v>
      </c>
      <c r="I527" s="6" t="str">
        <f>TEXT(Data!$E527,"DDDD")</f>
        <v>Sunday</v>
      </c>
      <c r="J527" s="6" t="s">
        <v>14</v>
      </c>
      <c r="K527" s="6">
        <f>ROUND(Data!$G527,0)</f>
        <v>4</v>
      </c>
      <c r="L527" t="str" cm="1">
        <f t="array" ref="L527">_xlfn.IFS(C527&lt;=15,"Very Short",C527&lt;=30,"Short",C527&lt;=60,"Medium",C527&gt;60,"Long")</f>
        <v>Long</v>
      </c>
      <c r="M527" t="str" cm="1">
        <f t="array" ref="M527">_xlfn.IFS(F527&lt;=50,"Low",F527&lt;=100,"Medium",F527&lt;=150,"High",F527&gt;150,"Very High")</f>
        <v>Low</v>
      </c>
    </row>
    <row r="528" spans="1:13" ht="14.25" customHeight="1" x14ac:dyDescent="0.4">
      <c r="A528" s="6" t="s">
        <v>562</v>
      </c>
      <c r="B528" s="6" t="s">
        <v>58</v>
      </c>
      <c r="C528" s="6">
        <v>48</v>
      </c>
      <c r="D528" s="7" t="s">
        <v>24</v>
      </c>
      <c r="E528" s="11">
        <v>45082</v>
      </c>
      <c r="F528" s="10">
        <v>120</v>
      </c>
      <c r="G528" s="6">
        <v>4.0999999999999996</v>
      </c>
      <c r="H528" s="6">
        <f>IF(MONTH(Data!$E528)&lt;=6, YEAR(Data!$E528), YEAR(Data!$E528)+1)</f>
        <v>2023</v>
      </c>
      <c r="I528" s="6" t="str">
        <f>TEXT(Data!$E528,"DDDD")</f>
        <v>Monday</v>
      </c>
      <c r="J528" s="6" t="s">
        <v>27</v>
      </c>
      <c r="K528" s="6">
        <f>ROUND(Data!$G528,0)</f>
        <v>4</v>
      </c>
      <c r="L528" t="str" cm="1">
        <f t="array" ref="L528">_xlfn.IFS(C528&lt;=15,"Very Short",C528&lt;=30,"Short",C528&lt;=60,"Medium",C528&gt;60,"Long")</f>
        <v>Medium</v>
      </c>
      <c r="M528" t="str" cm="1">
        <f t="array" ref="M528">_xlfn.IFS(F528&lt;=50,"Low",F528&lt;=100,"Medium",F528&lt;=150,"High",F528&gt;150,"Very High")</f>
        <v>High</v>
      </c>
    </row>
    <row r="529" spans="1:13" ht="14.25" customHeight="1" x14ac:dyDescent="0.4">
      <c r="A529" s="6" t="s">
        <v>563</v>
      </c>
      <c r="B529" s="6" t="s">
        <v>46</v>
      </c>
      <c r="C529" s="6">
        <v>48</v>
      </c>
      <c r="D529" s="7" t="s">
        <v>24</v>
      </c>
      <c r="E529" s="11">
        <v>45082</v>
      </c>
      <c r="F529" s="10">
        <v>120</v>
      </c>
      <c r="G529" s="6">
        <v>4.0999999999999996</v>
      </c>
      <c r="H529" s="6">
        <f>IF(MONTH(Data!$E529)&lt;=6, YEAR(Data!$E529), YEAR(Data!$E529)+1)</f>
        <v>2023</v>
      </c>
      <c r="I529" s="6" t="str">
        <f>TEXT(Data!$E529,"DDDD")</f>
        <v>Monday</v>
      </c>
      <c r="J529" s="6" t="s">
        <v>27</v>
      </c>
      <c r="K529" s="6">
        <f>ROUND(Data!$G529,0)</f>
        <v>4</v>
      </c>
      <c r="L529" t="str" cm="1">
        <f t="array" ref="L529">_xlfn.IFS(C529&lt;=15,"Very Short",C529&lt;=30,"Short",C529&lt;=60,"Medium",C529&gt;60,"Long")</f>
        <v>Medium</v>
      </c>
      <c r="M529" t="str" cm="1">
        <f t="array" ref="M529">_xlfn.IFS(F529&lt;=50,"Low",F529&lt;=100,"Medium",F529&lt;=150,"High",F529&gt;150,"Very High")</f>
        <v>High</v>
      </c>
    </row>
    <row r="530" spans="1:13" ht="14.25" customHeight="1" x14ac:dyDescent="0.4">
      <c r="A530" s="6" t="s">
        <v>564</v>
      </c>
      <c r="B530" s="6" t="s">
        <v>16</v>
      </c>
      <c r="C530" s="6">
        <v>138</v>
      </c>
      <c r="D530" s="7" t="s">
        <v>19</v>
      </c>
      <c r="E530" s="11">
        <v>45082</v>
      </c>
      <c r="F530" s="10">
        <v>29</v>
      </c>
      <c r="G530" s="6">
        <v>4.4000000000000004</v>
      </c>
      <c r="H530" s="6">
        <f>IF(MONTH(Data!$E530)&lt;=6, YEAR(Data!$E530), YEAR(Data!$E530)+1)</f>
        <v>2023</v>
      </c>
      <c r="I530" s="6" t="str">
        <f>TEXT(Data!$E530,"DDDD")</f>
        <v>Monday</v>
      </c>
      <c r="J530" s="6" t="s">
        <v>25</v>
      </c>
      <c r="K530" s="6">
        <f>ROUND(Data!$G530,0)</f>
        <v>4</v>
      </c>
      <c r="L530" t="str" cm="1">
        <f t="array" ref="L530">_xlfn.IFS(C530&lt;=15,"Very Short",C530&lt;=30,"Short",C530&lt;=60,"Medium",C530&gt;60,"Long")</f>
        <v>Long</v>
      </c>
      <c r="M530" t="str" cm="1">
        <f t="array" ref="M530">_xlfn.IFS(F530&lt;=50,"Low",F530&lt;=100,"Medium",F530&lt;=150,"High",F530&gt;150,"Very High")</f>
        <v>Low</v>
      </c>
    </row>
    <row r="531" spans="1:13" ht="14.25" customHeight="1" x14ac:dyDescent="0.4">
      <c r="A531" s="6" t="s">
        <v>565</v>
      </c>
      <c r="B531" s="6" t="s">
        <v>50</v>
      </c>
      <c r="C531" s="6">
        <v>144</v>
      </c>
      <c r="D531" s="7" t="s">
        <v>19</v>
      </c>
      <c r="E531" s="11">
        <v>45083</v>
      </c>
      <c r="F531" s="10">
        <v>25</v>
      </c>
      <c r="G531" s="6">
        <v>3.7</v>
      </c>
      <c r="H531" s="6">
        <f>IF(MONTH(Data!$E531)&lt;=6, YEAR(Data!$E531), YEAR(Data!$E531)+1)</f>
        <v>2023</v>
      </c>
      <c r="I531" s="6" t="str">
        <f>TEXT(Data!$E531,"DDDD")</f>
        <v>Tuesday</v>
      </c>
      <c r="J531" s="6" t="s">
        <v>25</v>
      </c>
      <c r="K531" s="6">
        <f>ROUND(Data!$G531,0)</f>
        <v>4</v>
      </c>
      <c r="L531" t="str" cm="1">
        <f t="array" ref="L531">_xlfn.IFS(C531&lt;=15,"Very Short",C531&lt;=30,"Short",C531&lt;=60,"Medium",C531&gt;60,"Long")</f>
        <v>Long</v>
      </c>
      <c r="M531" t="str" cm="1">
        <f t="array" ref="M531">_xlfn.IFS(F531&lt;=50,"Low",F531&lt;=100,"Medium",F531&lt;=150,"High",F531&gt;150,"Very High")</f>
        <v>Low</v>
      </c>
    </row>
    <row r="532" spans="1:13" ht="14.25" customHeight="1" x14ac:dyDescent="0.4">
      <c r="A532" s="6" t="s">
        <v>566</v>
      </c>
      <c r="B532" s="6" t="s">
        <v>68</v>
      </c>
      <c r="C532" s="6">
        <v>119</v>
      </c>
      <c r="D532" s="7" t="s">
        <v>35</v>
      </c>
      <c r="E532" s="11">
        <v>45084</v>
      </c>
      <c r="F532" s="10">
        <v>116</v>
      </c>
      <c r="G532" s="6">
        <v>3.8</v>
      </c>
      <c r="H532" s="6">
        <f>IF(MONTH(Data!$E532)&lt;=6, YEAR(Data!$E532), YEAR(Data!$E532)+1)</f>
        <v>2023</v>
      </c>
      <c r="I532" s="6" t="str">
        <f>TEXT(Data!$E532,"DDDD")</f>
        <v>Wednesday</v>
      </c>
      <c r="J532" s="6" t="s">
        <v>14</v>
      </c>
      <c r="K532" s="6">
        <f>ROUND(Data!$G532,0)</f>
        <v>4</v>
      </c>
      <c r="L532" t="str" cm="1">
        <f t="array" ref="L532">_xlfn.IFS(C532&lt;=15,"Very Short",C532&lt;=30,"Short",C532&lt;=60,"Medium",C532&gt;60,"Long")</f>
        <v>Long</v>
      </c>
      <c r="M532" t="str" cm="1">
        <f t="array" ref="M532">_xlfn.IFS(F532&lt;=50,"Low",F532&lt;=100,"Medium",F532&lt;=150,"High",F532&gt;150,"Very High")</f>
        <v>High</v>
      </c>
    </row>
    <row r="533" spans="1:13" ht="14.25" customHeight="1" x14ac:dyDescent="0.4">
      <c r="A533" s="6" t="s">
        <v>567</v>
      </c>
      <c r="B533" s="6" t="s">
        <v>16</v>
      </c>
      <c r="C533" s="6">
        <v>101</v>
      </c>
      <c r="D533" s="7" t="s">
        <v>24</v>
      </c>
      <c r="E533" s="11">
        <v>45085</v>
      </c>
      <c r="F533" s="10">
        <v>132</v>
      </c>
      <c r="G533" s="6">
        <v>4.3</v>
      </c>
      <c r="H533" s="6">
        <f>IF(MONTH(Data!$E533)&lt;=6, YEAR(Data!$E533), YEAR(Data!$E533)+1)</f>
        <v>2023</v>
      </c>
      <c r="I533" s="6" t="str">
        <f>TEXT(Data!$E533,"DDDD")</f>
        <v>Thursday</v>
      </c>
      <c r="J533" s="6" t="s">
        <v>14</v>
      </c>
      <c r="K533" s="6">
        <f>ROUND(Data!$G533,0)</f>
        <v>4</v>
      </c>
      <c r="L533" t="str" cm="1">
        <f t="array" ref="L533">_xlfn.IFS(C533&lt;=15,"Very Short",C533&lt;=30,"Short",C533&lt;=60,"Medium",C533&gt;60,"Long")</f>
        <v>Long</v>
      </c>
      <c r="M533" t="str" cm="1">
        <f t="array" ref="M533">_xlfn.IFS(F533&lt;=50,"Low",F533&lt;=100,"Medium",F533&lt;=150,"High",F533&gt;150,"Very High")</f>
        <v>High</v>
      </c>
    </row>
    <row r="534" spans="1:13" ht="14.25" customHeight="1" x14ac:dyDescent="0.4">
      <c r="A534" s="6" t="s">
        <v>568</v>
      </c>
      <c r="B534" s="6" t="s">
        <v>50</v>
      </c>
      <c r="C534" s="6">
        <v>59</v>
      </c>
      <c r="D534" s="7" t="s">
        <v>35</v>
      </c>
      <c r="E534" s="11">
        <v>45086</v>
      </c>
      <c r="F534" s="10">
        <v>90</v>
      </c>
      <c r="G534" s="6">
        <v>3.5</v>
      </c>
      <c r="H534" s="6">
        <f>IF(MONTH(Data!$E534)&lt;=6, YEAR(Data!$E534), YEAR(Data!$E534)+1)</f>
        <v>2023</v>
      </c>
      <c r="I534" s="6" t="str">
        <f>TEXT(Data!$E534,"DDDD")</f>
        <v>Friday</v>
      </c>
      <c r="J534" s="6" t="s">
        <v>27</v>
      </c>
      <c r="K534" s="6">
        <f>ROUND(Data!$G534,0)</f>
        <v>4</v>
      </c>
      <c r="L534" t="str" cm="1">
        <f t="array" ref="L534">_xlfn.IFS(C534&lt;=15,"Very Short",C534&lt;=30,"Short",C534&lt;=60,"Medium",C534&gt;60,"Long")</f>
        <v>Medium</v>
      </c>
      <c r="M534" t="str" cm="1">
        <f t="array" ref="M534">_xlfn.IFS(F534&lt;=50,"Low",F534&lt;=100,"Medium",F534&lt;=150,"High",F534&gt;150,"Very High")</f>
        <v>Medium</v>
      </c>
    </row>
    <row r="535" spans="1:13" ht="14.25" customHeight="1" x14ac:dyDescent="0.4">
      <c r="A535" s="6" t="s">
        <v>569</v>
      </c>
      <c r="B535" s="6" t="s">
        <v>38</v>
      </c>
      <c r="C535" s="6">
        <v>125</v>
      </c>
      <c r="D535" s="7" t="s">
        <v>13</v>
      </c>
      <c r="E535" s="11">
        <v>45086</v>
      </c>
      <c r="F535" s="10">
        <v>87</v>
      </c>
      <c r="G535" s="6">
        <v>4.0999999999999996</v>
      </c>
      <c r="H535" s="6">
        <f>IF(MONTH(Data!$E535)&lt;=6, YEAR(Data!$E535), YEAR(Data!$E535)+1)</f>
        <v>2023</v>
      </c>
      <c r="I535" s="6" t="str">
        <f>TEXT(Data!$E535,"DDDD")</f>
        <v>Friday</v>
      </c>
      <c r="J535" s="6" t="s">
        <v>25</v>
      </c>
      <c r="K535" s="6">
        <f>ROUND(Data!$G535,0)</f>
        <v>4</v>
      </c>
      <c r="L535" t="str" cm="1">
        <f t="array" ref="L535">_xlfn.IFS(C535&lt;=15,"Very Short",C535&lt;=30,"Short",C535&lt;=60,"Medium",C535&gt;60,"Long")</f>
        <v>Long</v>
      </c>
      <c r="M535" t="str" cm="1">
        <f t="array" ref="M535">_xlfn.IFS(F535&lt;=50,"Low",F535&lt;=100,"Medium",F535&lt;=150,"High",F535&gt;150,"Very High")</f>
        <v>Medium</v>
      </c>
    </row>
    <row r="536" spans="1:13" ht="14.25" customHeight="1" x14ac:dyDescent="0.4">
      <c r="A536" s="6" t="s">
        <v>570</v>
      </c>
      <c r="B536" s="6" t="s">
        <v>34</v>
      </c>
      <c r="C536" s="6">
        <v>147</v>
      </c>
      <c r="D536" s="7" t="s">
        <v>35</v>
      </c>
      <c r="E536" s="11">
        <v>45086</v>
      </c>
      <c r="F536" s="10">
        <v>140</v>
      </c>
      <c r="G536" s="6">
        <v>4.2</v>
      </c>
      <c r="H536" s="6">
        <f>IF(MONTH(Data!$E536)&lt;=6, YEAR(Data!$E536), YEAR(Data!$E536)+1)</f>
        <v>2023</v>
      </c>
      <c r="I536" s="6" t="str">
        <f>TEXT(Data!$E536,"DDDD")</f>
        <v>Friday</v>
      </c>
      <c r="J536" s="6" t="s">
        <v>25</v>
      </c>
      <c r="K536" s="6">
        <f>ROUND(Data!$G536,0)</f>
        <v>4</v>
      </c>
      <c r="L536" t="str" cm="1">
        <f t="array" ref="L536">_xlfn.IFS(C536&lt;=15,"Very Short",C536&lt;=30,"Short",C536&lt;=60,"Medium",C536&gt;60,"Long")</f>
        <v>Long</v>
      </c>
      <c r="M536" t="str" cm="1">
        <f t="array" ref="M536">_xlfn.IFS(F536&lt;=50,"Low",F536&lt;=100,"Medium",F536&lt;=150,"High",F536&gt;150,"Very High")</f>
        <v>High</v>
      </c>
    </row>
    <row r="537" spans="1:13" ht="14.25" customHeight="1" x14ac:dyDescent="0.4">
      <c r="A537" s="6" t="s">
        <v>571</v>
      </c>
      <c r="B537" s="6" t="s">
        <v>40</v>
      </c>
      <c r="C537" s="6">
        <v>76</v>
      </c>
      <c r="D537" s="7" t="s">
        <v>35</v>
      </c>
      <c r="E537" s="11">
        <v>45086</v>
      </c>
      <c r="F537" s="10">
        <v>164</v>
      </c>
      <c r="G537" s="6">
        <v>4.5</v>
      </c>
      <c r="H537" s="6">
        <f>IF(MONTH(Data!$E537)&lt;=6, YEAR(Data!$E537), YEAR(Data!$E537)+1)</f>
        <v>2023</v>
      </c>
      <c r="I537" s="6" t="str">
        <f>TEXT(Data!$E537,"DDDD")</f>
        <v>Friday</v>
      </c>
      <c r="J537" s="6" t="s">
        <v>14</v>
      </c>
      <c r="K537" s="6">
        <f>ROUND(Data!$G537,0)</f>
        <v>5</v>
      </c>
      <c r="L537" t="str" cm="1">
        <f t="array" ref="L537">_xlfn.IFS(C537&lt;=15,"Very Short",C537&lt;=30,"Short",C537&lt;=60,"Medium",C537&gt;60,"Long")</f>
        <v>Long</v>
      </c>
      <c r="M537" t="str" cm="1">
        <f t="array" ref="M537">_xlfn.IFS(F537&lt;=50,"Low",F537&lt;=100,"Medium",F537&lt;=150,"High",F537&gt;150,"Very High")</f>
        <v>Very High</v>
      </c>
    </row>
    <row r="538" spans="1:13" ht="14.25" customHeight="1" x14ac:dyDescent="0.4">
      <c r="A538" s="6" t="s">
        <v>572</v>
      </c>
      <c r="B538" s="6" t="s">
        <v>29</v>
      </c>
      <c r="C538" s="6">
        <v>99</v>
      </c>
      <c r="D538" s="7" t="s">
        <v>24</v>
      </c>
      <c r="E538" s="11">
        <v>45087</v>
      </c>
      <c r="F538" s="10">
        <v>180</v>
      </c>
      <c r="G538" s="6">
        <v>3.8</v>
      </c>
      <c r="H538" s="6">
        <f>IF(MONTH(Data!$E538)&lt;=6, YEAR(Data!$E538), YEAR(Data!$E538)+1)</f>
        <v>2023</v>
      </c>
      <c r="I538" s="6" t="str">
        <f>TEXT(Data!$E538,"DDDD")</f>
        <v>Saturday</v>
      </c>
      <c r="J538" s="6" t="s">
        <v>14</v>
      </c>
      <c r="K538" s="6">
        <f>ROUND(Data!$G538,0)</f>
        <v>4</v>
      </c>
      <c r="L538" t="str" cm="1">
        <f t="array" ref="L538">_xlfn.IFS(C538&lt;=15,"Very Short",C538&lt;=30,"Short",C538&lt;=60,"Medium",C538&gt;60,"Long")</f>
        <v>Long</v>
      </c>
      <c r="M538" t="str" cm="1">
        <f t="array" ref="M538">_xlfn.IFS(F538&lt;=50,"Low",F538&lt;=100,"Medium",F538&lt;=150,"High",F538&gt;150,"Very High")</f>
        <v>Very High</v>
      </c>
    </row>
    <row r="539" spans="1:13" ht="14.25" customHeight="1" x14ac:dyDescent="0.4">
      <c r="A539" s="6" t="s">
        <v>573</v>
      </c>
      <c r="B539" s="6" t="s">
        <v>88</v>
      </c>
      <c r="C539" s="6">
        <v>111</v>
      </c>
      <c r="D539" s="7" t="s">
        <v>31</v>
      </c>
      <c r="E539" s="11">
        <v>45088</v>
      </c>
      <c r="F539" s="10">
        <v>22</v>
      </c>
      <c r="G539" s="6">
        <v>4.0999999999999996</v>
      </c>
      <c r="H539" s="6">
        <f>IF(MONTH(Data!$E539)&lt;=6, YEAR(Data!$E539), YEAR(Data!$E539)+1)</f>
        <v>2023</v>
      </c>
      <c r="I539" s="6" t="str">
        <f>TEXT(Data!$E539,"DDDD")</f>
        <v>Sunday</v>
      </c>
      <c r="J539" s="6" t="s">
        <v>14</v>
      </c>
      <c r="K539" s="6">
        <f>ROUND(Data!$G539,0)</f>
        <v>4</v>
      </c>
      <c r="L539" t="str" cm="1">
        <f t="array" ref="L539">_xlfn.IFS(C539&lt;=15,"Very Short",C539&lt;=30,"Short",C539&lt;=60,"Medium",C539&gt;60,"Long")</f>
        <v>Long</v>
      </c>
      <c r="M539" t="str" cm="1">
        <f t="array" ref="M539">_xlfn.IFS(F539&lt;=50,"Low",F539&lt;=100,"Medium",F539&lt;=150,"High",F539&gt;150,"Very High")</f>
        <v>Low</v>
      </c>
    </row>
    <row r="540" spans="1:13" ht="14.25" customHeight="1" x14ac:dyDescent="0.4">
      <c r="A540" s="6" t="s">
        <v>574</v>
      </c>
      <c r="B540" s="6" t="s">
        <v>23</v>
      </c>
      <c r="C540" s="6">
        <v>147</v>
      </c>
      <c r="D540" s="7" t="s">
        <v>13</v>
      </c>
      <c r="E540" s="11">
        <v>45088</v>
      </c>
      <c r="F540" s="10">
        <v>82</v>
      </c>
      <c r="G540" s="6">
        <v>4.4000000000000004</v>
      </c>
      <c r="H540" s="6">
        <f>IF(MONTH(Data!$E540)&lt;=6, YEAR(Data!$E540), YEAR(Data!$E540)+1)</f>
        <v>2023</v>
      </c>
      <c r="I540" s="6" t="str">
        <f>TEXT(Data!$E540,"DDDD")</f>
        <v>Sunday</v>
      </c>
      <c r="J540" s="6" t="s">
        <v>25</v>
      </c>
      <c r="K540" s="6">
        <f>ROUND(Data!$G540,0)</f>
        <v>4</v>
      </c>
      <c r="L540" t="str" cm="1">
        <f t="array" ref="L540">_xlfn.IFS(C540&lt;=15,"Very Short",C540&lt;=30,"Short",C540&lt;=60,"Medium",C540&gt;60,"Long")</f>
        <v>Long</v>
      </c>
      <c r="M540" t="str" cm="1">
        <f t="array" ref="M540">_xlfn.IFS(F540&lt;=50,"Low",F540&lt;=100,"Medium",F540&lt;=150,"High",F540&gt;150,"Very High")</f>
        <v>Medium</v>
      </c>
    </row>
    <row r="541" spans="1:13" ht="14.25" customHeight="1" x14ac:dyDescent="0.4">
      <c r="A541" s="6" t="s">
        <v>575</v>
      </c>
      <c r="B541" s="6" t="s">
        <v>12</v>
      </c>
      <c r="C541" s="6">
        <v>141</v>
      </c>
      <c r="D541" s="7" t="s">
        <v>24</v>
      </c>
      <c r="E541" s="11">
        <v>45088</v>
      </c>
      <c r="F541" s="10">
        <v>100</v>
      </c>
      <c r="G541" s="6">
        <v>4.5999999999999996</v>
      </c>
      <c r="H541" s="6">
        <f>IF(MONTH(Data!$E541)&lt;=6, YEAR(Data!$E541), YEAR(Data!$E541)+1)</f>
        <v>2023</v>
      </c>
      <c r="I541" s="6" t="str">
        <f>TEXT(Data!$E541,"DDDD")</f>
        <v>Sunday</v>
      </c>
      <c r="J541" s="6" t="s">
        <v>25</v>
      </c>
      <c r="K541" s="6">
        <f>ROUND(Data!$G541,0)</f>
        <v>5</v>
      </c>
      <c r="L541" t="str" cm="1">
        <f t="array" ref="L541">_xlfn.IFS(C541&lt;=15,"Very Short",C541&lt;=30,"Short",C541&lt;=60,"Medium",C541&gt;60,"Long")</f>
        <v>Long</v>
      </c>
      <c r="M541" t="str" cm="1">
        <f t="array" ref="M541">_xlfn.IFS(F541&lt;=50,"Low",F541&lt;=100,"Medium",F541&lt;=150,"High",F541&gt;150,"Very High")</f>
        <v>Medium</v>
      </c>
    </row>
    <row r="542" spans="1:13" ht="14.25" customHeight="1" x14ac:dyDescent="0.4">
      <c r="A542" s="6" t="s">
        <v>576</v>
      </c>
      <c r="B542" s="6" t="s">
        <v>40</v>
      </c>
      <c r="C542" s="6">
        <v>71</v>
      </c>
      <c r="D542" s="7" t="s">
        <v>35</v>
      </c>
      <c r="E542" s="11">
        <v>45089</v>
      </c>
      <c r="F542" s="10">
        <v>52</v>
      </c>
      <c r="G542" s="6">
        <v>3.4</v>
      </c>
      <c r="H542" s="6">
        <f>IF(MONTH(Data!$E542)&lt;=6, YEAR(Data!$E542), YEAR(Data!$E542)+1)</f>
        <v>2023</v>
      </c>
      <c r="I542" s="6" t="str">
        <f>TEXT(Data!$E542,"DDDD")</f>
        <v>Monday</v>
      </c>
      <c r="J542" s="6" t="s">
        <v>14</v>
      </c>
      <c r="K542" s="6">
        <f>ROUND(Data!$G542,0)</f>
        <v>3</v>
      </c>
      <c r="L542" t="str" cm="1">
        <f t="array" ref="L542">_xlfn.IFS(C542&lt;=15,"Very Short",C542&lt;=30,"Short",C542&lt;=60,"Medium",C542&gt;60,"Long")</f>
        <v>Long</v>
      </c>
      <c r="M542" t="str" cm="1">
        <f t="array" ref="M542">_xlfn.IFS(F542&lt;=50,"Low",F542&lt;=100,"Medium",F542&lt;=150,"High",F542&gt;150,"Very High")</f>
        <v>Medium</v>
      </c>
    </row>
    <row r="543" spans="1:13" ht="14.25" customHeight="1" x14ac:dyDescent="0.4">
      <c r="A543" s="6" t="s">
        <v>577</v>
      </c>
      <c r="B543" s="6" t="s">
        <v>40</v>
      </c>
      <c r="C543" s="6">
        <v>121</v>
      </c>
      <c r="D543" s="7" t="s">
        <v>13</v>
      </c>
      <c r="E543" s="11">
        <v>45090</v>
      </c>
      <c r="F543" s="10">
        <v>84</v>
      </c>
      <c r="G543" s="6">
        <v>4.5999999999999996</v>
      </c>
      <c r="H543" s="6">
        <f>IF(MONTH(Data!$E543)&lt;=6, YEAR(Data!$E543), YEAR(Data!$E543)+1)</f>
        <v>2023</v>
      </c>
      <c r="I543" s="6" t="str">
        <f>TEXT(Data!$E543,"DDDD")</f>
        <v>Tuesday</v>
      </c>
      <c r="J543" s="6" t="s">
        <v>25</v>
      </c>
      <c r="K543" s="6">
        <f>ROUND(Data!$G543,0)</f>
        <v>5</v>
      </c>
      <c r="L543" t="str" cm="1">
        <f t="array" ref="L543">_xlfn.IFS(C543&lt;=15,"Very Short",C543&lt;=30,"Short",C543&lt;=60,"Medium",C543&gt;60,"Long")</f>
        <v>Long</v>
      </c>
      <c r="M543" t="str" cm="1">
        <f t="array" ref="M543">_xlfn.IFS(F543&lt;=50,"Low",F543&lt;=100,"Medium",F543&lt;=150,"High",F543&gt;150,"Very High")</f>
        <v>Medium</v>
      </c>
    </row>
    <row r="544" spans="1:13" ht="14.25" customHeight="1" x14ac:dyDescent="0.4">
      <c r="A544" s="6" t="s">
        <v>578</v>
      </c>
      <c r="B544" s="6" t="s">
        <v>40</v>
      </c>
      <c r="C544" s="6">
        <v>60</v>
      </c>
      <c r="D544" s="7" t="s">
        <v>13</v>
      </c>
      <c r="E544" s="11">
        <v>45090</v>
      </c>
      <c r="F544" s="10">
        <v>37</v>
      </c>
      <c r="G544" s="6">
        <v>3.9</v>
      </c>
      <c r="H544" s="6">
        <f>IF(MONTH(Data!$E544)&lt;=6, YEAR(Data!$E544), YEAR(Data!$E544)+1)</f>
        <v>2023</v>
      </c>
      <c r="I544" s="6" t="str">
        <f>TEXT(Data!$E544,"DDDD")</f>
        <v>Tuesday</v>
      </c>
      <c r="J544" s="6" t="s">
        <v>27</v>
      </c>
      <c r="K544" s="6">
        <f>ROUND(Data!$G544,0)</f>
        <v>4</v>
      </c>
      <c r="L544" t="str" cm="1">
        <f t="array" ref="L544">_xlfn.IFS(C544&lt;=15,"Very Short",C544&lt;=30,"Short",C544&lt;=60,"Medium",C544&gt;60,"Long")</f>
        <v>Medium</v>
      </c>
      <c r="M544" t="str" cm="1">
        <f t="array" ref="M544">_xlfn.IFS(F544&lt;=50,"Low",F544&lt;=100,"Medium",F544&lt;=150,"High",F544&gt;150,"Very High")</f>
        <v>Low</v>
      </c>
    </row>
    <row r="545" spans="1:13" ht="14.25" customHeight="1" x14ac:dyDescent="0.4">
      <c r="A545" s="6" t="s">
        <v>579</v>
      </c>
      <c r="B545" s="6" t="s">
        <v>55</v>
      </c>
      <c r="C545" s="6">
        <v>158</v>
      </c>
      <c r="D545" s="7" t="s">
        <v>24</v>
      </c>
      <c r="E545" s="11">
        <v>45091</v>
      </c>
      <c r="F545" s="10">
        <v>190</v>
      </c>
      <c r="G545" s="6">
        <v>4</v>
      </c>
      <c r="H545" s="6">
        <f>IF(MONTH(Data!$E545)&lt;=6, YEAR(Data!$E545), YEAR(Data!$E545)+1)</f>
        <v>2023</v>
      </c>
      <c r="I545" s="6" t="str">
        <f>TEXT(Data!$E545,"DDDD")</f>
        <v>Wednesday</v>
      </c>
      <c r="J545" s="6" t="s">
        <v>25</v>
      </c>
      <c r="K545" s="6">
        <f>ROUND(Data!$G545,0)</f>
        <v>4</v>
      </c>
      <c r="L545" t="str" cm="1">
        <f t="array" ref="L545">_xlfn.IFS(C545&lt;=15,"Very Short",C545&lt;=30,"Short",C545&lt;=60,"Medium",C545&gt;60,"Long")</f>
        <v>Long</v>
      </c>
      <c r="M545" t="str" cm="1">
        <f t="array" ref="M545">_xlfn.IFS(F545&lt;=50,"Low",F545&lt;=100,"Medium",F545&lt;=150,"High",F545&gt;150,"Very High")</f>
        <v>Very High</v>
      </c>
    </row>
    <row r="546" spans="1:13" ht="14.25" customHeight="1" x14ac:dyDescent="0.4">
      <c r="A546" s="6" t="s">
        <v>580</v>
      </c>
      <c r="B546" s="6" t="s">
        <v>34</v>
      </c>
      <c r="C546" s="6">
        <v>159</v>
      </c>
      <c r="D546" s="7" t="s">
        <v>19</v>
      </c>
      <c r="E546" s="11">
        <v>45091</v>
      </c>
      <c r="F546" s="10">
        <v>66</v>
      </c>
      <c r="G546" s="6">
        <v>3.4</v>
      </c>
      <c r="H546" s="6">
        <f>IF(MONTH(Data!$E546)&lt;=6, YEAR(Data!$E546), YEAR(Data!$E546)+1)</f>
        <v>2023</v>
      </c>
      <c r="I546" s="6" t="str">
        <f>TEXT(Data!$E546,"DDDD")</f>
        <v>Wednesday</v>
      </c>
      <c r="J546" s="6" t="s">
        <v>25</v>
      </c>
      <c r="K546" s="6">
        <f>ROUND(Data!$G546,0)</f>
        <v>3</v>
      </c>
      <c r="L546" t="str" cm="1">
        <f t="array" ref="L546">_xlfn.IFS(C546&lt;=15,"Very Short",C546&lt;=30,"Short",C546&lt;=60,"Medium",C546&gt;60,"Long")</f>
        <v>Long</v>
      </c>
      <c r="M546" t="str" cm="1">
        <f t="array" ref="M546">_xlfn.IFS(F546&lt;=50,"Low",F546&lt;=100,"Medium",F546&lt;=150,"High",F546&gt;150,"Very High")</f>
        <v>Medium</v>
      </c>
    </row>
    <row r="547" spans="1:13" ht="14.25" customHeight="1" x14ac:dyDescent="0.4">
      <c r="A547" s="6" t="s">
        <v>581</v>
      </c>
      <c r="B547" s="6" t="s">
        <v>16</v>
      </c>
      <c r="C547" s="6">
        <v>70</v>
      </c>
      <c r="D547" s="7" t="s">
        <v>35</v>
      </c>
      <c r="E547" s="11">
        <v>45092</v>
      </c>
      <c r="F547" s="10">
        <v>116</v>
      </c>
      <c r="G547" s="6">
        <v>3.2</v>
      </c>
      <c r="H547" s="6">
        <f>IF(MONTH(Data!$E547)&lt;=6, YEAR(Data!$E547), YEAR(Data!$E547)+1)</f>
        <v>2023</v>
      </c>
      <c r="I547" s="6" t="str">
        <f>TEXT(Data!$E547,"DDDD")</f>
        <v>Thursday</v>
      </c>
      <c r="J547" s="6" t="s">
        <v>14</v>
      </c>
      <c r="K547" s="6">
        <f>ROUND(Data!$G547,0)</f>
        <v>3</v>
      </c>
      <c r="L547" t="str" cm="1">
        <f t="array" ref="L547">_xlfn.IFS(C547&lt;=15,"Very Short",C547&lt;=30,"Short",C547&lt;=60,"Medium",C547&gt;60,"Long")</f>
        <v>Long</v>
      </c>
      <c r="M547" t="str" cm="1">
        <f t="array" ref="M547">_xlfn.IFS(F547&lt;=50,"Low",F547&lt;=100,"Medium",F547&lt;=150,"High",F547&gt;150,"Very High")</f>
        <v>High</v>
      </c>
    </row>
    <row r="548" spans="1:13" ht="14.25" customHeight="1" x14ac:dyDescent="0.4">
      <c r="A548" s="6" t="s">
        <v>582</v>
      </c>
      <c r="B548" s="6" t="s">
        <v>58</v>
      </c>
      <c r="C548" s="6">
        <v>78</v>
      </c>
      <c r="D548" s="7" t="s">
        <v>31</v>
      </c>
      <c r="E548" s="11">
        <v>45092</v>
      </c>
      <c r="F548" s="10">
        <v>28</v>
      </c>
      <c r="G548" s="6">
        <v>3.9</v>
      </c>
      <c r="H548" s="6">
        <f>IF(MONTH(Data!$E548)&lt;=6, YEAR(Data!$E548), YEAR(Data!$E548)+1)</f>
        <v>2023</v>
      </c>
      <c r="I548" s="6" t="str">
        <f>TEXT(Data!$E548,"DDDD")</f>
        <v>Thursday</v>
      </c>
      <c r="J548" s="6" t="s">
        <v>14</v>
      </c>
      <c r="K548" s="6">
        <f>ROUND(Data!$G548,0)</f>
        <v>4</v>
      </c>
      <c r="L548" t="str" cm="1">
        <f t="array" ref="L548">_xlfn.IFS(C548&lt;=15,"Very Short",C548&lt;=30,"Short",C548&lt;=60,"Medium",C548&gt;60,"Long")</f>
        <v>Long</v>
      </c>
      <c r="M548" t="str" cm="1">
        <f t="array" ref="M548">_xlfn.IFS(F548&lt;=50,"Low",F548&lt;=100,"Medium",F548&lt;=150,"High",F548&gt;150,"Very High")</f>
        <v>Low</v>
      </c>
    </row>
    <row r="549" spans="1:13" ht="14.25" customHeight="1" x14ac:dyDescent="0.4">
      <c r="A549" s="6" t="s">
        <v>583</v>
      </c>
      <c r="B549" s="6" t="s">
        <v>23</v>
      </c>
      <c r="C549" s="6">
        <v>103</v>
      </c>
      <c r="D549" s="7" t="s">
        <v>35</v>
      </c>
      <c r="E549" s="11">
        <v>45092</v>
      </c>
      <c r="F549" s="10">
        <v>120</v>
      </c>
      <c r="G549" s="6">
        <v>5</v>
      </c>
      <c r="H549" s="6">
        <f>IF(MONTH(Data!$E549)&lt;=6, YEAR(Data!$E549), YEAR(Data!$E549)+1)</f>
        <v>2023</v>
      </c>
      <c r="I549" s="6" t="str">
        <f>TEXT(Data!$E549,"DDDD")</f>
        <v>Thursday</v>
      </c>
      <c r="J549" s="6" t="s">
        <v>14</v>
      </c>
      <c r="K549" s="6">
        <f>ROUND(Data!$G549,0)</f>
        <v>5</v>
      </c>
      <c r="L549" t="str" cm="1">
        <f t="array" ref="L549">_xlfn.IFS(C549&lt;=15,"Very Short",C549&lt;=30,"Short",C549&lt;=60,"Medium",C549&gt;60,"Long")</f>
        <v>Long</v>
      </c>
      <c r="M549" t="str" cm="1">
        <f t="array" ref="M549">_xlfn.IFS(F549&lt;=50,"Low",F549&lt;=100,"Medium",F549&lt;=150,"High",F549&gt;150,"Very High")</f>
        <v>High</v>
      </c>
    </row>
    <row r="550" spans="1:13" ht="14.25" customHeight="1" x14ac:dyDescent="0.4">
      <c r="A550" s="6" t="s">
        <v>584</v>
      </c>
      <c r="B550" s="6" t="s">
        <v>18</v>
      </c>
      <c r="C550" s="6">
        <v>108</v>
      </c>
      <c r="D550" s="7" t="s">
        <v>24</v>
      </c>
      <c r="E550" s="11">
        <v>45092</v>
      </c>
      <c r="F550" s="10">
        <v>56</v>
      </c>
      <c r="G550" s="6">
        <v>3.5</v>
      </c>
      <c r="H550" s="6">
        <f>IF(MONTH(Data!$E550)&lt;=6, YEAR(Data!$E550), YEAR(Data!$E550)+1)</f>
        <v>2023</v>
      </c>
      <c r="I550" s="6" t="str">
        <f>TEXT(Data!$E550,"DDDD")</f>
        <v>Thursday</v>
      </c>
      <c r="J550" s="6" t="s">
        <v>14</v>
      </c>
      <c r="K550" s="6">
        <f>ROUND(Data!$G550,0)</f>
        <v>4</v>
      </c>
      <c r="L550" t="str" cm="1">
        <f t="array" ref="L550">_xlfn.IFS(C550&lt;=15,"Very Short",C550&lt;=30,"Short",C550&lt;=60,"Medium",C550&gt;60,"Long")</f>
        <v>Long</v>
      </c>
      <c r="M550" t="str" cm="1">
        <f t="array" ref="M550">_xlfn.IFS(F550&lt;=50,"Low",F550&lt;=100,"Medium",F550&lt;=150,"High",F550&gt;150,"Very High")</f>
        <v>Medium</v>
      </c>
    </row>
    <row r="551" spans="1:13" ht="14.25" customHeight="1" x14ac:dyDescent="0.4">
      <c r="A551" s="6" t="s">
        <v>585</v>
      </c>
      <c r="B551" s="6" t="s">
        <v>18</v>
      </c>
      <c r="C551" s="6">
        <v>44</v>
      </c>
      <c r="D551" s="7" t="s">
        <v>13</v>
      </c>
      <c r="E551" s="11">
        <v>45092</v>
      </c>
      <c r="F551" s="10">
        <v>170</v>
      </c>
      <c r="G551" s="6">
        <v>3.8</v>
      </c>
      <c r="H551" s="6">
        <f>IF(MONTH(Data!$E551)&lt;=6, YEAR(Data!$E551), YEAR(Data!$E551)+1)</f>
        <v>2023</v>
      </c>
      <c r="I551" s="6" t="str">
        <f>TEXT(Data!$E551,"DDDD")</f>
        <v>Thursday</v>
      </c>
      <c r="J551" s="6" t="s">
        <v>27</v>
      </c>
      <c r="K551" s="6">
        <f>ROUND(Data!$G551,0)</f>
        <v>4</v>
      </c>
      <c r="L551" t="str" cm="1">
        <f t="array" ref="L551">_xlfn.IFS(C551&lt;=15,"Very Short",C551&lt;=30,"Short",C551&lt;=60,"Medium",C551&gt;60,"Long")</f>
        <v>Medium</v>
      </c>
      <c r="M551" t="str" cm="1">
        <f t="array" ref="M551">_xlfn.IFS(F551&lt;=50,"Low",F551&lt;=100,"Medium",F551&lt;=150,"High",F551&gt;150,"Very High")</f>
        <v>Very High</v>
      </c>
    </row>
    <row r="552" spans="1:13" ht="14.25" customHeight="1" x14ac:dyDescent="0.4">
      <c r="A552" s="6" t="s">
        <v>586</v>
      </c>
      <c r="B552" s="6" t="s">
        <v>58</v>
      </c>
      <c r="C552" s="6">
        <v>127</v>
      </c>
      <c r="D552" s="7" t="s">
        <v>24</v>
      </c>
      <c r="E552" s="11">
        <v>45093</v>
      </c>
      <c r="F552" s="10">
        <v>200</v>
      </c>
      <c r="G552" s="6">
        <v>4.8</v>
      </c>
      <c r="H552" s="6">
        <f>IF(MONTH(Data!$E552)&lt;=6, YEAR(Data!$E552), YEAR(Data!$E552)+1)</f>
        <v>2023</v>
      </c>
      <c r="I552" s="6" t="str">
        <f>TEXT(Data!$E552,"DDDD")</f>
        <v>Friday</v>
      </c>
      <c r="J552" s="6" t="s">
        <v>25</v>
      </c>
      <c r="K552" s="6">
        <f>ROUND(Data!$G552,0)</f>
        <v>5</v>
      </c>
      <c r="L552" t="str" cm="1">
        <f t="array" ref="L552">_xlfn.IFS(C552&lt;=15,"Very Short",C552&lt;=30,"Short",C552&lt;=60,"Medium",C552&gt;60,"Long")</f>
        <v>Long</v>
      </c>
      <c r="M552" t="str" cm="1">
        <f t="array" ref="M552">_xlfn.IFS(F552&lt;=50,"Low",F552&lt;=100,"Medium",F552&lt;=150,"High",F552&gt;150,"Very High")</f>
        <v>Very High</v>
      </c>
    </row>
    <row r="553" spans="1:13" ht="14.25" customHeight="1" x14ac:dyDescent="0.4">
      <c r="A553" s="6" t="s">
        <v>587</v>
      </c>
      <c r="B553" s="6" t="s">
        <v>23</v>
      </c>
      <c r="C553" s="6">
        <v>132</v>
      </c>
      <c r="D553" s="7" t="s">
        <v>35</v>
      </c>
      <c r="E553" s="11">
        <v>45094</v>
      </c>
      <c r="F553" s="10">
        <v>50</v>
      </c>
      <c r="G553" s="6">
        <v>4.2</v>
      </c>
      <c r="H553" s="6">
        <f>IF(MONTH(Data!$E553)&lt;=6, YEAR(Data!$E553), YEAR(Data!$E553)+1)</f>
        <v>2023</v>
      </c>
      <c r="I553" s="6" t="str">
        <f>TEXT(Data!$E553,"DDDD")</f>
        <v>Saturday</v>
      </c>
      <c r="J553" s="6" t="s">
        <v>25</v>
      </c>
      <c r="K553" s="6">
        <f>ROUND(Data!$G553,0)</f>
        <v>4</v>
      </c>
      <c r="L553" t="str" cm="1">
        <f t="array" ref="L553">_xlfn.IFS(C553&lt;=15,"Very Short",C553&lt;=30,"Short",C553&lt;=60,"Medium",C553&gt;60,"Long")</f>
        <v>Long</v>
      </c>
      <c r="M553" t="str" cm="1">
        <f t="array" ref="M553">_xlfn.IFS(F553&lt;=50,"Low",F553&lt;=100,"Medium",F553&lt;=150,"High",F553&gt;150,"Very High")</f>
        <v>Low</v>
      </c>
    </row>
    <row r="554" spans="1:13" ht="14.25" customHeight="1" x14ac:dyDescent="0.4">
      <c r="A554" s="6" t="s">
        <v>588</v>
      </c>
      <c r="B554" s="6" t="s">
        <v>12</v>
      </c>
      <c r="C554" s="6">
        <v>106</v>
      </c>
      <c r="D554" s="7" t="s">
        <v>31</v>
      </c>
      <c r="E554" s="11">
        <v>45094</v>
      </c>
      <c r="F554" s="10">
        <v>112</v>
      </c>
      <c r="G554" s="6">
        <v>3.7</v>
      </c>
      <c r="H554" s="6">
        <f>IF(MONTH(Data!$E554)&lt;=6, YEAR(Data!$E554), YEAR(Data!$E554)+1)</f>
        <v>2023</v>
      </c>
      <c r="I554" s="6" t="str">
        <f>TEXT(Data!$E554,"DDDD")</f>
        <v>Saturday</v>
      </c>
      <c r="J554" s="6" t="s">
        <v>14</v>
      </c>
      <c r="K554" s="6">
        <f>ROUND(Data!$G554,0)</f>
        <v>4</v>
      </c>
      <c r="L554" t="str" cm="1">
        <f t="array" ref="L554">_xlfn.IFS(C554&lt;=15,"Very Short",C554&lt;=30,"Short",C554&lt;=60,"Medium",C554&gt;60,"Long")</f>
        <v>Long</v>
      </c>
      <c r="M554" t="str" cm="1">
        <f t="array" ref="M554">_xlfn.IFS(F554&lt;=50,"Low",F554&lt;=100,"Medium",F554&lt;=150,"High",F554&gt;150,"Very High")</f>
        <v>High</v>
      </c>
    </row>
    <row r="555" spans="1:13" ht="14.25" customHeight="1" x14ac:dyDescent="0.4">
      <c r="A555" s="6" t="s">
        <v>589</v>
      </c>
      <c r="B555" s="6" t="s">
        <v>88</v>
      </c>
      <c r="C555" s="6">
        <v>107</v>
      </c>
      <c r="D555" s="7" t="s">
        <v>35</v>
      </c>
      <c r="E555" s="11">
        <v>45095</v>
      </c>
      <c r="F555" s="10">
        <v>39</v>
      </c>
      <c r="G555" s="6">
        <v>4.8</v>
      </c>
      <c r="H555" s="6">
        <f>IF(MONTH(Data!$E555)&lt;=6, YEAR(Data!$E555), YEAR(Data!$E555)+1)</f>
        <v>2023</v>
      </c>
      <c r="I555" s="6" t="str">
        <f>TEXT(Data!$E555,"DDDD")</f>
        <v>Sunday</v>
      </c>
      <c r="J555" s="6" t="s">
        <v>14</v>
      </c>
      <c r="K555" s="6">
        <f>ROUND(Data!$G555,0)</f>
        <v>5</v>
      </c>
      <c r="L555" t="str" cm="1">
        <f t="array" ref="L555">_xlfn.IFS(C555&lt;=15,"Very Short",C555&lt;=30,"Short",C555&lt;=60,"Medium",C555&gt;60,"Long")</f>
        <v>Long</v>
      </c>
      <c r="M555" t="str" cm="1">
        <f t="array" ref="M555">_xlfn.IFS(F555&lt;=50,"Low",F555&lt;=100,"Medium",F555&lt;=150,"High",F555&gt;150,"Very High")</f>
        <v>Low</v>
      </c>
    </row>
    <row r="556" spans="1:13" ht="14.25" customHeight="1" x14ac:dyDescent="0.4">
      <c r="A556" s="6" t="s">
        <v>590</v>
      </c>
      <c r="B556" s="6" t="s">
        <v>34</v>
      </c>
      <c r="C556" s="6">
        <v>85</v>
      </c>
      <c r="D556" s="7" t="s">
        <v>31</v>
      </c>
      <c r="E556" s="11">
        <v>45095</v>
      </c>
      <c r="F556" s="10">
        <v>38</v>
      </c>
      <c r="G556" s="6">
        <v>4.8</v>
      </c>
      <c r="H556" s="6">
        <f>IF(MONTH(Data!$E556)&lt;=6, YEAR(Data!$E556), YEAR(Data!$E556)+1)</f>
        <v>2023</v>
      </c>
      <c r="I556" s="6" t="str">
        <f>TEXT(Data!$E556,"DDDD")</f>
        <v>Sunday</v>
      </c>
      <c r="J556" s="6" t="s">
        <v>14</v>
      </c>
      <c r="K556" s="6">
        <f>ROUND(Data!$G556,0)</f>
        <v>5</v>
      </c>
      <c r="L556" t="str" cm="1">
        <f t="array" ref="L556">_xlfn.IFS(C556&lt;=15,"Very Short",C556&lt;=30,"Short",C556&lt;=60,"Medium",C556&gt;60,"Long")</f>
        <v>Long</v>
      </c>
      <c r="M556" t="str" cm="1">
        <f t="array" ref="M556">_xlfn.IFS(F556&lt;=50,"Low",F556&lt;=100,"Medium",F556&lt;=150,"High",F556&gt;150,"Very High")</f>
        <v>Low</v>
      </c>
    </row>
    <row r="557" spans="1:13" ht="14.25" customHeight="1" x14ac:dyDescent="0.4">
      <c r="A557" s="6" t="s">
        <v>591</v>
      </c>
      <c r="B557" s="6" t="s">
        <v>29</v>
      </c>
      <c r="C557" s="6">
        <v>49</v>
      </c>
      <c r="D557" s="7" t="s">
        <v>35</v>
      </c>
      <c r="E557" s="11">
        <v>45096</v>
      </c>
      <c r="F557" s="10">
        <v>84</v>
      </c>
      <c r="G557" s="6">
        <v>2.9</v>
      </c>
      <c r="H557" s="6">
        <f>IF(MONTH(Data!$E557)&lt;=6, YEAR(Data!$E557), YEAR(Data!$E557)+1)</f>
        <v>2023</v>
      </c>
      <c r="I557" s="6" t="str">
        <f>TEXT(Data!$E557,"DDDD")</f>
        <v>Monday</v>
      </c>
      <c r="J557" s="6" t="s">
        <v>27</v>
      </c>
      <c r="K557" s="6">
        <f>ROUND(Data!$G557,0)</f>
        <v>3</v>
      </c>
      <c r="L557" t="str" cm="1">
        <f t="array" ref="L557">_xlfn.IFS(C557&lt;=15,"Very Short",C557&lt;=30,"Short",C557&lt;=60,"Medium",C557&gt;60,"Long")</f>
        <v>Medium</v>
      </c>
      <c r="M557" t="str" cm="1">
        <f t="array" ref="M557">_xlfn.IFS(F557&lt;=50,"Low",F557&lt;=100,"Medium",F557&lt;=150,"High",F557&gt;150,"Very High")</f>
        <v>Medium</v>
      </c>
    </row>
    <row r="558" spans="1:13" ht="14.25" customHeight="1" x14ac:dyDescent="0.4">
      <c r="A558" s="6" t="s">
        <v>592</v>
      </c>
      <c r="B558" s="6" t="s">
        <v>40</v>
      </c>
      <c r="C558" s="6">
        <v>117</v>
      </c>
      <c r="D558" s="7" t="s">
        <v>24</v>
      </c>
      <c r="E558" s="11">
        <v>45097</v>
      </c>
      <c r="F558" s="10">
        <v>82</v>
      </c>
      <c r="G558" s="6">
        <v>3.5</v>
      </c>
      <c r="H558" s="6">
        <f>IF(MONTH(Data!$E558)&lt;=6, YEAR(Data!$E558), YEAR(Data!$E558)+1)</f>
        <v>2023</v>
      </c>
      <c r="I558" s="6" t="str">
        <f>TEXT(Data!$E558,"DDDD")</f>
        <v>Tuesday</v>
      </c>
      <c r="J558" s="6" t="s">
        <v>14</v>
      </c>
      <c r="K558" s="6">
        <f>ROUND(Data!$G558,0)</f>
        <v>4</v>
      </c>
      <c r="L558" t="str" cm="1">
        <f t="array" ref="L558">_xlfn.IFS(C558&lt;=15,"Very Short",C558&lt;=30,"Short",C558&lt;=60,"Medium",C558&gt;60,"Long")</f>
        <v>Long</v>
      </c>
      <c r="M558" t="str" cm="1">
        <f t="array" ref="M558">_xlfn.IFS(F558&lt;=50,"Low",F558&lt;=100,"Medium",F558&lt;=150,"High",F558&gt;150,"Very High")</f>
        <v>Medium</v>
      </c>
    </row>
    <row r="559" spans="1:13" ht="14.25" customHeight="1" x14ac:dyDescent="0.4">
      <c r="A559" s="6" t="s">
        <v>593</v>
      </c>
      <c r="B559" s="6" t="s">
        <v>88</v>
      </c>
      <c r="C559" s="6">
        <v>136</v>
      </c>
      <c r="D559" s="7" t="s">
        <v>31</v>
      </c>
      <c r="E559" s="11">
        <v>45097</v>
      </c>
      <c r="F559" s="10">
        <v>37</v>
      </c>
      <c r="G559" s="6">
        <v>0.9</v>
      </c>
      <c r="H559" s="6">
        <f>IF(MONTH(Data!$E559)&lt;=6, YEAR(Data!$E559), YEAR(Data!$E559)+1)</f>
        <v>2023</v>
      </c>
      <c r="I559" s="6" t="str">
        <f>TEXT(Data!$E559,"DDDD")</f>
        <v>Tuesday</v>
      </c>
      <c r="J559" s="6" t="s">
        <v>25</v>
      </c>
      <c r="K559" s="6">
        <f>ROUND(Data!$G559,0)</f>
        <v>1</v>
      </c>
      <c r="L559" t="str" cm="1">
        <f t="array" ref="L559">_xlfn.IFS(C559&lt;=15,"Very Short",C559&lt;=30,"Short",C559&lt;=60,"Medium",C559&gt;60,"Long")</f>
        <v>Long</v>
      </c>
      <c r="M559" t="str" cm="1">
        <f t="array" ref="M559">_xlfn.IFS(F559&lt;=50,"Low",F559&lt;=100,"Medium",F559&lt;=150,"High",F559&gt;150,"Very High")</f>
        <v>Low</v>
      </c>
    </row>
    <row r="560" spans="1:13" ht="14.25" customHeight="1" x14ac:dyDescent="0.4">
      <c r="A560" s="6" t="s">
        <v>594</v>
      </c>
      <c r="B560" s="6" t="s">
        <v>18</v>
      </c>
      <c r="C560" s="6">
        <v>130</v>
      </c>
      <c r="D560" s="7" t="s">
        <v>19</v>
      </c>
      <c r="E560" s="11">
        <v>45098</v>
      </c>
      <c r="F560" s="10">
        <v>87</v>
      </c>
      <c r="G560" s="6">
        <v>3.4</v>
      </c>
      <c r="H560" s="6">
        <f>IF(MONTH(Data!$E560)&lt;=6, YEAR(Data!$E560), YEAR(Data!$E560)+1)</f>
        <v>2023</v>
      </c>
      <c r="I560" s="6" t="str">
        <f>TEXT(Data!$E560,"DDDD")</f>
        <v>Wednesday</v>
      </c>
      <c r="J560" s="6" t="s">
        <v>25</v>
      </c>
      <c r="K560" s="6">
        <f>ROUND(Data!$G560,0)</f>
        <v>3</v>
      </c>
      <c r="L560" t="str" cm="1">
        <f t="array" ref="L560">_xlfn.IFS(C560&lt;=15,"Very Short",C560&lt;=30,"Short",C560&lt;=60,"Medium",C560&gt;60,"Long")</f>
        <v>Long</v>
      </c>
      <c r="M560" t="str" cm="1">
        <f t="array" ref="M560">_xlfn.IFS(F560&lt;=50,"Low",F560&lt;=100,"Medium",F560&lt;=150,"High",F560&gt;150,"Very High")</f>
        <v>Medium</v>
      </c>
    </row>
    <row r="561" spans="1:13" ht="14.25" customHeight="1" x14ac:dyDescent="0.4">
      <c r="A561" s="6" t="s">
        <v>595</v>
      </c>
      <c r="B561" s="6" t="s">
        <v>18</v>
      </c>
      <c r="C561" s="6">
        <v>73</v>
      </c>
      <c r="D561" s="7" t="s">
        <v>19</v>
      </c>
      <c r="E561" s="11">
        <v>45098</v>
      </c>
      <c r="F561" s="10">
        <v>75</v>
      </c>
      <c r="G561" s="6">
        <v>2.7</v>
      </c>
      <c r="H561" s="6">
        <f>IF(MONTH(Data!$E561)&lt;=6, YEAR(Data!$E561), YEAR(Data!$E561)+1)</f>
        <v>2023</v>
      </c>
      <c r="I561" s="6" t="str">
        <f>TEXT(Data!$E561,"DDDD")</f>
        <v>Wednesday</v>
      </c>
      <c r="J561" s="6" t="s">
        <v>14</v>
      </c>
      <c r="K561" s="6">
        <f>ROUND(Data!$G561,0)</f>
        <v>3</v>
      </c>
      <c r="L561" t="str" cm="1">
        <f t="array" ref="L561">_xlfn.IFS(C561&lt;=15,"Very Short",C561&lt;=30,"Short",C561&lt;=60,"Medium",C561&gt;60,"Long")</f>
        <v>Long</v>
      </c>
      <c r="M561" t="str" cm="1">
        <f t="array" ref="M561">_xlfn.IFS(F561&lt;=50,"Low",F561&lt;=100,"Medium",F561&lt;=150,"High",F561&gt;150,"Very High")</f>
        <v>Medium</v>
      </c>
    </row>
    <row r="562" spans="1:13" ht="14.25" customHeight="1" x14ac:dyDescent="0.4">
      <c r="A562" s="6" t="s">
        <v>596</v>
      </c>
      <c r="B562" s="6" t="s">
        <v>29</v>
      </c>
      <c r="C562" s="6">
        <v>80</v>
      </c>
      <c r="D562" s="7" t="s">
        <v>35</v>
      </c>
      <c r="E562" s="11">
        <v>45098</v>
      </c>
      <c r="F562" s="10">
        <v>32</v>
      </c>
      <c r="G562" s="6">
        <v>4.7</v>
      </c>
      <c r="H562" s="6">
        <f>IF(MONTH(Data!$E562)&lt;=6, YEAR(Data!$E562), YEAR(Data!$E562)+1)</f>
        <v>2023</v>
      </c>
      <c r="I562" s="6" t="str">
        <f>TEXT(Data!$E562,"DDDD")</f>
        <v>Wednesday</v>
      </c>
      <c r="J562" s="6" t="s">
        <v>14</v>
      </c>
      <c r="K562" s="6">
        <f>ROUND(Data!$G562,0)</f>
        <v>5</v>
      </c>
      <c r="L562" t="str" cm="1">
        <f t="array" ref="L562">_xlfn.IFS(C562&lt;=15,"Very Short",C562&lt;=30,"Short",C562&lt;=60,"Medium",C562&gt;60,"Long")</f>
        <v>Long</v>
      </c>
      <c r="M562" t="str" cm="1">
        <f t="array" ref="M562">_xlfn.IFS(F562&lt;=50,"Low",F562&lt;=100,"Medium",F562&lt;=150,"High",F562&gt;150,"Very High")</f>
        <v>Low</v>
      </c>
    </row>
    <row r="563" spans="1:13" ht="14.25" customHeight="1" x14ac:dyDescent="0.4">
      <c r="A563" s="6" t="s">
        <v>597</v>
      </c>
      <c r="B563" s="6" t="s">
        <v>68</v>
      </c>
      <c r="C563" s="6">
        <v>44</v>
      </c>
      <c r="D563" s="7" t="s">
        <v>24</v>
      </c>
      <c r="E563" s="11">
        <v>45098</v>
      </c>
      <c r="F563" s="10">
        <v>33</v>
      </c>
      <c r="G563" s="6">
        <v>3</v>
      </c>
      <c r="H563" s="6">
        <f>IF(MONTH(Data!$E563)&lt;=6, YEAR(Data!$E563), YEAR(Data!$E563)+1)</f>
        <v>2023</v>
      </c>
      <c r="I563" s="6" t="str">
        <f>TEXT(Data!$E563,"DDDD")</f>
        <v>Wednesday</v>
      </c>
      <c r="J563" s="6" t="s">
        <v>27</v>
      </c>
      <c r="K563" s="6">
        <f>ROUND(Data!$G563,0)</f>
        <v>3</v>
      </c>
      <c r="L563" t="str" cm="1">
        <f t="array" ref="L563">_xlfn.IFS(C563&lt;=15,"Very Short",C563&lt;=30,"Short",C563&lt;=60,"Medium",C563&gt;60,"Long")</f>
        <v>Medium</v>
      </c>
      <c r="M563" t="str" cm="1">
        <f t="array" ref="M563">_xlfn.IFS(F563&lt;=50,"Low",F563&lt;=100,"Medium",F563&lt;=150,"High",F563&gt;150,"Very High")</f>
        <v>Low</v>
      </c>
    </row>
    <row r="564" spans="1:13" ht="14.25" customHeight="1" x14ac:dyDescent="0.4">
      <c r="A564" s="6" t="s">
        <v>598</v>
      </c>
      <c r="B564" s="6" t="s">
        <v>68</v>
      </c>
      <c r="C564" s="6">
        <v>102</v>
      </c>
      <c r="D564" s="7" t="s">
        <v>13</v>
      </c>
      <c r="E564" s="11">
        <v>45098</v>
      </c>
      <c r="F564" s="10">
        <v>76</v>
      </c>
      <c r="G564" s="6">
        <v>4.2</v>
      </c>
      <c r="H564" s="6">
        <f>IF(MONTH(Data!$E564)&lt;=6, YEAR(Data!$E564), YEAR(Data!$E564)+1)</f>
        <v>2023</v>
      </c>
      <c r="I564" s="6" t="str">
        <f>TEXT(Data!$E564,"DDDD")</f>
        <v>Wednesday</v>
      </c>
      <c r="J564" s="6" t="s">
        <v>14</v>
      </c>
      <c r="K564" s="6">
        <f>ROUND(Data!$G564,0)</f>
        <v>4</v>
      </c>
      <c r="L564" t="str" cm="1">
        <f t="array" ref="L564">_xlfn.IFS(C564&lt;=15,"Very Short",C564&lt;=30,"Short",C564&lt;=60,"Medium",C564&gt;60,"Long")</f>
        <v>Long</v>
      </c>
      <c r="M564" t="str" cm="1">
        <f t="array" ref="M564">_xlfn.IFS(F564&lt;=50,"Low",F564&lt;=100,"Medium",F564&lt;=150,"High",F564&gt;150,"Very High")</f>
        <v>Medium</v>
      </c>
    </row>
    <row r="565" spans="1:13" ht="14.25" customHeight="1" x14ac:dyDescent="0.4">
      <c r="A565" s="6" t="s">
        <v>599</v>
      </c>
      <c r="B565" s="6" t="s">
        <v>55</v>
      </c>
      <c r="C565" s="6">
        <v>74</v>
      </c>
      <c r="D565" s="7" t="s">
        <v>13</v>
      </c>
      <c r="E565" s="11">
        <v>45098</v>
      </c>
      <c r="F565" s="10">
        <v>117</v>
      </c>
      <c r="G565" s="6">
        <v>4.8</v>
      </c>
      <c r="H565" s="6">
        <f>IF(MONTH(Data!$E565)&lt;=6, YEAR(Data!$E565), YEAR(Data!$E565)+1)</f>
        <v>2023</v>
      </c>
      <c r="I565" s="6" t="str">
        <f>TEXT(Data!$E565,"DDDD")</f>
        <v>Wednesday</v>
      </c>
      <c r="J565" s="6" t="s">
        <v>14</v>
      </c>
      <c r="K565" s="6">
        <f>ROUND(Data!$G565,0)</f>
        <v>5</v>
      </c>
      <c r="L565" t="str" cm="1">
        <f t="array" ref="L565">_xlfn.IFS(C565&lt;=15,"Very Short",C565&lt;=30,"Short",C565&lt;=60,"Medium",C565&gt;60,"Long")</f>
        <v>Long</v>
      </c>
      <c r="M565" t="str" cm="1">
        <f t="array" ref="M565">_xlfn.IFS(F565&lt;=50,"Low",F565&lt;=100,"Medium",F565&lt;=150,"High",F565&gt;150,"Very High")</f>
        <v>High</v>
      </c>
    </row>
    <row r="566" spans="1:13" ht="14.25" customHeight="1" x14ac:dyDescent="0.4">
      <c r="A566" s="6" t="s">
        <v>600</v>
      </c>
      <c r="B566" s="6" t="s">
        <v>29</v>
      </c>
      <c r="C566" s="6">
        <v>52</v>
      </c>
      <c r="D566" s="7" t="s">
        <v>24</v>
      </c>
      <c r="E566" s="11">
        <v>45100</v>
      </c>
      <c r="F566" s="10">
        <v>70</v>
      </c>
      <c r="G566" s="6">
        <v>4.0999999999999996</v>
      </c>
      <c r="H566" s="6">
        <f>IF(MONTH(Data!$E566)&lt;=6, YEAR(Data!$E566), YEAR(Data!$E566)+1)</f>
        <v>2023</v>
      </c>
      <c r="I566" s="6" t="str">
        <f>TEXT(Data!$E566,"DDDD")</f>
        <v>Friday</v>
      </c>
      <c r="J566" s="6" t="s">
        <v>27</v>
      </c>
      <c r="K566" s="6">
        <f>ROUND(Data!$G566,0)</f>
        <v>4</v>
      </c>
      <c r="L566" t="str" cm="1">
        <f t="array" ref="L566">_xlfn.IFS(C566&lt;=15,"Very Short",C566&lt;=30,"Short",C566&lt;=60,"Medium",C566&gt;60,"Long")</f>
        <v>Medium</v>
      </c>
      <c r="M566" t="str" cm="1">
        <f t="array" ref="M566">_xlfn.IFS(F566&lt;=50,"Low",F566&lt;=100,"Medium",F566&lt;=150,"High",F566&gt;150,"Very High")</f>
        <v>Medium</v>
      </c>
    </row>
    <row r="567" spans="1:13" ht="14.25" customHeight="1" x14ac:dyDescent="0.4">
      <c r="A567" s="6" t="s">
        <v>601</v>
      </c>
      <c r="B567" s="6" t="s">
        <v>29</v>
      </c>
      <c r="C567" s="6">
        <v>74</v>
      </c>
      <c r="D567" s="7" t="s">
        <v>19</v>
      </c>
      <c r="E567" s="11">
        <v>45100</v>
      </c>
      <c r="F567" s="10">
        <v>37</v>
      </c>
      <c r="G567" s="6">
        <v>2.7</v>
      </c>
      <c r="H567" s="6">
        <f>IF(MONTH(Data!$E567)&lt;=6, YEAR(Data!$E567), YEAR(Data!$E567)+1)</f>
        <v>2023</v>
      </c>
      <c r="I567" s="6" t="str">
        <f>TEXT(Data!$E567,"DDDD")</f>
        <v>Friday</v>
      </c>
      <c r="J567" s="6" t="s">
        <v>14</v>
      </c>
      <c r="K567" s="6">
        <f>ROUND(Data!$G567,0)</f>
        <v>3</v>
      </c>
      <c r="L567" t="str" cm="1">
        <f t="array" ref="L567">_xlfn.IFS(C567&lt;=15,"Very Short",C567&lt;=30,"Short",C567&lt;=60,"Medium",C567&gt;60,"Long")</f>
        <v>Long</v>
      </c>
      <c r="M567" t="str" cm="1">
        <f t="array" ref="M567">_xlfn.IFS(F567&lt;=50,"Low",F567&lt;=100,"Medium",F567&lt;=150,"High",F567&gt;150,"Very High")</f>
        <v>Low</v>
      </c>
    </row>
    <row r="568" spans="1:13" ht="14.25" customHeight="1" x14ac:dyDescent="0.4">
      <c r="A568" s="6" t="s">
        <v>602</v>
      </c>
      <c r="B568" s="6" t="s">
        <v>18</v>
      </c>
      <c r="C568" s="6">
        <v>96</v>
      </c>
      <c r="D568" s="7" t="s">
        <v>13</v>
      </c>
      <c r="E568" s="11">
        <v>45100</v>
      </c>
      <c r="F568" s="10">
        <v>46</v>
      </c>
      <c r="G568" s="6">
        <v>2.9</v>
      </c>
      <c r="H568" s="6">
        <f>IF(MONTH(Data!$E568)&lt;=6, YEAR(Data!$E568), YEAR(Data!$E568)+1)</f>
        <v>2023</v>
      </c>
      <c r="I568" s="6" t="str">
        <f>TEXT(Data!$E568,"DDDD")</f>
        <v>Friday</v>
      </c>
      <c r="J568" s="6" t="s">
        <v>14</v>
      </c>
      <c r="K568" s="6">
        <f>ROUND(Data!$G568,0)</f>
        <v>3</v>
      </c>
      <c r="L568" t="str" cm="1">
        <f t="array" ref="L568">_xlfn.IFS(C568&lt;=15,"Very Short",C568&lt;=30,"Short",C568&lt;=60,"Medium",C568&gt;60,"Long")</f>
        <v>Long</v>
      </c>
      <c r="M568" t="str" cm="1">
        <f t="array" ref="M568">_xlfn.IFS(F568&lt;=50,"Low",F568&lt;=100,"Medium",F568&lt;=150,"High",F568&gt;150,"Very High")</f>
        <v>Low</v>
      </c>
    </row>
    <row r="569" spans="1:13" ht="14.25" customHeight="1" x14ac:dyDescent="0.4">
      <c r="A569" s="6" t="s">
        <v>603</v>
      </c>
      <c r="B569" s="6" t="s">
        <v>38</v>
      </c>
      <c r="C569" s="6">
        <v>104</v>
      </c>
      <c r="D569" s="7" t="s">
        <v>35</v>
      </c>
      <c r="E569" s="11">
        <v>45100</v>
      </c>
      <c r="F569" s="10">
        <v>136</v>
      </c>
      <c r="G569" s="6">
        <v>5</v>
      </c>
      <c r="H569" s="6">
        <f>IF(MONTH(Data!$E569)&lt;=6, YEAR(Data!$E569), YEAR(Data!$E569)+1)</f>
        <v>2023</v>
      </c>
      <c r="I569" s="6" t="str">
        <f>TEXT(Data!$E569,"DDDD")</f>
        <v>Friday</v>
      </c>
      <c r="J569" s="6" t="s">
        <v>14</v>
      </c>
      <c r="K569" s="6">
        <f>ROUND(Data!$G569,0)</f>
        <v>5</v>
      </c>
      <c r="L569" t="str" cm="1">
        <f t="array" ref="L569">_xlfn.IFS(C569&lt;=15,"Very Short",C569&lt;=30,"Short",C569&lt;=60,"Medium",C569&gt;60,"Long")</f>
        <v>Long</v>
      </c>
      <c r="M569" t="str" cm="1">
        <f t="array" ref="M569">_xlfn.IFS(F569&lt;=50,"Low",F569&lt;=100,"Medium",F569&lt;=150,"High",F569&gt;150,"Very High")</f>
        <v>High</v>
      </c>
    </row>
    <row r="570" spans="1:13" ht="14.25" customHeight="1" x14ac:dyDescent="0.4">
      <c r="A570" s="6" t="s">
        <v>604</v>
      </c>
      <c r="B570" s="6" t="s">
        <v>18</v>
      </c>
      <c r="C570" s="6">
        <v>123</v>
      </c>
      <c r="D570" s="7" t="s">
        <v>13</v>
      </c>
      <c r="E570" s="11">
        <v>45101</v>
      </c>
      <c r="F570" s="10">
        <v>44</v>
      </c>
      <c r="G570" s="6">
        <v>4.5999999999999996</v>
      </c>
      <c r="H570" s="6">
        <f>IF(MONTH(Data!$E570)&lt;=6, YEAR(Data!$E570), YEAR(Data!$E570)+1)</f>
        <v>2023</v>
      </c>
      <c r="I570" s="6" t="str">
        <f>TEXT(Data!$E570,"DDDD")</f>
        <v>Saturday</v>
      </c>
      <c r="J570" s="6" t="s">
        <v>25</v>
      </c>
      <c r="K570" s="6">
        <f>ROUND(Data!$G570,0)</f>
        <v>5</v>
      </c>
      <c r="L570" t="str" cm="1">
        <f t="array" ref="L570">_xlfn.IFS(C570&lt;=15,"Very Short",C570&lt;=30,"Short",C570&lt;=60,"Medium",C570&gt;60,"Long")</f>
        <v>Long</v>
      </c>
      <c r="M570" t="str" cm="1">
        <f t="array" ref="M570">_xlfn.IFS(F570&lt;=50,"Low",F570&lt;=100,"Medium",F570&lt;=150,"High",F570&gt;150,"Very High")</f>
        <v>Low</v>
      </c>
    </row>
    <row r="571" spans="1:13" ht="14.25" customHeight="1" x14ac:dyDescent="0.4">
      <c r="A571" s="6" t="s">
        <v>605</v>
      </c>
      <c r="B571" s="6" t="s">
        <v>46</v>
      </c>
      <c r="C571" s="6">
        <v>100</v>
      </c>
      <c r="D571" s="7" t="s">
        <v>31</v>
      </c>
      <c r="E571" s="11">
        <v>45101</v>
      </c>
      <c r="F571" s="10">
        <v>69</v>
      </c>
      <c r="G571" s="6">
        <v>3</v>
      </c>
      <c r="H571" s="6">
        <f>IF(MONTH(Data!$E571)&lt;=6, YEAR(Data!$E571), YEAR(Data!$E571)+1)</f>
        <v>2023</v>
      </c>
      <c r="I571" s="6" t="str">
        <f>TEXT(Data!$E571,"DDDD")</f>
        <v>Saturday</v>
      </c>
      <c r="J571" s="6" t="s">
        <v>14</v>
      </c>
      <c r="K571" s="6">
        <f>ROUND(Data!$G571,0)</f>
        <v>3</v>
      </c>
      <c r="L571" t="str" cm="1">
        <f t="array" ref="L571">_xlfn.IFS(C571&lt;=15,"Very Short",C571&lt;=30,"Short",C571&lt;=60,"Medium",C571&gt;60,"Long")</f>
        <v>Long</v>
      </c>
      <c r="M571" t="str" cm="1">
        <f t="array" ref="M571">_xlfn.IFS(F571&lt;=50,"Low",F571&lt;=100,"Medium",F571&lt;=150,"High",F571&gt;150,"Very High")</f>
        <v>Medium</v>
      </c>
    </row>
    <row r="572" spans="1:13" ht="14.25" customHeight="1" x14ac:dyDescent="0.4">
      <c r="A572" s="6" t="s">
        <v>606</v>
      </c>
      <c r="B572" s="6" t="s">
        <v>38</v>
      </c>
      <c r="C572" s="6">
        <v>35</v>
      </c>
      <c r="D572" s="7" t="s">
        <v>24</v>
      </c>
      <c r="E572" s="11">
        <v>45102</v>
      </c>
      <c r="F572" s="10">
        <v>86</v>
      </c>
      <c r="G572" s="6">
        <v>4.5999999999999996</v>
      </c>
      <c r="H572" s="6">
        <f>IF(MONTH(Data!$E572)&lt;=6, YEAR(Data!$E572), YEAR(Data!$E572)+1)</f>
        <v>2023</v>
      </c>
      <c r="I572" s="6" t="str">
        <f>TEXT(Data!$E572,"DDDD")</f>
        <v>Sunday</v>
      </c>
      <c r="J572" s="6" t="s">
        <v>27</v>
      </c>
      <c r="K572" s="6">
        <f>ROUND(Data!$G572,0)</f>
        <v>5</v>
      </c>
      <c r="L572" t="str" cm="1">
        <f t="array" ref="L572">_xlfn.IFS(C572&lt;=15,"Very Short",C572&lt;=30,"Short",C572&lt;=60,"Medium",C572&gt;60,"Long")</f>
        <v>Medium</v>
      </c>
      <c r="M572" t="str" cm="1">
        <f t="array" ref="M572">_xlfn.IFS(F572&lt;=50,"Low",F572&lt;=100,"Medium",F572&lt;=150,"High",F572&gt;150,"Very High")</f>
        <v>Medium</v>
      </c>
    </row>
    <row r="573" spans="1:13" ht="14.25" customHeight="1" x14ac:dyDescent="0.4">
      <c r="A573" s="6" t="s">
        <v>607</v>
      </c>
      <c r="B573" s="6" t="s">
        <v>29</v>
      </c>
      <c r="C573" s="6">
        <v>123</v>
      </c>
      <c r="D573" s="7" t="s">
        <v>35</v>
      </c>
      <c r="E573" s="11">
        <v>45102</v>
      </c>
      <c r="F573" s="10">
        <v>68</v>
      </c>
      <c r="G573" s="6">
        <v>4.5</v>
      </c>
      <c r="H573" s="6">
        <f>IF(MONTH(Data!$E573)&lt;=6, YEAR(Data!$E573), YEAR(Data!$E573)+1)</f>
        <v>2023</v>
      </c>
      <c r="I573" s="6" t="str">
        <f>TEXT(Data!$E573,"DDDD")</f>
        <v>Sunday</v>
      </c>
      <c r="J573" s="6" t="s">
        <v>25</v>
      </c>
      <c r="K573" s="6">
        <f>ROUND(Data!$G573,0)</f>
        <v>5</v>
      </c>
      <c r="L573" t="str" cm="1">
        <f t="array" ref="L573">_xlfn.IFS(C573&lt;=15,"Very Short",C573&lt;=30,"Short",C573&lt;=60,"Medium",C573&gt;60,"Long")</f>
        <v>Long</v>
      </c>
      <c r="M573" t="str" cm="1">
        <f t="array" ref="M573">_xlfn.IFS(F573&lt;=50,"Low",F573&lt;=100,"Medium",F573&lt;=150,"High",F573&gt;150,"Very High")</f>
        <v>Medium</v>
      </c>
    </row>
    <row r="574" spans="1:13" ht="14.25" customHeight="1" x14ac:dyDescent="0.4">
      <c r="A574" s="6" t="s">
        <v>608</v>
      </c>
      <c r="B574" s="6" t="s">
        <v>40</v>
      </c>
      <c r="C574" s="6">
        <v>133</v>
      </c>
      <c r="D574" s="7" t="s">
        <v>24</v>
      </c>
      <c r="E574" s="11">
        <v>45103</v>
      </c>
      <c r="F574" s="10">
        <v>21</v>
      </c>
      <c r="G574" s="6">
        <v>3.7</v>
      </c>
      <c r="H574" s="6">
        <f>IF(MONTH(Data!$E574)&lt;=6, YEAR(Data!$E574), YEAR(Data!$E574)+1)</f>
        <v>2023</v>
      </c>
      <c r="I574" s="6" t="str">
        <f>TEXT(Data!$E574,"DDDD")</f>
        <v>Monday</v>
      </c>
      <c r="J574" s="6" t="s">
        <v>25</v>
      </c>
      <c r="K574" s="6">
        <f>ROUND(Data!$G574,0)</f>
        <v>4</v>
      </c>
      <c r="L574" t="str" cm="1">
        <f t="array" ref="L574">_xlfn.IFS(C574&lt;=15,"Very Short",C574&lt;=30,"Short",C574&lt;=60,"Medium",C574&gt;60,"Long")</f>
        <v>Long</v>
      </c>
      <c r="M574" t="str" cm="1">
        <f t="array" ref="M574">_xlfn.IFS(F574&lt;=50,"Low",F574&lt;=100,"Medium",F574&lt;=150,"High",F574&gt;150,"Very High")</f>
        <v>Low</v>
      </c>
    </row>
    <row r="575" spans="1:13" ht="14.25" customHeight="1" x14ac:dyDescent="0.4">
      <c r="A575" s="6" t="s">
        <v>609</v>
      </c>
      <c r="B575" s="6" t="s">
        <v>18</v>
      </c>
      <c r="C575" s="6">
        <v>126</v>
      </c>
      <c r="D575" s="7" t="s">
        <v>19</v>
      </c>
      <c r="E575" s="11">
        <v>45103</v>
      </c>
      <c r="F575" s="10">
        <v>190</v>
      </c>
      <c r="G575" s="6">
        <v>2.4</v>
      </c>
      <c r="H575" s="6">
        <f>IF(MONTH(Data!$E575)&lt;=6, YEAR(Data!$E575), YEAR(Data!$E575)+1)</f>
        <v>2023</v>
      </c>
      <c r="I575" s="6" t="str">
        <f>TEXT(Data!$E575,"DDDD")</f>
        <v>Monday</v>
      </c>
      <c r="J575" s="6" t="s">
        <v>25</v>
      </c>
      <c r="K575" s="6">
        <f>ROUND(Data!$G575,0)</f>
        <v>2</v>
      </c>
      <c r="L575" t="str" cm="1">
        <f t="array" ref="L575">_xlfn.IFS(C575&lt;=15,"Very Short",C575&lt;=30,"Short",C575&lt;=60,"Medium",C575&gt;60,"Long")</f>
        <v>Long</v>
      </c>
      <c r="M575" t="str" cm="1">
        <f t="array" ref="M575">_xlfn.IFS(F575&lt;=50,"Low",F575&lt;=100,"Medium",F575&lt;=150,"High",F575&gt;150,"Very High")</f>
        <v>Very High</v>
      </c>
    </row>
    <row r="576" spans="1:13" ht="14.25" customHeight="1" x14ac:dyDescent="0.4">
      <c r="A576" s="6" t="s">
        <v>610</v>
      </c>
      <c r="B576" s="6" t="s">
        <v>29</v>
      </c>
      <c r="C576" s="6">
        <v>39</v>
      </c>
      <c r="D576" s="7" t="s">
        <v>13</v>
      </c>
      <c r="E576" s="11">
        <v>45103</v>
      </c>
      <c r="F576" s="10">
        <v>176</v>
      </c>
      <c r="G576" s="6">
        <v>4.3</v>
      </c>
      <c r="H576" s="6">
        <f>IF(MONTH(Data!$E576)&lt;=6, YEAR(Data!$E576), YEAR(Data!$E576)+1)</f>
        <v>2023</v>
      </c>
      <c r="I576" s="6" t="str">
        <f>TEXT(Data!$E576,"DDDD")</f>
        <v>Monday</v>
      </c>
      <c r="J576" s="6" t="s">
        <v>27</v>
      </c>
      <c r="K576" s="6">
        <f>ROUND(Data!$G576,0)</f>
        <v>4</v>
      </c>
      <c r="L576" t="str" cm="1">
        <f t="array" ref="L576">_xlfn.IFS(C576&lt;=15,"Very Short",C576&lt;=30,"Short",C576&lt;=60,"Medium",C576&gt;60,"Long")</f>
        <v>Medium</v>
      </c>
      <c r="M576" t="str" cm="1">
        <f t="array" ref="M576">_xlfn.IFS(F576&lt;=50,"Low",F576&lt;=100,"Medium",F576&lt;=150,"High",F576&gt;150,"Very High")</f>
        <v>Very High</v>
      </c>
    </row>
    <row r="577" spans="1:13" ht="14.25" customHeight="1" x14ac:dyDescent="0.4">
      <c r="A577" s="6" t="s">
        <v>611</v>
      </c>
      <c r="B577" s="6" t="s">
        <v>55</v>
      </c>
      <c r="C577" s="6">
        <v>31</v>
      </c>
      <c r="D577" s="7" t="s">
        <v>35</v>
      </c>
      <c r="E577" s="11">
        <v>45103</v>
      </c>
      <c r="F577" s="10">
        <v>172</v>
      </c>
      <c r="G577" s="6">
        <v>3.9</v>
      </c>
      <c r="H577" s="6">
        <f>IF(MONTH(Data!$E577)&lt;=6, YEAR(Data!$E577), YEAR(Data!$E577)+1)</f>
        <v>2023</v>
      </c>
      <c r="I577" s="6" t="str">
        <f>TEXT(Data!$E577,"DDDD")</f>
        <v>Monday</v>
      </c>
      <c r="J577" s="6" t="s">
        <v>27</v>
      </c>
      <c r="K577" s="6">
        <f>ROUND(Data!$G577,0)</f>
        <v>4</v>
      </c>
      <c r="L577" t="str" cm="1">
        <f t="array" ref="L577">_xlfn.IFS(C577&lt;=15,"Very Short",C577&lt;=30,"Short",C577&lt;=60,"Medium",C577&gt;60,"Long")</f>
        <v>Medium</v>
      </c>
      <c r="M577" t="str" cm="1">
        <f t="array" ref="M577">_xlfn.IFS(F577&lt;=50,"Low",F577&lt;=100,"Medium",F577&lt;=150,"High",F577&gt;150,"Very High")</f>
        <v>Very High</v>
      </c>
    </row>
    <row r="578" spans="1:13" ht="14.25" customHeight="1" x14ac:dyDescent="0.4">
      <c r="A578" s="6" t="s">
        <v>612</v>
      </c>
      <c r="B578" s="6" t="s">
        <v>23</v>
      </c>
      <c r="C578" s="6">
        <v>25</v>
      </c>
      <c r="D578" s="7" t="s">
        <v>24</v>
      </c>
      <c r="E578" s="11">
        <v>45103</v>
      </c>
      <c r="F578" s="10">
        <v>84</v>
      </c>
      <c r="G578" s="6">
        <v>4.5</v>
      </c>
      <c r="H578" s="6">
        <f>IF(MONTH(Data!$E578)&lt;=6, YEAR(Data!$E578), YEAR(Data!$E578)+1)</f>
        <v>2023</v>
      </c>
      <c r="I578" s="6" t="str">
        <f>TEXT(Data!$E578,"DDDD")</f>
        <v>Monday</v>
      </c>
      <c r="J578" s="6" t="s">
        <v>47</v>
      </c>
      <c r="K578" s="6">
        <f>ROUND(Data!$G578,0)</f>
        <v>5</v>
      </c>
      <c r="L578" t="str" cm="1">
        <f t="array" ref="L578">_xlfn.IFS(C578&lt;=15,"Very Short",C578&lt;=30,"Short",C578&lt;=60,"Medium",C578&gt;60,"Long")</f>
        <v>Short</v>
      </c>
      <c r="M578" t="str" cm="1">
        <f t="array" ref="M578">_xlfn.IFS(F578&lt;=50,"Low",F578&lt;=100,"Medium",F578&lt;=150,"High",F578&gt;150,"Very High")</f>
        <v>Medium</v>
      </c>
    </row>
    <row r="579" spans="1:13" ht="14.25" customHeight="1" x14ac:dyDescent="0.4">
      <c r="A579" s="6" t="s">
        <v>613</v>
      </c>
      <c r="B579" s="6" t="s">
        <v>16</v>
      </c>
      <c r="C579" s="6">
        <v>132</v>
      </c>
      <c r="D579" s="7" t="s">
        <v>31</v>
      </c>
      <c r="E579" s="11">
        <v>45104</v>
      </c>
      <c r="F579" s="10">
        <v>42</v>
      </c>
      <c r="G579" s="6">
        <v>5</v>
      </c>
      <c r="H579" s="6">
        <f>IF(MONTH(Data!$E579)&lt;=6, YEAR(Data!$E579), YEAR(Data!$E579)+1)</f>
        <v>2023</v>
      </c>
      <c r="I579" s="6" t="str">
        <f>TEXT(Data!$E579,"DDDD")</f>
        <v>Tuesday</v>
      </c>
      <c r="J579" s="6" t="s">
        <v>25</v>
      </c>
      <c r="K579" s="6">
        <f>ROUND(Data!$G579,0)</f>
        <v>5</v>
      </c>
      <c r="L579" t="str" cm="1">
        <f t="array" ref="L579">_xlfn.IFS(C579&lt;=15,"Very Short",C579&lt;=30,"Short",C579&lt;=60,"Medium",C579&gt;60,"Long")</f>
        <v>Long</v>
      </c>
      <c r="M579" t="str" cm="1">
        <f t="array" ref="M579">_xlfn.IFS(F579&lt;=50,"Low",F579&lt;=100,"Medium",F579&lt;=150,"High",F579&gt;150,"Very High")</f>
        <v>Low</v>
      </c>
    </row>
    <row r="580" spans="1:13" ht="14.25" customHeight="1" x14ac:dyDescent="0.4">
      <c r="A580" s="6" t="s">
        <v>614</v>
      </c>
      <c r="B580" s="6" t="s">
        <v>38</v>
      </c>
      <c r="C580" s="6">
        <v>63</v>
      </c>
      <c r="D580" s="7" t="s">
        <v>19</v>
      </c>
      <c r="E580" s="11">
        <v>45104</v>
      </c>
      <c r="F580" s="10">
        <v>70</v>
      </c>
      <c r="G580" s="6">
        <v>1.6</v>
      </c>
      <c r="H580" s="6">
        <f>IF(MONTH(Data!$E580)&lt;=6, YEAR(Data!$E580), YEAR(Data!$E580)+1)</f>
        <v>2023</v>
      </c>
      <c r="I580" s="6" t="str">
        <f>TEXT(Data!$E580,"DDDD")</f>
        <v>Tuesday</v>
      </c>
      <c r="J580" s="6" t="s">
        <v>14</v>
      </c>
      <c r="K580" s="6">
        <f>ROUND(Data!$G580,0)</f>
        <v>2</v>
      </c>
      <c r="L580" t="str" cm="1">
        <f t="array" ref="L580">_xlfn.IFS(C580&lt;=15,"Very Short",C580&lt;=30,"Short",C580&lt;=60,"Medium",C580&gt;60,"Long")</f>
        <v>Long</v>
      </c>
      <c r="M580" t="str" cm="1">
        <f t="array" ref="M580">_xlfn.IFS(F580&lt;=50,"Low",F580&lt;=100,"Medium",F580&lt;=150,"High",F580&gt;150,"Very High")</f>
        <v>Medium</v>
      </c>
    </row>
    <row r="581" spans="1:13" ht="14.25" customHeight="1" x14ac:dyDescent="0.4">
      <c r="A581" s="6" t="s">
        <v>615</v>
      </c>
      <c r="B581" s="6" t="s">
        <v>46</v>
      </c>
      <c r="C581" s="6">
        <v>135</v>
      </c>
      <c r="D581" s="7" t="s">
        <v>31</v>
      </c>
      <c r="E581" s="11">
        <v>45104</v>
      </c>
      <c r="F581" s="10">
        <v>60</v>
      </c>
      <c r="G581" s="6">
        <v>4.3</v>
      </c>
      <c r="H581" s="6">
        <f>IF(MONTH(Data!$E581)&lt;=6, YEAR(Data!$E581), YEAR(Data!$E581)+1)</f>
        <v>2023</v>
      </c>
      <c r="I581" s="6" t="str">
        <f>TEXT(Data!$E581,"DDDD")</f>
        <v>Tuesday</v>
      </c>
      <c r="J581" s="6" t="s">
        <v>25</v>
      </c>
      <c r="K581" s="6">
        <f>ROUND(Data!$G581,0)</f>
        <v>4</v>
      </c>
      <c r="L581" t="str" cm="1">
        <f t="array" ref="L581">_xlfn.IFS(C581&lt;=15,"Very Short",C581&lt;=30,"Short",C581&lt;=60,"Medium",C581&gt;60,"Long")</f>
        <v>Long</v>
      </c>
      <c r="M581" t="str" cm="1">
        <f t="array" ref="M581">_xlfn.IFS(F581&lt;=50,"Low",F581&lt;=100,"Medium",F581&lt;=150,"High",F581&gt;150,"Very High")</f>
        <v>Medium</v>
      </c>
    </row>
    <row r="582" spans="1:13" ht="14.25" customHeight="1" x14ac:dyDescent="0.4">
      <c r="A582" s="6" t="s">
        <v>616</v>
      </c>
      <c r="B582" s="6" t="s">
        <v>34</v>
      </c>
      <c r="C582" s="6">
        <v>101</v>
      </c>
      <c r="D582" s="7" t="s">
        <v>19</v>
      </c>
      <c r="E582" s="11">
        <v>45104</v>
      </c>
      <c r="F582" s="10">
        <v>84</v>
      </c>
      <c r="G582" s="6">
        <v>3.5</v>
      </c>
      <c r="H582" s="6">
        <f>IF(MONTH(Data!$E582)&lt;=6, YEAR(Data!$E582), YEAR(Data!$E582)+1)</f>
        <v>2023</v>
      </c>
      <c r="I582" s="6" t="str">
        <f>TEXT(Data!$E582,"DDDD")</f>
        <v>Tuesday</v>
      </c>
      <c r="J582" s="6" t="s">
        <v>14</v>
      </c>
      <c r="K582" s="6">
        <f>ROUND(Data!$G582,0)</f>
        <v>4</v>
      </c>
      <c r="L582" t="str" cm="1">
        <f t="array" ref="L582">_xlfn.IFS(C582&lt;=15,"Very Short",C582&lt;=30,"Short",C582&lt;=60,"Medium",C582&gt;60,"Long")</f>
        <v>Long</v>
      </c>
      <c r="M582" t="str" cm="1">
        <f t="array" ref="M582">_xlfn.IFS(F582&lt;=50,"Low",F582&lt;=100,"Medium",F582&lt;=150,"High",F582&gt;150,"Very High")</f>
        <v>Medium</v>
      </c>
    </row>
    <row r="583" spans="1:13" ht="14.25" customHeight="1" x14ac:dyDescent="0.4">
      <c r="A583" s="6" t="s">
        <v>617</v>
      </c>
      <c r="B583" s="6" t="s">
        <v>40</v>
      </c>
      <c r="C583" s="6">
        <v>80</v>
      </c>
      <c r="D583" s="7" t="s">
        <v>13</v>
      </c>
      <c r="E583" s="11">
        <v>45105</v>
      </c>
      <c r="F583" s="10">
        <v>68</v>
      </c>
      <c r="G583" s="6">
        <v>3.1</v>
      </c>
      <c r="H583" s="6">
        <f>IF(MONTH(Data!$E583)&lt;=6, YEAR(Data!$E583), YEAR(Data!$E583)+1)</f>
        <v>2023</v>
      </c>
      <c r="I583" s="6" t="str">
        <f>TEXT(Data!$E583,"DDDD")</f>
        <v>Wednesday</v>
      </c>
      <c r="J583" s="6" t="s">
        <v>14</v>
      </c>
      <c r="K583" s="6">
        <f>ROUND(Data!$G583,0)</f>
        <v>3</v>
      </c>
      <c r="L583" t="str" cm="1">
        <f t="array" ref="L583">_xlfn.IFS(C583&lt;=15,"Very Short",C583&lt;=30,"Short",C583&lt;=60,"Medium",C583&gt;60,"Long")</f>
        <v>Long</v>
      </c>
      <c r="M583" t="str" cm="1">
        <f t="array" ref="M583">_xlfn.IFS(F583&lt;=50,"Low",F583&lt;=100,"Medium",F583&lt;=150,"High",F583&gt;150,"Very High")</f>
        <v>Medium</v>
      </c>
    </row>
    <row r="584" spans="1:13" ht="14.25" customHeight="1" x14ac:dyDescent="0.4">
      <c r="A584" s="6" t="s">
        <v>618</v>
      </c>
      <c r="B584" s="6" t="s">
        <v>68</v>
      </c>
      <c r="C584" s="6">
        <v>28</v>
      </c>
      <c r="D584" s="7" t="s">
        <v>13</v>
      </c>
      <c r="E584" s="11">
        <v>45105</v>
      </c>
      <c r="F584" s="10">
        <v>44</v>
      </c>
      <c r="G584" s="6">
        <v>2.9</v>
      </c>
      <c r="H584" s="6">
        <f>IF(MONTH(Data!$E584)&lt;=6, YEAR(Data!$E584), YEAR(Data!$E584)+1)</f>
        <v>2023</v>
      </c>
      <c r="I584" s="6" t="str">
        <f>TEXT(Data!$E584,"DDDD")</f>
        <v>Wednesday</v>
      </c>
      <c r="J584" s="6" t="s">
        <v>47</v>
      </c>
      <c r="K584" s="6">
        <f>ROUND(Data!$G584,0)</f>
        <v>3</v>
      </c>
      <c r="L584" t="str" cm="1">
        <f t="array" ref="L584">_xlfn.IFS(C584&lt;=15,"Very Short",C584&lt;=30,"Short",C584&lt;=60,"Medium",C584&gt;60,"Long")</f>
        <v>Short</v>
      </c>
      <c r="M584" t="str" cm="1">
        <f t="array" ref="M584">_xlfn.IFS(F584&lt;=50,"Low",F584&lt;=100,"Medium",F584&lt;=150,"High",F584&gt;150,"Very High")</f>
        <v>Low</v>
      </c>
    </row>
    <row r="585" spans="1:13" ht="14.25" customHeight="1" x14ac:dyDescent="0.4">
      <c r="A585" s="6" t="s">
        <v>619</v>
      </c>
      <c r="B585" s="6" t="s">
        <v>34</v>
      </c>
      <c r="C585" s="6">
        <v>102</v>
      </c>
      <c r="D585" s="7" t="s">
        <v>31</v>
      </c>
      <c r="E585" s="11">
        <v>45106</v>
      </c>
      <c r="F585" s="10">
        <v>99</v>
      </c>
      <c r="G585" s="6">
        <v>3.2</v>
      </c>
      <c r="H585" s="6">
        <f>IF(MONTH(Data!$E585)&lt;=6, YEAR(Data!$E585), YEAR(Data!$E585)+1)</f>
        <v>2023</v>
      </c>
      <c r="I585" s="6" t="str">
        <f>TEXT(Data!$E585,"DDDD")</f>
        <v>Thursday</v>
      </c>
      <c r="J585" s="6" t="s">
        <v>14</v>
      </c>
      <c r="K585" s="6">
        <f>ROUND(Data!$G585,0)</f>
        <v>3</v>
      </c>
      <c r="L585" t="str" cm="1">
        <f t="array" ref="L585">_xlfn.IFS(C585&lt;=15,"Very Short",C585&lt;=30,"Short",C585&lt;=60,"Medium",C585&gt;60,"Long")</f>
        <v>Long</v>
      </c>
      <c r="M585" t="str" cm="1">
        <f t="array" ref="M585">_xlfn.IFS(F585&lt;=50,"Low",F585&lt;=100,"Medium",F585&lt;=150,"High",F585&gt;150,"Very High")</f>
        <v>Medium</v>
      </c>
    </row>
    <row r="586" spans="1:13" ht="14.25" customHeight="1" x14ac:dyDescent="0.4">
      <c r="A586" s="6" t="s">
        <v>620</v>
      </c>
      <c r="B586" s="6" t="s">
        <v>38</v>
      </c>
      <c r="C586" s="6">
        <v>60</v>
      </c>
      <c r="D586" s="7" t="s">
        <v>31</v>
      </c>
      <c r="E586" s="11">
        <v>45107</v>
      </c>
      <c r="F586" s="10">
        <v>66</v>
      </c>
      <c r="G586" s="6">
        <v>3.2</v>
      </c>
      <c r="H586" s="6">
        <f>IF(MONTH(Data!$E586)&lt;=6, YEAR(Data!$E586), YEAR(Data!$E586)+1)</f>
        <v>2023</v>
      </c>
      <c r="I586" s="6" t="str">
        <f>TEXT(Data!$E586,"DDDD")</f>
        <v>Friday</v>
      </c>
      <c r="J586" s="6" t="s">
        <v>27</v>
      </c>
      <c r="K586" s="6">
        <f>ROUND(Data!$G586,0)</f>
        <v>3</v>
      </c>
      <c r="L586" t="str" cm="1">
        <f t="array" ref="L586">_xlfn.IFS(C586&lt;=15,"Very Short",C586&lt;=30,"Short",C586&lt;=60,"Medium",C586&gt;60,"Long")</f>
        <v>Medium</v>
      </c>
      <c r="M586" t="str" cm="1">
        <f t="array" ref="M586">_xlfn.IFS(F586&lt;=50,"Low",F586&lt;=100,"Medium",F586&lt;=150,"High",F586&gt;150,"Very High")</f>
        <v>Medium</v>
      </c>
    </row>
    <row r="587" spans="1:13" ht="14.25" customHeight="1" x14ac:dyDescent="0.4">
      <c r="A587" s="6" t="s">
        <v>621</v>
      </c>
      <c r="B587" s="6" t="s">
        <v>21</v>
      </c>
      <c r="C587" s="6">
        <v>103</v>
      </c>
      <c r="D587" s="7" t="s">
        <v>31</v>
      </c>
      <c r="E587" s="11">
        <v>45107</v>
      </c>
      <c r="F587" s="10">
        <v>102</v>
      </c>
      <c r="G587" s="6">
        <v>4.5</v>
      </c>
      <c r="H587" s="6">
        <f>IF(MONTH(Data!$E587)&lt;=6, YEAR(Data!$E587), YEAR(Data!$E587)+1)</f>
        <v>2023</v>
      </c>
      <c r="I587" s="6" t="str">
        <f>TEXT(Data!$E587,"DDDD")</f>
        <v>Friday</v>
      </c>
      <c r="J587" s="6" t="s">
        <v>14</v>
      </c>
      <c r="K587" s="6">
        <f>ROUND(Data!$G587,0)</f>
        <v>5</v>
      </c>
      <c r="L587" t="str" cm="1">
        <f t="array" ref="L587">_xlfn.IFS(C587&lt;=15,"Very Short",C587&lt;=30,"Short",C587&lt;=60,"Medium",C587&gt;60,"Long")</f>
        <v>Long</v>
      </c>
      <c r="M587" t="str" cm="1">
        <f t="array" ref="M587">_xlfn.IFS(F587&lt;=50,"Low",F587&lt;=100,"Medium",F587&lt;=150,"High",F587&gt;150,"Very High")</f>
        <v>High</v>
      </c>
    </row>
    <row r="588" spans="1:13" ht="14.25" customHeight="1" x14ac:dyDescent="0.4">
      <c r="A588" s="6" t="s">
        <v>622</v>
      </c>
      <c r="B588" s="6" t="s">
        <v>40</v>
      </c>
      <c r="C588" s="6">
        <v>90</v>
      </c>
      <c r="D588" s="7" t="s">
        <v>13</v>
      </c>
      <c r="E588" s="11">
        <v>45108</v>
      </c>
      <c r="F588" s="10">
        <v>129</v>
      </c>
      <c r="G588" s="6">
        <v>3.9</v>
      </c>
      <c r="H588" s="6">
        <f>IF(MONTH(Data!$E588)&lt;=6, YEAR(Data!$E588), YEAR(Data!$E588)+1)</f>
        <v>2024</v>
      </c>
      <c r="I588" s="6" t="str">
        <f>TEXT(Data!$E588,"DDDD")</f>
        <v>Saturday</v>
      </c>
      <c r="J588" s="6" t="s">
        <v>14</v>
      </c>
      <c r="K588" s="6">
        <f>ROUND(Data!$G588,0)</f>
        <v>4</v>
      </c>
      <c r="L588" t="str" cm="1">
        <f t="array" ref="L588">_xlfn.IFS(C588&lt;=15,"Very Short",C588&lt;=30,"Short",C588&lt;=60,"Medium",C588&gt;60,"Long")</f>
        <v>Long</v>
      </c>
      <c r="M588" t="str" cm="1">
        <f t="array" ref="M588">_xlfn.IFS(F588&lt;=50,"Low",F588&lt;=100,"Medium",F588&lt;=150,"High",F588&gt;150,"Very High")</f>
        <v>High</v>
      </c>
    </row>
    <row r="589" spans="1:13" ht="14.25" customHeight="1" x14ac:dyDescent="0.4">
      <c r="A589" s="6" t="s">
        <v>623</v>
      </c>
      <c r="B589" s="6" t="s">
        <v>58</v>
      </c>
      <c r="C589" s="6">
        <v>88</v>
      </c>
      <c r="D589" s="7" t="s">
        <v>31</v>
      </c>
      <c r="E589" s="11">
        <v>45108</v>
      </c>
      <c r="F589" s="10">
        <v>80</v>
      </c>
      <c r="G589" s="6">
        <v>4.2</v>
      </c>
      <c r="H589" s="6">
        <f>IF(MONTH(Data!$E589)&lt;=6, YEAR(Data!$E589), YEAR(Data!$E589)+1)</f>
        <v>2024</v>
      </c>
      <c r="I589" s="6" t="str">
        <f>TEXT(Data!$E589,"DDDD")</f>
        <v>Saturday</v>
      </c>
      <c r="J589" s="6" t="s">
        <v>14</v>
      </c>
      <c r="K589" s="6">
        <f>ROUND(Data!$G589,0)</f>
        <v>4</v>
      </c>
      <c r="L589" t="str" cm="1">
        <f t="array" ref="L589">_xlfn.IFS(C589&lt;=15,"Very Short",C589&lt;=30,"Short",C589&lt;=60,"Medium",C589&gt;60,"Long")</f>
        <v>Long</v>
      </c>
      <c r="M589" t="str" cm="1">
        <f t="array" ref="M589">_xlfn.IFS(F589&lt;=50,"Low",F589&lt;=100,"Medium",F589&lt;=150,"High",F589&gt;150,"Very High")</f>
        <v>Medium</v>
      </c>
    </row>
    <row r="590" spans="1:13" ht="14.25" customHeight="1" x14ac:dyDescent="0.4">
      <c r="A590" s="6" t="s">
        <v>624</v>
      </c>
      <c r="B590" s="6" t="s">
        <v>21</v>
      </c>
      <c r="C590" s="6">
        <v>37</v>
      </c>
      <c r="D590" s="7" t="s">
        <v>31</v>
      </c>
      <c r="E590" s="11">
        <v>45108</v>
      </c>
      <c r="F590" s="10">
        <v>54</v>
      </c>
      <c r="G590" s="6">
        <v>1.8</v>
      </c>
      <c r="H590" s="6">
        <f>IF(MONTH(Data!$E590)&lt;=6, YEAR(Data!$E590), YEAR(Data!$E590)+1)</f>
        <v>2024</v>
      </c>
      <c r="I590" s="6" t="str">
        <f>TEXT(Data!$E590,"DDDD")</f>
        <v>Saturday</v>
      </c>
      <c r="J590" s="6" t="s">
        <v>27</v>
      </c>
      <c r="K590" s="6">
        <f>ROUND(Data!$G590,0)</f>
        <v>2</v>
      </c>
      <c r="L590" t="str" cm="1">
        <f t="array" ref="L590">_xlfn.IFS(C590&lt;=15,"Very Short",C590&lt;=30,"Short",C590&lt;=60,"Medium",C590&gt;60,"Long")</f>
        <v>Medium</v>
      </c>
      <c r="M590" t="str" cm="1">
        <f t="array" ref="M590">_xlfn.IFS(F590&lt;=50,"Low",F590&lt;=100,"Medium",F590&lt;=150,"High",F590&gt;150,"Very High")</f>
        <v>Medium</v>
      </c>
    </row>
    <row r="591" spans="1:13" ht="14.25" customHeight="1" x14ac:dyDescent="0.4">
      <c r="A591" s="6" t="s">
        <v>625</v>
      </c>
      <c r="B591" s="6" t="s">
        <v>68</v>
      </c>
      <c r="C591" s="6">
        <v>142</v>
      </c>
      <c r="D591" s="7" t="s">
        <v>13</v>
      </c>
      <c r="E591" s="11">
        <v>45108</v>
      </c>
      <c r="F591" s="10">
        <v>116</v>
      </c>
      <c r="G591" s="6">
        <v>4.2</v>
      </c>
      <c r="H591" s="6">
        <f>IF(MONTH(Data!$E591)&lt;=6, YEAR(Data!$E591), YEAR(Data!$E591)+1)</f>
        <v>2024</v>
      </c>
      <c r="I591" s="6" t="str">
        <f>TEXT(Data!$E591,"DDDD")</f>
        <v>Saturday</v>
      </c>
      <c r="J591" s="6" t="s">
        <v>25</v>
      </c>
      <c r="K591" s="6">
        <f>ROUND(Data!$G591,0)</f>
        <v>4</v>
      </c>
      <c r="L591" t="str" cm="1">
        <f t="array" ref="L591">_xlfn.IFS(C591&lt;=15,"Very Short",C591&lt;=30,"Short",C591&lt;=60,"Medium",C591&gt;60,"Long")</f>
        <v>Long</v>
      </c>
      <c r="M591" t="str" cm="1">
        <f t="array" ref="M591">_xlfn.IFS(F591&lt;=50,"Low",F591&lt;=100,"Medium",F591&lt;=150,"High",F591&gt;150,"Very High")</f>
        <v>High</v>
      </c>
    </row>
    <row r="592" spans="1:13" ht="14.25" customHeight="1" x14ac:dyDescent="0.4">
      <c r="A592" s="6" t="s">
        <v>626</v>
      </c>
      <c r="B592" s="6" t="s">
        <v>68</v>
      </c>
      <c r="C592" s="6">
        <v>153</v>
      </c>
      <c r="D592" s="7" t="s">
        <v>24</v>
      </c>
      <c r="E592" s="11">
        <v>45108</v>
      </c>
      <c r="F592" s="10">
        <v>102</v>
      </c>
      <c r="G592" s="6">
        <v>3.1</v>
      </c>
      <c r="H592" s="6">
        <f>IF(MONTH(Data!$E592)&lt;=6, YEAR(Data!$E592), YEAR(Data!$E592)+1)</f>
        <v>2024</v>
      </c>
      <c r="I592" s="6" t="str">
        <f>TEXT(Data!$E592,"DDDD")</f>
        <v>Saturday</v>
      </c>
      <c r="J592" s="6" t="s">
        <v>25</v>
      </c>
      <c r="K592" s="6">
        <f>ROUND(Data!$G592,0)</f>
        <v>3</v>
      </c>
      <c r="L592" t="str" cm="1">
        <f t="array" ref="L592">_xlfn.IFS(C592&lt;=15,"Very Short",C592&lt;=30,"Short",C592&lt;=60,"Medium",C592&gt;60,"Long")</f>
        <v>Long</v>
      </c>
      <c r="M592" t="str" cm="1">
        <f t="array" ref="M592">_xlfn.IFS(F592&lt;=50,"Low",F592&lt;=100,"Medium",F592&lt;=150,"High",F592&gt;150,"Very High")</f>
        <v>High</v>
      </c>
    </row>
    <row r="593" spans="1:13" ht="14.25" customHeight="1" x14ac:dyDescent="0.4">
      <c r="A593" s="6" t="s">
        <v>627</v>
      </c>
      <c r="B593" s="6" t="s">
        <v>50</v>
      </c>
      <c r="C593" s="6">
        <v>128</v>
      </c>
      <c r="D593" s="7" t="s">
        <v>19</v>
      </c>
      <c r="E593" s="11">
        <v>45108</v>
      </c>
      <c r="F593" s="10">
        <v>140</v>
      </c>
      <c r="G593" s="6">
        <v>4.3</v>
      </c>
      <c r="H593" s="6">
        <f>IF(MONTH(Data!$E593)&lt;=6, YEAR(Data!$E593), YEAR(Data!$E593)+1)</f>
        <v>2024</v>
      </c>
      <c r="I593" s="6" t="str">
        <f>TEXT(Data!$E593,"DDDD")</f>
        <v>Saturday</v>
      </c>
      <c r="J593" s="6" t="s">
        <v>25</v>
      </c>
      <c r="K593" s="6">
        <f>ROUND(Data!$G593,0)</f>
        <v>4</v>
      </c>
      <c r="L593" t="str" cm="1">
        <f t="array" ref="L593">_xlfn.IFS(C593&lt;=15,"Very Short",C593&lt;=30,"Short",C593&lt;=60,"Medium",C593&gt;60,"Long")</f>
        <v>Long</v>
      </c>
      <c r="M593" t="str" cm="1">
        <f t="array" ref="M593">_xlfn.IFS(F593&lt;=50,"Low",F593&lt;=100,"Medium",F593&lt;=150,"High",F593&gt;150,"Very High")</f>
        <v>High</v>
      </c>
    </row>
    <row r="594" spans="1:13" ht="14.25" customHeight="1" x14ac:dyDescent="0.4">
      <c r="A594" s="6" t="s">
        <v>628</v>
      </c>
      <c r="B594" s="6" t="s">
        <v>38</v>
      </c>
      <c r="C594" s="6">
        <v>110</v>
      </c>
      <c r="D594" s="7" t="s">
        <v>19</v>
      </c>
      <c r="E594" s="11">
        <v>45109</v>
      </c>
      <c r="F594" s="10">
        <v>104</v>
      </c>
      <c r="G594" s="6">
        <v>4.4000000000000004</v>
      </c>
      <c r="H594" s="6">
        <f>IF(MONTH(Data!$E594)&lt;=6, YEAR(Data!$E594), YEAR(Data!$E594)+1)</f>
        <v>2024</v>
      </c>
      <c r="I594" s="6" t="str">
        <f>TEXT(Data!$E594,"DDDD")</f>
        <v>Sunday</v>
      </c>
      <c r="J594" s="6" t="s">
        <v>14</v>
      </c>
      <c r="K594" s="6">
        <f>ROUND(Data!$G594,0)</f>
        <v>4</v>
      </c>
      <c r="L594" t="str" cm="1">
        <f t="array" ref="L594">_xlfn.IFS(C594&lt;=15,"Very Short",C594&lt;=30,"Short",C594&lt;=60,"Medium",C594&gt;60,"Long")</f>
        <v>Long</v>
      </c>
      <c r="M594" t="str" cm="1">
        <f t="array" ref="M594">_xlfn.IFS(F594&lt;=50,"Low",F594&lt;=100,"Medium",F594&lt;=150,"High",F594&gt;150,"Very High")</f>
        <v>High</v>
      </c>
    </row>
    <row r="595" spans="1:13" ht="14.25" customHeight="1" x14ac:dyDescent="0.4">
      <c r="A595" s="6" t="s">
        <v>629</v>
      </c>
      <c r="B595" s="6" t="s">
        <v>50</v>
      </c>
      <c r="C595" s="6">
        <v>139</v>
      </c>
      <c r="D595" s="7" t="s">
        <v>31</v>
      </c>
      <c r="E595" s="11">
        <v>45109</v>
      </c>
      <c r="F595" s="10">
        <v>81</v>
      </c>
      <c r="G595" s="6">
        <v>4.4000000000000004</v>
      </c>
      <c r="H595" s="6">
        <f>IF(MONTH(Data!$E595)&lt;=6, YEAR(Data!$E595), YEAR(Data!$E595)+1)</f>
        <v>2024</v>
      </c>
      <c r="I595" s="6" t="str">
        <f>TEXT(Data!$E595,"DDDD")</f>
        <v>Sunday</v>
      </c>
      <c r="J595" s="6" t="s">
        <v>25</v>
      </c>
      <c r="K595" s="6">
        <f>ROUND(Data!$G595,0)</f>
        <v>4</v>
      </c>
      <c r="L595" t="str" cm="1">
        <f t="array" ref="L595">_xlfn.IFS(C595&lt;=15,"Very Short",C595&lt;=30,"Short",C595&lt;=60,"Medium",C595&gt;60,"Long")</f>
        <v>Long</v>
      </c>
      <c r="M595" t="str" cm="1">
        <f t="array" ref="M595">_xlfn.IFS(F595&lt;=50,"Low",F595&lt;=100,"Medium",F595&lt;=150,"High",F595&gt;150,"Very High")</f>
        <v>Medium</v>
      </c>
    </row>
    <row r="596" spans="1:13" ht="14.25" customHeight="1" x14ac:dyDescent="0.4">
      <c r="A596" s="6" t="s">
        <v>630</v>
      </c>
      <c r="B596" s="6" t="s">
        <v>34</v>
      </c>
      <c r="C596" s="6">
        <v>109</v>
      </c>
      <c r="D596" s="7" t="s">
        <v>35</v>
      </c>
      <c r="E596" s="11">
        <v>45111</v>
      </c>
      <c r="F596" s="10">
        <v>140</v>
      </c>
      <c r="G596" s="6">
        <v>2.4</v>
      </c>
      <c r="H596" s="6">
        <f>IF(MONTH(Data!$E596)&lt;=6, YEAR(Data!$E596), YEAR(Data!$E596)+1)</f>
        <v>2024</v>
      </c>
      <c r="I596" s="6" t="str">
        <f>TEXT(Data!$E596,"DDDD")</f>
        <v>Tuesday</v>
      </c>
      <c r="J596" s="6" t="s">
        <v>14</v>
      </c>
      <c r="K596" s="6">
        <f>ROUND(Data!$G596,0)</f>
        <v>2</v>
      </c>
      <c r="L596" t="str" cm="1">
        <f t="array" ref="L596">_xlfn.IFS(C596&lt;=15,"Very Short",C596&lt;=30,"Short",C596&lt;=60,"Medium",C596&gt;60,"Long")</f>
        <v>Long</v>
      </c>
      <c r="M596" t="str" cm="1">
        <f t="array" ref="M596">_xlfn.IFS(F596&lt;=50,"Low",F596&lt;=100,"Medium",F596&lt;=150,"High",F596&gt;150,"Very High")</f>
        <v>High</v>
      </c>
    </row>
    <row r="597" spans="1:13" ht="14.25" customHeight="1" x14ac:dyDescent="0.4">
      <c r="A597" s="6" t="s">
        <v>631</v>
      </c>
      <c r="B597" s="6" t="s">
        <v>16</v>
      </c>
      <c r="C597" s="6">
        <v>57</v>
      </c>
      <c r="D597" s="7" t="s">
        <v>13</v>
      </c>
      <c r="E597" s="11">
        <v>45112</v>
      </c>
      <c r="F597" s="10">
        <v>120</v>
      </c>
      <c r="G597" s="6">
        <v>3.5</v>
      </c>
      <c r="H597" s="6">
        <f>IF(MONTH(Data!$E597)&lt;=6, YEAR(Data!$E597), YEAR(Data!$E597)+1)</f>
        <v>2024</v>
      </c>
      <c r="I597" s="6" t="str">
        <f>TEXT(Data!$E597,"DDDD")</f>
        <v>Wednesday</v>
      </c>
      <c r="J597" s="6" t="s">
        <v>27</v>
      </c>
      <c r="K597" s="6">
        <f>ROUND(Data!$G597,0)</f>
        <v>4</v>
      </c>
      <c r="L597" t="str" cm="1">
        <f t="array" ref="L597">_xlfn.IFS(C597&lt;=15,"Very Short",C597&lt;=30,"Short",C597&lt;=60,"Medium",C597&gt;60,"Long")</f>
        <v>Medium</v>
      </c>
      <c r="M597" t="str" cm="1">
        <f t="array" ref="M597">_xlfn.IFS(F597&lt;=50,"Low",F597&lt;=100,"Medium",F597&lt;=150,"High",F597&gt;150,"Very High")</f>
        <v>High</v>
      </c>
    </row>
    <row r="598" spans="1:13" ht="14.25" customHeight="1" x14ac:dyDescent="0.4">
      <c r="A598" s="6" t="s">
        <v>632</v>
      </c>
      <c r="B598" s="6" t="s">
        <v>34</v>
      </c>
      <c r="C598" s="6">
        <v>68</v>
      </c>
      <c r="D598" s="7" t="s">
        <v>31</v>
      </c>
      <c r="E598" s="11">
        <v>45112</v>
      </c>
      <c r="F598" s="10">
        <v>41</v>
      </c>
      <c r="G598" s="6">
        <v>3.1</v>
      </c>
      <c r="H598" s="6">
        <f>IF(MONTH(Data!$E598)&lt;=6, YEAR(Data!$E598), YEAR(Data!$E598)+1)</f>
        <v>2024</v>
      </c>
      <c r="I598" s="6" t="str">
        <f>TEXT(Data!$E598,"DDDD")</f>
        <v>Wednesday</v>
      </c>
      <c r="J598" s="6" t="s">
        <v>14</v>
      </c>
      <c r="K598" s="6">
        <f>ROUND(Data!$G598,0)</f>
        <v>3</v>
      </c>
      <c r="L598" t="str" cm="1">
        <f t="array" ref="L598">_xlfn.IFS(C598&lt;=15,"Very Short",C598&lt;=30,"Short",C598&lt;=60,"Medium",C598&gt;60,"Long")</f>
        <v>Long</v>
      </c>
      <c r="M598" t="str" cm="1">
        <f t="array" ref="M598">_xlfn.IFS(F598&lt;=50,"Low",F598&lt;=100,"Medium",F598&lt;=150,"High",F598&gt;150,"Very High")</f>
        <v>Low</v>
      </c>
    </row>
    <row r="599" spans="1:13" ht="14.25" customHeight="1" x14ac:dyDescent="0.4">
      <c r="A599" s="6" t="s">
        <v>633</v>
      </c>
      <c r="B599" s="6" t="s">
        <v>23</v>
      </c>
      <c r="C599" s="6">
        <v>128</v>
      </c>
      <c r="D599" s="7" t="s">
        <v>31</v>
      </c>
      <c r="E599" s="11">
        <v>45112</v>
      </c>
      <c r="F599" s="10">
        <v>116</v>
      </c>
      <c r="G599" s="6">
        <v>2.2999999999999998</v>
      </c>
      <c r="H599" s="6">
        <f>IF(MONTH(Data!$E599)&lt;=6, YEAR(Data!$E599), YEAR(Data!$E599)+1)</f>
        <v>2024</v>
      </c>
      <c r="I599" s="6" t="str">
        <f>TEXT(Data!$E599,"DDDD")</f>
        <v>Wednesday</v>
      </c>
      <c r="J599" s="6" t="s">
        <v>25</v>
      </c>
      <c r="K599" s="6">
        <f>ROUND(Data!$G599,0)</f>
        <v>2</v>
      </c>
      <c r="L599" t="str" cm="1">
        <f t="array" ref="L599">_xlfn.IFS(C599&lt;=15,"Very Short",C599&lt;=30,"Short",C599&lt;=60,"Medium",C599&gt;60,"Long")</f>
        <v>Long</v>
      </c>
      <c r="M599" t="str" cm="1">
        <f t="array" ref="M599">_xlfn.IFS(F599&lt;=50,"Low",F599&lt;=100,"Medium",F599&lt;=150,"High",F599&gt;150,"Very High")</f>
        <v>High</v>
      </c>
    </row>
    <row r="600" spans="1:13" ht="14.25" customHeight="1" x14ac:dyDescent="0.4">
      <c r="A600" s="6" t="s">
        <v>634</v>
      </c>
      <c r="B600" s="6" t="s">
        <v>12</v>
      </c>
      <c r="C600" s="6">
        <v>102</v>
      </c>
      <c r="D600" s="7" t="s">
        <v>13</v>
      </c>
      <c r="E600" s="11">
        <v>45113</v>
      </c>
      <c r="F600" s="10">
        <v>70</v>
      </c>
      <c r="G600" s="6">
        <v>2.8</v>
      </c>
      <c r="H600" s="6">
        <f>IF(MONTH(Data!$E600)&lt;=6, YEAR(Data!$E600), YEAR(Data!$E600)+1)</f>
        <v>2024</v>
      </c>
      <c r="I600" s="6" t="str">
        <f>TEXT(Data!$E600,"DDDD")</f>
        <v>Thursday</v>
      </c>
      <c r="J600" s="6" t="s">
        <v>14</v>
      </c>
      <c r="K600" s="6">
        <f>ROUND(Data!$G600,0)</f>
        <v>3</v>
      </c>
      <c r="L600" t="str" cm="1">
        <f t="array" ref="L600">_xlfn.IFS(C600&lt;=15,"Very Short",C600&lt;=30,"Short",C600&lt;=60,"Medium",C600&gt;60,"Long")</f>
        <v>Long</v>
      </c>
      <c r="M600" t="str" cm="1">
        <f t="array" ref="M600">_xlfn.IFS(F600&lt;=50,"Low",F600&lt;=100,"Medium",F600&lt;=150,"High",F600&gt;150,"Very High")</f>
        <v>Medium</v>
      </c>
    </row>
    <row r="601" spans="1:13" ht="14.25" customHeight="1" x14ac:dyDescent="0.4">
      <c r="A601" s="6" t="s">
        <v>635</v>
      </c>
      <c r="B601" s="6" t="s">
        <v>50</v>
      </c>
      <c r="C601" s="6">
        <v>52</v>
      </c>
      <c r="D601" s="7" t="s">
        <v>24</v>
      </c>
      <c r="E601" s="11">
        <v>45113</v>
      </c>
      <c r="F601" s="10">
        <v>42</v>
      </c>
      <c r="G601" s="6">
        <v>4.5</v>
      </c>
      <c r="H601" s="6">
        <f>IF(MONTH(Data!$E601)&lt;=6, YEAR(Data!$E601), YEAR(Data!$E601)+1)</f>
        <v>2024</v>
      </c>
      <c r="I601" s="6" t="str">
        <f>TEXT(Data!$E601,"DDDD")</f>
        <v>Thursday</v>
      </c>
      <c r="J601" s="6" t="s">
        <v>27</v>
      </c>
      <c r="K601" s="6">
        <f>ROUND(Data!$G601,0)</f>
        <v>5</v>
      </c>
      <c r="L601" t="str" cm="1">
        <f t="array" ref="L601">_xlfn.IFS(C601&lt;=15,"Very Short",C601&lt;=30,"Short",C601&lt;=60,"Medium",C601&gt;60,"Long")</f>
        <v>Medium</v>
      </c>
      <c r="M601" t="str" cm="1">
        <f t="array" ref="M601">_xlfn.IFS(F601&lt;=50,"Low",F601&lt;=100,"Medium",F601&lt;=150,"High",F601&gt;150,"Very High")</f>
        <v>Low</v>
      </c>
    </row>
    <row r="602" spans="1:13" ht="14.25" customHeight="1" x14ac:dyDescent="0.4">
      <c r="A602" s="6" t="s">
        <v>636</v>
      </c>
      <c r="B602" s="6" t="s">
        <v>23</v>
      </c>
      <c r="C602" s="6">
        <v>55</v>
      </c>
      <c r="D602" s="7" t="s">
        <v>19</v>
      </c>
      <c r="E602" s="11">
        <v>45114</v>
      </c>
      <c r="F602" s="10">
        <v>112</v>
      </c>
      <c r="G602" s="6">
        <v>4.5</v>
      </c>
      <c r="H602" s="6">
        <f>IF(MONTH(Data!$E602)&lt;=6, YEAR(Data!$E602), YEAR(Data!$E602)+1)</f>
        <v>2024</v>
      </c>
      <c r="I602" s="6" t="str">
        <f>TEXT(Data!$E602,"DDDD")</f>
        <v>Friday</v>
      </c>
      <c r="J602" s="6" t="s">
        <v>27</v>
      </c>
      <c r="K602" s="6">
        <f>ROUND(Data!$G602,0)</f>
        <v>5</v>
      </c>
      <c r="L602" t="str" cm="1">
        <f t="array" ref="L602">_xlfn.IFS(C602&lt;=15,"Very Short",C602&lt;=30,"Short",C602&lt;=60,"Medium",C602&gt;60,"Long")</f>
        <v>Medium</v>
      </c>
      <c r="M602" t="str" cm="1">
        <f t="array" ref="M602">_xlfn.IFS(F602&lt;=50,"Low",F602&lt;=100,"Medium",F602&lt;=150,"High",F602&gt;150,"Very High")</f>
        <v>High</v>
      </c>
    </row>
    <row r="603" spans="1:13" ht="14.25" customHeight="1" x14ac:dyDescent="0.4">
      <c r="A603" s="6" t="s">
        <v>637</v>
      </c>
      <c r="B603" s="6" t="s">
        <v>21</v>
      </c>
      <c r="C603" s="6">
        <v>107</v>
      </c>
      <c r="D603" s="7" t="s">
        <v>31</v>
      </c>
      <c r="E603" s="11">
        <v>45114</v>
      </c>
      <c r="F603" s="10">
        <v>20</v>
      </c>
      <c r="G603" s="6">
        <v>4.5</v>
      </c>
      <c r="H603" s="6">
        <f>IF(MONTH(Data!$E603)&lt;=6, YEAR(Data!$E603), YEAR(Data!$E603)+1)</f>
        <v>2024</v>
      </c>
      <c r="I603" s="6" t="str">
        <f>TEXT(Data!$E603,"DDDD")</f>
        <v>Friday</v>
      </c>
      <c r="J603" s="6" t="s">
        <v>14</v>
      </c>
      <c r="K603" s="6">
        <f>ROUND(Data!$G603,0)</f>
        <v>5</v>
      </c>
      <c r="L603" t="str" cm="1">
        <f t="array" ref="L603">_xlfn.IFS(C603&lt;=15,"Very Short",C603&lt;=30,"Short",C603&lt;=60,"Medium",C603&gt;60,"Long")</f>
        <v>Long</v>
      </c>
      <c r="M603" t="str" cm="1">
        <f t="array" ref="M603">_xlfn.IFS(F603&lt;=50,"Low",F603&lt;=100,"Medium",F603&lt;=150,"High",F603&gt;150,"Very High")</f>
        <v>Low</v>
      </c>
    </row>
    <row r="604" spans="1:13" ht="14.25" customHeight="1" x14ac:dyDescent="0.4">
      <c r="A604" s="6" t="s">
        <v>638</v>
      </c>
      <c r="B604" s="6" t="s">
        <v>40</v>
      </c>
      <c r="C604" s="6">
        <v>88</v>
      </c>
      <c r="D604" s="7" t="s">
        <v>24</v>
      </c>
      <c r="E604" s="11">
        <v>45115</v>
      </c>
      <c r="F604" s="10">
        <v>110</v>
      </c>
      <c r="G604" s="6">
        <v>4.8</v>
      </c>
      <c r="H604" s="6">
        <f>IF(MONTH(Data!$E604)&lt;=6, YEAR(Data!$E604), YEAR(Data!$E604)+1)</f>
        <v>2024</v>
      </c>
      <c r="I604" s="6" t="str">
        <f>TEXT(Data!$E604,"DDDD")</f>
        <v>Saturday</v>
      </c>
      <c r="J604" s="6" t="s">
        <v>14</v>
      </c>
      <c r="K604" s="6">
        <f>ROUND(Data!$G604,0)</f>
        <v>5</v>
      </c>
      <c r="L604" t="str" cm="1">
        <f t="array" ref="L604">_xlfn.IFS(C604&lt;=15,"Very Short",C604&lt;=30,"Short",C604&lt;=60,"Medium",C604&gt;60,"Long")</f>
        <v>Long</v>
      </c>
      <c r="M604" t="str" cm="1">
        <f t="array" ref="M604">_xlfn.IFS(F604&lt;=50,"Low",F604&lt;=100,"Medium",F604&lt;=150,"High",F604&gt;150,"Very High")</f>
        <v>High</v>
      </c>
    </row>
    <row r="605" spans="1:13" ht="14.25" customHeight="1" x14ac:dyDescent="0.4">
      <c r="A605" s="6" t="s">
        <v>639</v>
      </c>
      <c r="B605" s="6" t="s">
        <v>29</v>
      </c>
      <c r="C605" s="6">
        <v>49</v>
      </c>
      <c r="D605" s="7" t="s">
        <v>24</v>
      </c>
      <c r="E605" s="11">
        <v>45115</v>
      </c>
      <c r="F605" s="10">
        <v>39</v>
      </c>
      <c r="G605" s="6">
        <v>4.5999999999999996</v>
      </c>
      <c r="H605" s="6">
        <f>IF(MONTH(Data!$E605)&lt;=6, YEAR(Data!$E605), YEAR(Data!$E605)+1)</f>
        <v>2024</v>
      </c>
      <c r="I605" s="6" t="str">
        <f>TEXT(Data!$E605,"DDDD")</f>
        <v>Saturday</v>
      </c>
      <c r="J605" s="6" t="s">
        <v>27</v>
      </c>
      <c r="K605" s="6">
        <f>ROUND(Data!$G605,0)</f>
        <v>5</v>
      </c>
      <c r="L605" t="str" cm="1">
        <f t="array" ref="L605">_xlfn.IFS(C605&lt;=15,"Very Short",C605&lt;=30,"Short",C605&lt;=60,"Medium",C605&gt;60,"Long")</f>
        <v>Medium</v>
      </c>
      <c r="M605" t="str" cm="1">
        <f t="array" ref="M605">_xlfn.IFS(F605&lt;=50,"Low",F605&lt;=100,"Medium",F605&lt;=150,"High",F605&gt;150,"Very High")</f>
        <v>Low</v>
      </c>
    </row>
    <row r="606" spans="1:13" ht="14.25" customHeight="1" x14ac:dyDescent="0.4">
      <c r="A606" s="6" t="s">
        <v>640</v>
      </c>
      <c r="B606" s="6" t="s">
        <v>40</v>
      </c>
      <c r="C606" s="6">
        <v>72</v>
      </c>
      <c r="D606" s="7" t="s">
        <v>13</v>
      </c>
      <c r="E606" s="11">
        <v>45115</v>
      </c>
      <c r="F606" s="10">
        <v>76</v>
      </c>
      <c r="G606" s="6">
        <v>4.5</v>
      </c>
      <c r="H606" s="6">
        <f>IF(MONTH(Data!$E606)&lt;=6, YEAR(Data!$E606), YEAR(Data!$E606)+1)</f>
        <v>2024</v>
      </c>
      <c r="I606" s="6" t="str">
        <f>TEXT(Data!$E606,"DDDD")</f>
        <v>Saturday</v>
      </c>
      <c r="J606" s="6" t="s">
        <v>14</v>
      </c>
      <c r="K606" s="6">
        <f>ROUND(Data!$G606,0)</f>
        <v>5</v>
      </c>
      <c r="L606" t="str" cm="1">
        <f t="array" ref="L606">_xlfn.IFS(C606&lt;=15,"Very Short",C606&lt;=30,"Short",C606&lt;=60,"Medium",C606&gt;60,"Long")</f>
        <v>Long</v>
      </c>
      <c r="M606" t="str" cm="1">
        <f t="array" ref="M606">_xlfn.IFS(F606&lt;=50,"Low",F606&lt;=100,"Medium",F606&lt;=150,"High",F606&gt;150,"Very High")</f>
        <v>Medium</v>
      </c>
    </row>
    <row r="607" spans="1:13" ht="14.25" customHeight="1" x14ac:dyDescent="0.4">
      <c r="A607" s="6" t="s">
        <v>641</v>
      </c>
      <c r="B607" s="6" t="s">
        <v>16</v>
      </c>
      <c r="C607" s="6">
        <v>50</v>
      </c>
      <c r="D607" s="7" t="s">
        <v>13</v>
      </c>
      <c r="E607" s="11">
        <v>45115</v>
      </c>
      <c r="F607" s="10">
        <v>40</v>
      </c>
      <c r="G607" s="6">
        <v>5</v>
      </c>
      <c r="H607" s="6">
        <f>IF(MONTH(Data!$E607)&lt;=6, YEAR(Data!$E607), YEAR(Data!$E607)+1)</f>
        <v>2024</v>
      </c>
      <c r="I607" s="6" t="str">
        <f>TEXT(Data!$E607,"DDDD")</f>
        <v>Saturday</v>
      </c>
      <c r="J607" s="6" t="s">
        <v>27</v>
      </c>
      <c r="K607" s="6">
        <f>ROUND(Data!$G607,0)</f>
        <v>5</v>
      </c>
      <c r="L607" t="str" cm="1">
        <f t="array" ref="L607">_xlfn.IFS(C607&lt;=15,"Very Short",C607&lt;=30,"Short",C607&lt;=60,"Medium",C607&gt;60,"Long")</f>
        <v>Medium</v>
      </c>
      <c r="M607" t="str" cm="1">
        <f t="array" ref="M607">_xlfn.IFS(F607&lt;=50,"Low",F607&lt;=100,"Medium",F607&lt;=150,"High",F607&gt;150,"Very High")</f>
        <v>Low</v>
      </c>
    </row>
    <row r="608" spans="1:13" ht="14.25" customHeight="1" x14ac:dyDescent="0.4">
      <c r="A608" s="6" t="s">
        <v>642</v>
      </c>
      <c r="B608" s="6" t="s">
        <v>40</v>
      </c>
      <c r="C608" s="6">
        <v>52</v>
      </c>
      <c r="D608" s="7" t="s">
        <v>31</v>
      </c>
      <c r="E608" s="11">
        <v>45115</v>
      </c>
      <c r="F608" s="10">
        <v>42</v>
      </c>
      <c r="G608" s="6">
        <v>4.8</v>
      </c>
      <c r="H608" s="6">
        <f>IF(MONTH(Data!$E608)&lt;=6, YEAR(Data!$E608), YEAR(Data!$E608)+1)</f>
        <v>2024</v>
      </c>
      <c r="I608" s="6" t="str">
        <f>TEXT(Data!$E608,"DDDD")</f>
        <v>Saturday</v>
      </c>
      <c r="J608" s="6" t="s">
        <v>27</v>
      </c>
      <c r="K608" s="6">
        <f>ROUND(Data!$G608,0)</f>
        <v>5</v>
      </c>
      <c r="L608" t="str" cm="1">
        <f t="array" ref="L608">_xlfn.IFS(C608&lt;=15,"Very Short",C608&lt;=30,"Short",C608&lt;=60,"Medium",C608&gt;60,"Long")</f>
        <v>Medium</v>
      </c>
      <c r="M608" t="str" cm="1">
        <f t="array" ref="M608">_xlfn.IFS(F608&lt;=50,"Low",F608&lt;=100,"Medium",F608&lt;=150,"High",F608&gt;150,"Very High")</f>
        <v>Low</v>
      </c>
    </row>
    <row r="609" spans="1:13" ht="14.25" customHeight="1" x14ac:dyDescent="0.4">
      <c r="A609" s="6" t="s">
        <v>643</v>
      </c>
      <c r="B609" s="6" t="s">
        <v>18</v>
      </c>
      <c r="C609" s="6">
        <v>85</v>
      </c>
      <c r="D609" s="7" t="s">
        <v>35</v>
      </c>
      <c r="E609" s="11">
        <v>45116</v>
      </c>
      <c r="F609" s="10">
        <v>215</v>
      </c>
      <c r="G609" s="6">
        <v>3.5</v>
      </c>
      <c r="H609" s="6">
        <f>IF(MONTH(Data!$E609)&lt;=6, YEAR(Data!$E609), YEAR(Data!$E609)+1)</f>
        <v>2024</v>
      </c>
      <c r="I609" s="6" t="str">
        <f>TEXT(Data!$E609,"DDDD")</f>
        <v>Sunday</v>
      </c>
      <c r="J609" s="6" t="s">
        <v>14</v>
      </c>
      <c r="K609" s="6">
        <f>ROUND(Data!$G609,0)</f>
        <v>4</v>
      </c>
      <c r="L609" t="str" cm="1">
        <f t="array" ref="L609">_xlfn.IFS(C609&lt;=15,"Very Short",C609&lt;=30,"Short",C609&lt;=60,"Medium",C609&gt;60,"Long")</f>
        <v>Long</v>
      </c>
      <c r="M609" t="str" cm="1">
        <f t="array" ref="M609">_xlfn.IFS(F609&lt;=50,"Low",F609&lt;=100,"Medium",F609&lt;=150,"High",F609&gt;150,"Very High")</f>
        <v>Very High</v>
      </c>
    </row>
    <row r="610" spans="1:13" ht="14.25" customHeight="1" x14ac:dyDescent="0.4">
      <c r="A610" s="6" t="s">
        <v>644</v>
      </c>
      <c r="B610" s="6" t="s">
        <v>46</v>
      </c>
      <c r="C610" s="6">
        <v>98</v>
      </c>
      <c r="D610" s="7" t="s">
        <v>35</v>
      </c>
      <c r="E610" s="11">
        <v>45117</v>
      </c>
      <c r="F610" s="10">
        <v>130</v>
      </c>
      <c r="G610" s="6">
        <v>3.4</v>
      </c>
      <c r="H610" s="6">
        <f>IF(MONTH(Data!$E610)&lt;=6, YEAR(Data!$E610), YEAR(Data!$E610)+1)</f>
        <v>2024</v>
      </c>
      <c r="I610" s="6" t="str">
        <f>TEXT(Data!$E610,"DDDD")</f>
        <v>Monday</v>
      </c>
      <c r="J610" s="6" t="s">
        <v>14</v>
      </c>
      <c r="K610" s="6">
        <f>ROUND(Data!$G610,0)</f>
        <v>3</v>
      </c>
      <c r="L610" t="str" cm="1">
        <f t="array" ref="L610">_xlfn.IFS(C610&lt;=15,"Very Short",C610&lt;=30,"Short",C610&lt;=60,"Medium",C610&gt;60,"Long")</f>
        <v>Long</v>
      </c>
      <c r="M610" t="str" cm="1">
        <f t="array" ref="M610">_xlfn.IFS(F610&lt;=50,"Low",F610&lt;=100,"Medium",F610&lt;=150,"High",F610&gt;150,"Very High")</f>
        <v>High</v>
      </c>
    </row>
    <row r="611" spans="1:13" ht="14.25" customHeight="1" x14ac:dyDescent="0.4">
      <c r="A611" s="6" t="s">
        <v>645</v>
      </c>
      <c r="B611" s="6" t="s">
        <v>55</v>
      </c>
      <c r="C611" s="6">
        <v>52</v>
      </c>
      <c r="D611" s="7" t="s">
        <v>35</v>
      </c>
      <c r="E611" s="11">
        <v>45117</v>
      </c>
      <c r="F611" s="10">
        <v>190</v>
      </c>
      <c r="G611" s="6">
        <v>3.3</v>
      </c>
      <c r="H611" s="6">
        <f>IF(MONTH(Data!$E611)&lt;=6, YEAR(Data!$E611), YEAR(Data!$E611)+1)</f>
        <v>2024</v>
      </c>
      <c r="I611" s="6" t="str">
        <f>TEXT(Data!$E611,"DDDD")</f>
        <v>Monday</v>
      </c>
      <c r="J611" s="6" t="s">
        <v>27</v>
      </c>
      <c r="K611" s="6">
        <f>ROUND(Data!$G611,0)</f>
        <v>3</v>
      </c>
      <c r="L611" t="str" cm="1">
        <f t="array" ref="L611">_xlfn.IFS(C611&lt;=15,"Very Short",C611&lt;=30,"Short",C611&lt;=60,"Medium",C611&gt;60,"Long")</f>
        <v>Medium</v>
      </c>
      <c r="M611" t="str" cm="1">
        <f t="array" ref="M611">_xlfn.IFS(F611&lt;=50,"Low",F611&lt;=100,"Medium",F611&lt;=150,"High",F611&gt;150,"Very High")</f>
        <v>Very High</v>
      </c>
    </row>
    <row r="612" spans="1:13" ht="14.25" customHeight="1" x14ac:dyDescent="0.4">
      <c r="A612" s="6" t="s">
        <v>646</v>
      </c>
      <c r="B612" s="6" t="s">
        <v>23</v>
      </c>
      <c r="C612" s="6">
        <v>154</v>
      </c>
      <c r="D612" s="7" t="s">
        <v>24</v>
      </c>
      <c r="E612" s="11">
        <v>45117</v>
      </c>
      <c r="F612" s="10">
        <v>164</v>
      </c>
      <c r="G612" s="6">
        <v>4.9000000000000004</v>
      </c>
      <c r="H612" s="6">
        <f>IF(MONTH(Data!$E612)&lt;=6, YEAR(Data!$E612), YEAR(Data!$E612)+1)</f>
        <v>2024</v>
      </c>
      <c r="I612" s="6" t="str">
        <f>TEXT(Data!$E612,"DDDD")</f>
        <v>Monday</v>
      </c>
      <c r="J612" s="6" t="s">
        <v>25</v>
      </c>
      <c r="K612" s="6">
        <f>ROUND(Data!$G612,0)</f>
        <v>5</v>
      </c>
      <c r="L612" t="str" cm="1">
        <f t="array" ref="L612">_xlfn.IFS(C612&lt;=15,"Very Short",C612&lt;=30,"Short",C612&lt;=60,"Medium",C612&gt;60,"Long")</f>
        <v>Long</v>
      </c>
      <c r="M612" t="str" cm="1">
        <f t="array" ref="M612">_xlfn.IFS(F612&lt;=50,"Low",F612&lt;=100,"Medium",F612&lt;=150,"High",F612&gt;150,"Very High")</f>
        <v>Very High</v>
      </c>
    </row>
    <row r="613" spans="1:13" ht="14.25" customHeight="1" x14ac:dyDescent="0.4">
      <c r="A613" s="6" t="s">
        <v>647</v>
      </c>
      <c r="B613" s="6" t="s">
        <v>88</v>
      </c>
      <c r="C613" s="6">
        <v>131</v>
      </c>
      <c r="D613" s="7" t="s">
        <v>19</v>
      </c>
      <c r="E613" s="11">
        <v>45118</v>
      </c>
      <c r="F613" s="10">
        <v>76</v>
      </c>
      <c r="G613" s="6">
        <v>4.5</v>
      </c>
      <c r="H613" s="6">
        <f>IF(MONTH(Data!$E613)&lt;=6, YEAR(Data!$E613), YEAR(Data!$E613)+1)</f>
        <v>2024</v>
      </c>
      <c r="I613" s="6" t="str">
        <f>TEXT(Data!$E613,"DDDD")</f>
        <v>Tuesday</v>
      </c>
      <c r="J613" s="6" t="s">
        <v>25</v>
      </c>
      <c r="K613" s="6">
        <f>ROUND(Data!$G613,0)</f>
        <v>5</v>
      </c>
      <c r="L613" t="str" cm="1">
        <f t="array" ref="L613">_xlfn.IFS(C613&lt;=15,"Very Short",C613&lt;=30,"Short",C613&lt;=60,"Medium",C613&gt;60,"Long")</f>
        <v>Long</v>
      </c>
      <c r="M613" t="str" cm="1">
        <f t="array" ref="M613">_xlfn.IFS(F613&lt;=50,"Low",F613&lt;=100,"Medium",F613&lt;=150,"High",F613&gt;150,"Very High")</f>
        <v>Medium</v>
      </c>
    </row>
    <row r="614" spans="1:13" ht="14.25" customHeight="1" x14ac:dyDescent="0.4">
      <c r="A614" s="6" t="s">
        <v>648</v>
      </c>
      <c r="B614" s="6" t="s">
        <v>18</v>
      </c>
      <c r="C614" s="6">
        <v>73</v>
      </c>
      <c r="D614" s="7" t="s">
        <v>19</v>
      </c>
      <c r="E614" s="11">
        <v>45119</v>
      </c>
      <c r="F614" s="10">
        <v>87</v>
      </c>
      <c r="G614" s="6">
        <v>4.8</v>
      </c>
      <c r="H614" s="6">
        <f>IF(MONTH(Data!$E614)&lt;=6, YEAR(Data!$E614), YEAR(Data!$E614)+1)</f>
        <v>2024</v>
      </c>
      <c r="I614" s="6" t="str">
        <f>TEXT(Data!$E614,"DDDD")</f>
        <v>Wednesday</v>
      </c>
      <c r="J614" s="6" t="s">
        <v>14</v>
      </c>
      <c r="K614" s="6">
        <f>ROUND(Data!$G614,0)</f>
        <v>5</v>
      </c>
      <c r="L614" t="str" cm="1">
        <f t="array" ref="L614">_xlfn.IFS(C614&lt;=15,"Very Short",C614&lt;=30,"Short",C614&lt;=60,"Medium",C614&gt;60,"Long")</f>
        <v>Long</v>
      </c>
      <c r="M614" t="str" cm="1">
        <f t="array" ref="M614">_xlfn.IFS(F614&lt;=50,"Low",F614&lt;=100,"Medium",F614&lt;=150,"High",F614&gt;150,"Very High")</f>
        <v>Medium</v>
      </c>
    </row>
    <row r="615" spans="1:13" ht="14.25" customHeight="1" x14ac:dyDescent="0.4">
      <c r="A615" s="6" t="s">
        <v>649</v>
      </c>
      <c r="B615" s="6" t="s">
        <v>38</v>
      </c>
      <c r="C615" s="6">
        <v>45</v>
      </c>
      <c r="D615" s="7" t="s">
        <v>35</v>
      </c>
      <c r="E615" s="11">
        <v>45119</v>
      </c>
      <c r="F615" s="10">
        <v>84</v>
      </c>
      <c r="G615" s="6">
        <v>4.8</v>
      </c>
      <c r="H615" s="6">
        <f>IF(MONTH(Data!$E615)&lt;=6, YEAR(Data!$E615), YEAR(Data!$E615)+1)</f>
        <v>2024</v>
      </c>
      <c r="I615" s="6" t="str">
        <f>TEXT(Data!$E615,"DDDD")</f>
        <v>Wednesday</v>
      </c>
      <c r="J615" s="6" t="s">
        <v>27</v>
      </c>
      <c r="K615" s="6">
        <f>ROUND(Data!$G615,0)</f>
        <v>5</v>
      </c>
      <c r="L615" t="str" cm="1">
        <f t="array" ref="L615">_xlfn.IFS(C615&lt;=15,"Very Short",C615&lt;=30,"Short",C615&lt;=60,"Medium",C615&gt;60,"Long")</f>
        <v>Medium</v>
      </c>
      <c r="M615" t="str" cm="1">
        <f t="array" ref="M615">_xlfn.IFS(F615&lt;=50,"Low",F615&lt;=100,"Medium",F615&lt;=150,"High",F615&gt;150,"Very High")</f>
        <v>Medium</v>
      </c>
    </row>
    <row r="616" spans="1:13" ht="14.25" customHeight="1" x14ac:dyDescent="0.4">
      <c r="A616" s="6" t="s">
        <v>650</v>
      </c>
      <c r="B616" s="6" t="s">
        <v>50</v>
      </c>
      <c r="C616" s="6">
        <v>114</v>
      </c>
      <c r="D616" s="7" t="s">
        <v>31</v>
      </c>
      <c r="E616" s="11">
        <v>45119</v>
      </c>
      <c r="F616" s="10">
        <v>114</v>
      </c>
      <c r="G616" s="6">
        <v>3.9</v>
      </c>
      <c r="H616" s="6">
        <f>IF(MONTH(Data!$E616)&lt;=6, YEAR(Data!$E616), YEAR(Data!$E616)+1)</f>
        <v>2024</v>
      </c>
      <c r="I616" s="6" t="str">
        <f>TEXT(Data!$E616,"DDDD")</f>
        <v>Wednesday</v>
      </c>
      <c r="J616" s="6" t="s">
        <v>14</v>
      </c>
      <c r="K616" s="6">
        <f>ROUND(Data!$G616,0)</f>
        <v>4</v>
      </c>
      <c r="L616" t="str" cm="1">
        <f t="array" ref="L616">_xlfn.IFS(C616&lt;=15,"Very Short",C616&lt;=30,"Short",C616&lt;=60,"Medium",C616&gt;60,"Long")</f>
        <v>Long</v>
      </c>
      <c r="M616" t="str" cm="1">
        <f t="array" ref="M616">_xlfn.IFS(F616&lt;=50,"Low",F616&lt;=100,"Medium",F616&lt;=150,"High",F616&gt;150,"Very High")</f>
        <v>High</v>
      </c>
    </row>
    <row r="617" spans="1:13" ht="14.25" customHeight="1" x14ac:dyDescent="0.4">
      <c r="A617" s="6" t="s">
        <v>651</v>
      </c>
      <c r="B617" s="6" t="s">
        <v>46</v>
      </c>
      <c r="C617" s="6">
        <v>69</v>
      </c>
      <c r="D617" s="7" t="s">
        <v>19</v>
      </c>
      <c r="E617" s="11">
        <v>45120</v>
      </c>
      <c r="F617" s="10">
        <v>56</v>
      </c>
      <c r="G617" s="6">
        <v>3.9</v>
      </c>
      <c r="H617" s="6">
        <f>IF(MONTH(Data!$E617)&lt;=6, YEAR(Data!$E617), YEAR(Data!$E617)+1)</f>
        <v>2024</v>
      </c>
      <c r="I617" s="6" t="str">
        <f>TEXT(Data!$E617,"DDDD")</f>
        <v>Thursday</v>
      </c>
      <c r="J617" s="6" t="s">
        <v>14</v>
      </c>
      <c r="K617" s="6">
        <f>ROUND(Data!$G617,0)</f>
        <v>4</v>
      </c>
      <c r="L617" t="str" cm="1">
        <f t="array" ref="L617">_xlfn.IFS(C617&lt;=15,"Very Short",C617&lt;=30,"Short",C617&lt;=60,"Medium",C617&gt;60,"Long")</f>
        <v>Long</v>
      </c>
      <c r="M617" t="str" cm="1">
        <f t="array" ref="M617">_xlfn.IFS(F617&lt;=50,"Low",F617&lt;=100,"Medium",F617&lt;=150,"High",F617&gt;150,"Very High")</f>
        <v>Medium</v>
      </c>
    </row>
    <row r="618" spans="1:13" ht="14.25" customHeight="1" x14ac:dyDescent="0.4">
      <c r="A618" s="6" t="s">
        <v>652</v>
      </c>
      <c r="B618" s="6" t="s">
        <v>88</v>
      </c>
      <c r="C618" s="6">
        <v>33</v>
      </c>
      <c r="D618" s="7" t="s">
        <v>24</v>
      </c>
      <c r="E618" s="11">
        <v>45120</v>
      </c>
      <c r="F618" s="10">
        <v>27</v>
      </c>
      <c r="G618" s="6">
        <v>3.7</v>
      </c>
      <c r="H618" s="6">
        <f>IF(MONTH(Data!$E618)&lt;=6, YEAR(Data!$E618), YEAR(Data!$E618)+1)</f>
        <v>2024</v>
      </c>
      <c r="I618" s="6" t="str">
        <f>TEXT(Data!$E618,"DDDD")</f>
        <v>Thursday</v>
      </c>
      <c r="J618" s="6" t="s">
        <v>27</v>
      </c>
      <c r="K618" s="6">
        <f>ROUND(Data!$G618,0)</f>
        <v>4</v>
      </c>
      <c r="L618" t="str" cm="1">
        <f t="array" ref="L618">_xlfn.IFS(C618&lt;=15,"Very Short",C618&lt;=30,"Short",C618&lt;=60,"Medium",C618&gt;60,"Long")</f>
        <v>Medium</v>
      </c>
      <c r="M618" t="str" cm="1">
        <f t="array" ref="M618">_xlfn.IFS(F618&lt;=50,"Low",F618&lt;=100,"Medium",F618&lt;=150,"High",F618&gt;150,"Very High")</f>
        <v>Low</v>
      </c>
    </row>
    <row r="619" spans="1:13" ht="14.25" customHeight="1" x14ac:dyDescent="0.4">
      <c r="A619" s="6" t="s">
        <v>653</v>
      </c>
      <c r="B619" s="6" t="s">
        <v>16</v>
      </c>
      <c r="C619" s="6">
        <v>31</v>
      </c>
      <c r="D619" s="7" t="s">
        <v>13</v>
      </c>
      <c r="E619" s="11">
        <v>45121</v>
      </c>
      <c r="F619" s="10">
        <v>84</v>
      </c>
      <c r="G619" s="6">
        <v>4.8</v>
      </c>
      <c r="H619" s="6">
        <f>IF(MONTH(Data!$E619)&lt;=6, YEAR(Data!$E619), YEAR(Data!$E619)+1)</f>
        <v>2024</v>
      </c>
      <c r="I619" s="6" t="str">
        <f>TEXT(Data!$E619,"DDDD")</f>
        <v>Friday</v>
      </c>
      <c r="J619" s="6" t="s">
        <v>27</v>
      </c>
      <c r="K619" s="6">
        <f>ROUND(Data!$G619,0)</f>
        <v>5</v>
      </c>
      <c r="L619" t="str" cm="1">
        <f t="array" ref="L619">_xlfn.IFS(C619&lt;=15,"Very Short",C619&lt;=30,"Short",C619&lt;=60,"Medium",C619&gt;60,"Long")</f>
        <v>Medium</v>
      </c>
      <c r="M619" t="str" cm="1">
        <f t="array" ref="M619">_xlfn.IFS(F619&lt;=50,"Low",F619&lt;=100,"Medium",F619&lt;=150,"High",F619&gt;150,"Very High")</f>
        <v>Medium</v>
      </c>
    </row>
    <row r="620" spans="1:13" ht="14.25" customHeight="1" x14ac:dyDescent="0.4">
      <c r="A620" s="6" t="s">
        <v>654</v>
      </c>
      <c r="B620" s="6" t="s">
        <v>38</v>
      </c>
      <c r="C620" s="6">
        <v>168</v>
      </c>
      <c r="D620" s="7" t="s">
        <v>24</v>
      </c>
      <c r="E620" s="11">
        <v>45121</v>
      </c>
      <c r="F620" s="10">
        <v>72</v>
      </c>
      <c r="G620" s="6">
        <v>3.5</v>
      </c>
      <c r="H620" s="6">
        <f>IF(MONTH(Data!$E620)&lt;=6, YEAR(Data!$E620), YEAR(Data!$E620)+1)</f>
        <v>2024</v>
      </c>
      <c r="I620" s="6" t="str">
        <f>TEXT(Data!$E620,"DDDD")</f>
        <v>Friday</v>
      </c>
      <c r="J620" s="6" t="s">
        <v>25</v>
      </c>
      <c r="K620" s="6">
        <f>ROUND(Data!$G620,0)</f>
        <v>4</v>
      </c>
      <c r="L620" t="str" cm="1">
        <f t="array" ref="L620">_xlfn.IFS(C620&lt;=15,"Very Short",C620&lt;=30,"Short",C620&lt;=60,"Medium",C620&gt;60,"Long")</f>
        <v>Long</v>
      </c>
      <c r="M620" t="str" cm="1">
        <f t="array" ref="M620">_xlfn.IFS(F620&lt;=50,"Low",F620&lt;=100,"Medium",F620&lt;=150,"High",F620&gt;150,"Very High")</f>
        <v>Medium</v>
      </c>
    </row>
    <row r="621" spans="1:13" ht="14.25" customHeight="1" x14ac:dyDescent="0.4">
      <c r="A621" s="6" t="s">
        <v>655</v>
      </c>
      <c r="B621" s="6" t="s">
        <v>18</v>
      </c>
      <c r="C621" s="6">
        <v>111</v>
      </c>
      <c r="D621" s="7" t="s">
        <v>31</v>
      </c>
      <c r="E621" s="11">
        <v>45122</v>
      </c>
      <c r="F621" s="10">
        <v>126</v>
      </c>
      <c r="G621" s="6">
        <v>4.2</v>
      </c>
      <c r="H621" s="6">
        <f>IF(MONTH(Data!$E621)&lt;=6, YEAR(Data!$E621), YEAR(Data!$E621)+1)</f>
        <v>2024</v>
      </c>
      <c r="I621" s="6" t="str">
        <f>TEXT(Data!$E621,"DDDD")</f>
        <v>Saturday</v>
      </c>
      <c r="J621" s="6" t="s">
        <v>14</v>
      </c>
      <c r="K621" s="6">
        <f>ROUND(Data!$G621,0)</f>
        <v>4</v>
      </c>
      <c r="L621" t="str" cm="1">
        <f t="array" ref="L621">_xlfn.IFS(C621&lt;=15,"Very Short",C621&lt;=30,"Short",C621&lt;=60,"Medium",C621&gt;60,"Long")</f>
        <v>Long</v>
      </c>
      <c r="M621" t="str" cm="1">
        <f t="array" ref="M621">_xlfn.IFS(F621&lt;=50,"Low",F621&lt;=100,"Medium",F621&lt;=150,"High",F621&gt;150,"Very High")</f>
        <v>High</v>
      </c>
    </row>
    <row r="622" spans="1:13" ht="14.25" customHeight="1" x14ac:dyDescent="0.4">
      <c r="A622" s="6" t="s">
        <v>656</v>
      </c>
      <c r="B622" s="6" t="s">
        <v>16</v>
      </c>
      <c r="C622" s="6">
        <v>80</v>
      </c>
      <c r="D622" s="7" t="s">
        <v>24</v>
      </c>
      <c r="E622" s="11">
        <v>45123</v>
      </c>
      <c r="F622" s="10">
        <v>88</v>
      </c>
      <c r="G622" s="6">
        <v>4.9000000000000004</v>
      </c>
      <c r="H622" s="6">
        <f>IF(MONTH(Data!$E622)&lt;=6, YEAR(Data!$E622), YEAR(Data!$E622)+1)</f>
        <v>2024</v>
      </c>
      <c r="I622" s="6" t="str">
        <f>TEXT(Data!$E622,"DDDD")</f>
        <v>Sunday</v>
      </c>
      <c r="J622" s="6" t="s">
        <v>14</v>
      </c>
      <c r="K622" s="6">
        <f>ROUND(Data!$G622,0)</f>
        <v>5</v>
      </c>
      <c r="L622" t="str" cm="1">
        <f t="array" ref="L622">_xlfn.IFS(C622&lt;=15,"Very Short",C622&lt;=30,"Short",C622&lt;=60,"Medium",C622&gt;60,"Long")</f>
        <v>Long</v>
      </c>
      <c r="M622" t="str" cm="1">
        <f t="array" ref="M622">_xlfn.IFS(F622&lt;=50,"Low",F622&lt;=100,"Medium",F622&lt;=150,"High",F622&gt;150,"Very High")</f>
        <v>Medium</v>
      </c>
    </row>
    <row r="623" spans="1:13" ht="14.25" customHeight="1" x14ac:dyDescent="0.4">
      <c r="A623" s="6" t="s">
        <v>657</v>
      </c>
      <c r="B623" s="6" t="s">
        <v>12</v>
      </c>
      <c r="C623" s="6">
        <v>37</v>
      </c>
      <c r="D623" s="7" t="s">
        <v>24</v>
      </c>
      <c r="E623" s="11">
        <v>45123</v>
      </c>
      <c r="F623" s="10">
        <v>124</v>
      </c>
      <c r="G623" s="6">
        <v>4.5999999999999996</v>
      </c>
      <c r="H623" s="6">
        <f>IF(MONTH(Data!$E623)&lt;=6, YEAR(Data!$E623), YEAR(Data!$E623)+1)</f>
        <v>2024</v>
      </c>
      <c r="I623" s="6" t="str">
        <f>TEXT(Data!$E623,"DDDD")</f>
        <v>Sunday</v>
      </c>
      <c r="J623" s="6" t="s">
        <v>27</v>
      </c>
      <c r="K623" s="6">
        <f>ROUND(Data!$G623,0)</f>
        <v>5</v>
      </c>
      <c r="L623" t="str" cm="1">
        <f t="array" ref="L623">_xlfn.IFS(C623&lt;=15,"Very Short",C623&lt;=30,"Short",C623&lt;=60,"Medium",C623&gt;60,"Long")</f>
        <v>Medium</v>
      </c>
      <c r="M623" t="str" cm="1">
        <f t="array" ref="M623">_xlfn.IFS(F623&lt;=50,"Low",F623&lt;=100,"Medium",F623&lt;=150,"High",F623&gt;150,"Very High")</f>
        <v>High</v>
      </c>
    </row>
    <row r="624" spans="1:13" ht="14.25" customHeight="1" x14ac:dyDescent="0.4">
      <c r="A624" s="6" t="s">
        <v>658</v>
      </c>
      <c r="B624" s="6" t="s">
        <v>68</v>
      </c>
      <c r="C624" s="6">
        <v>137</v>
      </c>
      <c r="D624" s="7" t="s">
        <v>24</v>
      </c>
      <c r="E624" s="11">
        <v>45124</v>
      </c>
      <c r="F624" s="10">
        <v>84</v>
      </c>
      <c r="G624" s="6">
        <v>2.6</v>
      </c>
      <c r="H624" s="6">
        <f>IF(MONTH(Data!$E624)&lt;=6, YEAR(Data!$E624), YEAR(Data!$E624)+1)</f>
        <v>2024</v>
      </c>
      <c r="I624" s="6" t="str">
        <f>TEXT(Data!$E624,"DDDD")</f>
        <v>Monday</v>
      </c>
      <c r="J624" s="6" t="s">
        <v>25</v>
      </c>
      <c r="K624" s="6">
        <f>ROUND(Data!$G624,0)</f>
        <v>3</v>
      </c>
      <c r="L624" t="str" cm="1">
        <f t="array" ref="L624">_xlfn.IFS(C624&lt;=15,"Very Short",C624&lt;=30,"Short",C624&lt;=60,"Medium",C624&gt;60,"Long")</f>
        <v>Long</v>
      </c>
      <c r="M624" t="str" cm="1">
        <f t="array" ref="M624">_xlfn.IFS(F624&lt;=50,"Low",F624&lt;=100,"Medium",F624&lt;=150,"High",F624&gt;150,"Very High")</f>
        <v>Medium</v>
      </c>
    </row>
    <row r="625" spans="1:13" ht="14.25" customHeight="1" x14ac:dyDescent="0.4">
      <c r="A625" s="6" t="s">
        <v>659</v>
      </c>
      <c r="B625" s="6" t="s">
        <v>46</v>
      </c>
      <c r="C625" s="6">
        <v>123</v>
      </c>
      <c r="D625" s="7" t="s">
        <v>31</v>
      </c>
      <c r="E625" s="11">
        <v>45124</v>
      </c>
      <c r="F625" s="10">
        <v>80</v>
      </c>
      <c r="G625" s="6">
        <v>2.7</v>
      </c>
      <c r="H625" s="6">
        <f>IF(MONTH(Data!$E625)&lt;=6, YEAR(Data!$E625), YEAR(Data!$E625)+1)</f>
        <v>2024</v>
      </c>
      <c r="I625" s="6" t="str">
        <f>TEXT(Data!$E625,"DDDD")</f>
        <v>Monday</v>
      </c>
      <c r="J625" s="6" t="s">
        <v>25</v>
      </c>
      <c r="K625" s="6">
        <f>ROUND(Data!$G625,0)</f>
        <v>3</v>
      </c>
      <c r="L625" t="str" cm="1">
        <f t="array" ref="L625">_xlfn.IFS(C625&lt;=15,"Very Short",C625&lt;=30,"Short",C625&lt;=60,"Medium",C625&gt;60,"Long")</f>
        <v>Long</v>
      </c>
      <c r="M625" t="str" cm="1">
        <f t="array" ref="M625">_xlfn.IFS(F625&lt;=50,"Low",F625&lt;=100,"Medium",F625&lt;=150,"High",F625&gt;150,"Very High")</f>
        <v>Medium</v>
      </c>
    </row>
    <row r="626" spans="1:13" ht="14.25" customHeight="1" x14ac:dyDescent="0.4">
      <c r="A626" s="6" t="s">
        <v>660</v>
      </c>
      <c r="B626" s="6" t="s">
        <v>58</v>
      </c>
      <c r="C626" s="6">
        <v>105</v>
      </c>
      <c r="D626" s="7" t="s">
        <v>31</v>
      </c>
      <c r="E626" s="11">
        <v>45125</v>
      </c>
      <c r="F626" s="10">
        <v>176</v>
      </c>
      <c r="G626" s="6">
        <v>4.7</v>
      </c>
      <c r="H626" s="6">
        <f>IF(MONTH(Data!$E626)&lt;=6, YEAR(Data!$E626), YEAR(Data!$E626)+1)</f>
        <v>2024</v>
      </c>
      <c r="I626" s="6" t="str">
        <f>TEXT(Data!$E626,"DDDD")</f>
        <v>Tuesday</v>
      </c>
      <c r="J626" s="6" t="s">
        <v>14</v>
      </c>
      <c r="K626" s="6">
        <f>ROUND(Data!$G626,0)</f>
        <v>5</v>
      </c>
      <c r="L626" t="str" cm="1">
        <f t="array" ref="L626">_xlfn.IFS(C626&lt;=15,"Very Short",C626&lt;=30,"Short",C626&lt;=60,"Medium",C626&gt;60,"Long")</f>
        <v>Long</v>
      </c>
      <c r="M626" t="str" cm="1">
        <f t="array" ref="M626">_xlfn.IFS(F626&lt;=50,"Low",F626&lt;=100,"Medium",F626&lt;=150,"High",F626&gt;150,"Very High")</f>
        <v>Very High</v>
      </c>
    </row>
    <row r="627" spans="1:13" ht="14.25" customHeight="1" x14ac:dyDescent="0.4">
      <c r="A627" s="6" t="s">
        <v>661</v>
      </c>
      <c r="B627" s="6" t="s">
        <v>12</v>
      </c>
      <c r="C627" s="6">
        <v>76</v>
      </c>
      <c r="D627" s="7" t="s">
        <v>35</v>
      </c>
      <c r="E627" s="11">
        <v>45126</v>
      </c>
      <c r="F627" s="10">
        <v>84</v>
      </c>
      <c r="G627" s="6">
        <v>3.9</v>
      </c>
      <c r="H627" s="6">
        <f>IF(MONTH(Data!$E627)&lt;=6, YEAR(Data!$E627), YEAR(Data!$E627)+1)</f>
        <v>2024</v>
      </c>
      <c r="I627" s="6" t="str">
        <f>TEXT(Data!$E627,"DDDD")</f>
        <v>Wednesday</v>
      </c>
      <c r="J627" s="6" t="s">
        <v>14</v>
      </c>
      <c r="K627" s="6">
        <f>ROUND(Data!$G627,0)</f>
        <v>4</v>
      </c>
      <c r="L627" t="str" cm="1">
        <f t="array" ref="L627">_xlfn.IFS(C627&lt;=15,"Very Short",C627&lt;=30,"Short",C627&lt;=60,"Medium",C627&gt;60,"Long")</f>
        <v>Long</v>
      </c>
      <c r="M627" t="str" cm="1">
        <f t="array" ref="M627">_xlfn.IFS(F627&lt;=50,"Low",F627&lt;=100,"Medium",F627&lt;=150,"High",F627&gt;150,"Very High")</f>
        <v>Medium</v>
      </c>
    </row>
    <row r="628" spans="1:13" ht="14.25" customHeight="1" x14ac:dyDescent="0.4">
      <c r="A628" s="6" t="s">
        <v>662</v>
      </c>
      <c r="B628" s="6" t="s">
        <v>16</v>
      </c>
      <c r="C628" s="6">
        <v>144</v>
      </c>
      <c r="D628" s="7" t="s">
        <v>35</v>
      </c>
      <c r="E628" s="11">
        <v>45126</v>
      </c>
      <c r="F628" s="10">
        <v>164</v>
      </c>
      <c r="G628" s="6">
        <v>2.8</v>
      </c>
      <c r="H628" s="6">
        <f>IF(MONTH(Data!$E628)&lt;=6, YEAR(Data!$E628), YEAR(Data!$E628)+1)</f>
        <v>2024</v>
      </c>
      <c r="I628" s="6" t="str">
        <f>TEXT(Data!$E628,"DDDD")</f>
        <v>Wednesday</v>
      </c>
      <c r="J628" s="6" t="s">
        <v>25</v>
      </c>
      <c r="K628" s="6">
        <f>ROUND(Data!$G628,0)</f>
        <v>3</v>
      </c>
      <c r="L628" t="str" cm="1">
        <f t="array" ref="L628">_xlfn.IFS(C628&lt;=15,"Very Short",C628&lt;=30,"Short",C628&lt;=60,"Medium",C628&gt;60,"Long")</f>
        <v>Long</v>
      </c>
      <c r="M628" t="str" cm="1">
        <f t="array" ref="M628">_xlfn.IFS(F628&lt;=50,"Low",F628&lt;=100,"Medium",F628&lt;=150,"High",F628&gt;150,"Very High")</f>
        <v>Very High</v>
      </c>
    </row>
    <row r="629" spans="1:13" ht="14.25" customHeight="1" x14ac:dyDescent="0.4">
      <c r="A629" s="6" t="s">
        <v>663</v>
      </c>
      <c r="B629" s="6" t="s">
        <v>88</v>
      </c>
      <c r="C629" s="6">
        <v>109</v>
      </c>
      <c r="D629" s="7" t="s">
        <v>13</v>
      </c>
      <c r="E629" s="11">
        <v>45126</v>
      </c>
      <c r="F629" s="10">
        <v>132</v>
      </c>
      <c r="G629" s="6">
        <v>3.1</v>
      </c>
      <c r="H629" s="6">
        <f>IF(MONTH(Data!$E629)&lt;=6, YEAR(Data!$E629), YEAR(Data!$E629)+1)</f>
        <v>2024</v>
      </c>
      <c r="I629" s="6" t="str">
        <f>TEXT(Data!$E629,"DDDD")</f>
        <v>Wednesday</v>
      </c>
      <c r="J629" s="6" t="s">
        <v>14</v>
      </c>
      <c r="K629" s="6">
        <f>ROUND(Data!$G629,0)</f>
        <v>3</v>
      </c>
      <c r="L629" t="str" cm="1">
        <f t="array" ref="L629">_xlfn.IFS(C629&lt;=15,"Very Short",C629&lt;=30,"Short",C629&lt;=60,"Medium",C629&gt;60,"Long")</f>
        <v>Long</v>
      </c>
      <c r="M629" t="str" cm="1">
        <f t="array" ref="M629">_xlfn.IFS(F629&lt;=50,"Low",F629&lt;=100,"Medium",F629&lt;=150,"High",F629&gt;150,"Very High")</f>
        <v>High</v>
      </c>
    </row>
    <row r="630" spans="1:13" ht="14.25" customHeight="1" x14ac:dyDescent="0.4">
      <c r="A630" s="6" t="s">
        <v>664</v>
      </c>
      <c r="B630" s="6" t="s">
        <v>46</v>
      </c>
      <c r="C630" s="6">
        <v>172</v>
      </c>
      <c r="D630" s="7" t="s">
        <v>24</v>
      </c>
      <c r="E630" s="11">
        <v>45127</v>
      </c>
      <c r="F630" s="10">
        <v>27</v>
      </c>
      <c r="G630" s="6">
        <v>4.2</v>
      </c>
      <c r="H630" s="6">
        <f>IF(MONTH(Data!$E630)&lt;=6, YEAR(Data!$E630), YEAR(Data!$E630)+1)</f>
        <v>2024</v>
      </c>
      <c r="I630" s="6" t="str">
        <f>TEXT(Data!$E630,"DDDD")</f>
        <v>Thursday</v>
      </c>
      <c r="J630" s="6" t="s">
        <v>25</v>
      </c>
      <c r="K630" s="6">
        <f>ROUND(Data!$G630,0)</f>
        <v>4</v>
      </c>
      <c r="L630" t="str" cm="1">
        <f t="array" ref="L630">_xlfn.IFS(C630&lt;=15,"Very Short",C630&lt;=30,"Short",C630&lt;=60,"Medium",C630&gt;60,"Long")</f>
        <v>Long</v>
      </c>
      <c r="M630" t="str" cm="1">
        <f t="array" ref="M630">_xlfn.IFS(F630&lt;=50,"Low",F630&lt;=100,"Medium",F630&lt;=150,"High",F630&gt;150,"Very High")</f>
        <v>Low</v>
      </c>
    </row>
    <row r="631" spans="1:13" ht="14.25" customHeight="1" x14ac:dyDescent="0.4">
      <c r="A631" s="6" t="s">
        <v>665</v>
      </c>
      <c r="B631" s="6" t="s">
        <v>16</v>
      </c>
      <c r="C631" s="6">
        <v>56</v>
      </c>
      <c r="D631" s="7" t="s">
        <v>31</v>
      </c>
      <c r="E631" s="11">
        <v>45127</v>
      </c>
      <c r="F631" s="10">
        <v>27</v>
      </c>
      <c r="G631" s="6">
        <v>4.3</v>
      </c>
      <c r="H631" s="6">
        <f>IF(MONTH(Data!$E631)&lt;=6, YEAR(Data!$E631), YEAR(Data!$E631)+1)</f>
        <v>2024</v>
      </c>
      <c r="I631" s="6" t="str">
        <f>TEXT(Data!$E631,"DDDD")</f>
        <v>Thursday</v>
      </c>
      <c r="J631" s="6" t="s">
        <v>27</v>
      </c>
      <c r="K631" s="6">
        <f>ROUND(Data!$G631,0)</f>
        <v>4</v>
      </c>
      <c r="L631" t="str" cm="1">
        <f t="array" ref="L631">_xlfn.IFS(C631&lt;=15,"Very Short",C631&lt;=30,"Short",C631&lt;=60,"Medium",C631&gt;60,"Long")</f>
        <v>Medium</v>
      </c>
      <c r="M631" t="str" cm="1">
        <f t="array" ref="M631">_xlfn.IFS(F631&lt;=50,"Low",F631&lt;=100,"Medium",F631&lt;=150,"High",F631&gt;150,"Very High")</f>
        <v>Low</v>
      </c>
    </row>
    <row r="632" spans="1:13" ht="14.25" customHeight="1" x14ac:dyDescent="0.4">
      <c r="A632" s="6" t="s">
        <v>666</v>
      </c>
      <c r="B632" s="6" t="s">
        <v>16</v>
      </c>
      <c r="C632" s="6">
        <v>121</v>
      </c>
      <c r="D632" s="7" t="s">
        <v>19</v>
      </c>
      <c r="E632" s="11">
        <v>45127</v>
      </c>
      <c r="F632" s="10">
        <v>20</v>
      </c>
      <c r="G632" s="6">
        <v>2.7</v>
      </c>
      <c r="H632" s="6">
        <f>IF(MONTH(Data!$E632)&lt;=6, YEAR(Data!$E632), YEAR(Data!$E632)+1)</f>
        <v>2024</v>
      </c>
      <c r="I632" s="6" t="str">
        <f>TEXT(Data!$E632,"DDDD")</f>
        <v>Thursday</v>
      </c>
      <c r="J632" s="6" t="s">
        <v>25</v>
      </c>
      <c r="K632" s="6">
        <f>ROUND(Data!$G632,0)</f>
        <v>3</v>
      </c>
      <c r="L632" t="str" cm="1">
        <f t="array" ref="L632">_xlfn.IFS(C632&lt;=15,"Very Short",C632&lt;=30,"Short",C632&lt;=60,"Medium",C632&gt;60,"Long")</f>
        <v>Long</v>
      </c>
      <c r="M632" t="str" cm="1">
        <f t="array" ref="M632">_xlfn.IFS(F632&lt;=50,"Low",F632&lt;=100,"Medium",F632&lt;=150,"High",F632&gt;150,"Very High")</f>
        <v>Low</v>
      </c>
    </row>
    <row r="633" spans="1:13" ht="14.25" customHeight="1" x14ac:dyDescent="0.4">
      <c r="A633" s="6" t="s">
        <v>667</v>
      </c>
      <c r="B633" s="6" t="s">
        <v>46</v>
      </c>
      <c r="C633" s="6">
        <v>41</v>
      </c>
      <c r="D633" s="7" t="s">
        <v>31</v>
      </c>
      <c r="E633" s="11">
        <v>45128</v>
      </c>
      <c r="F633" s="10">
        <v>112</v>
      </c>
      <c r="G633" s="6">
        <v>2.2999999999999998</v>
      </c>
      <c r="H633" s="6">
        <f>IF(MONTH(Data!$E633)&lt;=6, YEAR(Data!$E633), YEAR(Data!$E633)+1)</f>
        <v>2024</v>
      </c>
      <c r="I633" s="6" t="str">
        <f>TEXT(Data!$E633,"DDDD")</f>
        <v>Friday</v>
      </c>
      <c r="J633" s="6" t="s">
        <v>27</v>
      </c>
      <c r="K633" s="6">
        <f>ROUND(Data!$G633,0)</f>
        <v>2</v>
      </c>
      <c r="L633" t="str" cm="1">
        <f t="array" ref="L633">_xlfn.IFS(C633&lt;=15,"Very Short",C633&lt;=30,"Short",C633&lt;=60,"Medium",C633&gt;60,"Long")</f>
        <v>Medium</v>
      </c>
      <c r="M633" t="str" cm="1">
        <f t="array" ref="M633">_xlfn.IFS(F633&lt;=50,"Low",F633&lt;=100,"Medium",F633&lt;=150,"High",F633&gt;150,"Very High")</f>
        <v>High</v>
      </c>
    </row>
    <row r="634" spans="1:13" ht="14.25" customHeight="1" x14ac:dyDescent="0.4">
      <c r="A634" s="6" t="s">
        <v>668</v>
      </c>
      <c r="B634" s="6" t="s">
        <v>21</v>
      </c>
      <c r="C634" s="6">
        <v>60</v>
      </c>
      <c r="D634" s="7" t="s">
        <v>24</v>
      </c>
      <c r="E634" s="11">
        <v>45128</v>
      </c>
      <c r="F634" s="10">
        <v>60</v>
      </c>
      <c r="G634" s="6">
        <v>2.2999999999999998</v>
      </c>
      <c r="H634" s="6">
        <f>IF(MONTH(Data!$E634)&lt;=6, YEAR(Data!$E634), YEAR(Data!$E634)+1)</f>
        <v>2024</v>
      </c>
      <c r="I634" s="6" t="str">
        <f>TEXT(Data!$E634,"DDDD")</f>
        <v>Friday</v>
      </c>
      <c r="J634" s="6" t="s">
        <v>27</v>
      </c>
      <c r="K634" s="6">
        <f>ROUND(Data!$G634,0)</f>
        <v>2</v>
      </c>
      <c r="L634" t="str" cm="1">
        <f t="array" ref="L634">_xlfn.IFS(C634&lt;=15,"Very Short",C634&lt;=30,"Short",C634&lt;=60,"Medium",C634&gt;60,"Long")</f>
        <v>Medium</v>
      </c>
      <c r="M634" t="str" cm="1">
        <f t="array" ref="M634">_xlfn.IFS(F634&lt;=50,"Low",F634&lt;=100,"Medium",F634&lt;=150,"High",F634&gt;150,"Very High")</f>
        <v>Medium</v>
      </c>
    </row>
    <row r="635" spans="1:13" ht="14.25" customHeight="1" x14ac:dyDescent="0.4">
      <c r="A635" s="6" t="s">
        <v>669</v>
      </c>
      <c r="B635" s="6" t="s">
        <v>21</v>
      </c>
      <c r="C635" s="6">
        <v>144</v>
      </c>
      <c r="D635" s="7" t="s">
        <v>24</v>
      </c>
      <c r="E635" s="11">
        <v>45129</v>
      </c>
      <c r="F635" s="10">
        <v>102</v>
      </c>
      <c r="G635" s="6">
        <v>2.9</v>
      </c>
      <c r="H635" s="6">
        <f>IF(MONTH(Data!$E635)&lt;=6, YEAR(Data!$E635), YEAR(Data!$E635)+1)</f>
        <v>2024</v>
      </c>
      <c r="I635" s="6" t="str">
        <f>TEXT(Data!$E635,"DDDD")</f>
        <v>Saturday</v>
      </c>
      <c r="J635" s="6" t="s">
        <v>25</v>
      </c>
      <c r="K635" s="6">
        <f>ROUND(Data!$G635,0)</f>
        <v>3</v>
      </c>
      <c r="L635" t="str" cm="1">
        <f t="array" ref="L635">_xlfn.IFS(C635&lt;=15,"Very Short",C635&lt;=30,"Short",C635&lt;=60,"Medium",C635&gt;60,"Long")</f>
        <v>Long</v>
      </c>
      <c r="M635" t="str" cm="1">
        <f t="array" ref="M635">_xlfn.IFS(F635&lt;=50,"Low",F635&lt;=100,"Medium",F635&lt;=150,"High",F635&gt;150,"Very High")</f>
        <v>High</v>
      </c>
    </row>
    <row r="636" spans="1:13" ht="14.25" customHeight="1" x14ac:dyDescent="0.4">
      <c r="A636" s="6" t="s">
        <v>670</v>
      </c>
      <c r="B636" s="6" t="s">
        <v>23</v>
      </c>
      <c r="C636" s="6">
        <v>67</v>
      </c>
      <c r="D636" s="7" t="s">
        <v>24</v>
      </c>
      <c r="E636" s="11">
        <v>45129</v>
      </c>
      <c r="F636" s="10">
        <v>38</v>
      </c>
      <c r="G636" s="6">
        <v>4.2</v>
      </c>
      <c r="H636" s="6">
        <f>IF(MONTH(Data!$E636)&lt;=6, YEAR(Data!$E636), YEAR(Data!$E636)+1)</f>
        <v>2024</v>
      </c>
      <c r="I636" s="6" t="str">
        <f>TEXT(Data!$E636,"DDDD")</f>
        <v>Saturday</v>
      </c>
      <c r="J636" s="6" t="s">
        <v>14</v>
      </c>
      <c r="K636" s="6">
        <f>ROUND(Data!$G636,0)</f>
        <v>4</v>
      </c>
      <c r="L636" t="str" cm="1">
        <f t="array" ref="L636">_xlfn.IFS(C636&lt;=15,"Very Short",C636&lt;=30,"Short",C636&lt;=60,"Medium",C636&gt;60,"Long")</f>
        <v>Long</v>
      </c>
      <c r="M636" t="str" cm="1">
        <f t="array" ref="M636">_xlfn.IFS(F636&lt;=50,"Low",F636&lt;=100,"Medium",F636&lt;=150,"High",F636&gt;150,"Very High")</f>
        <v>Low</v>
      </c>
    </row>
    <row r="637" spans="1:13" ht="14.25" customHeight="1" x14ac:dyDescent="0.4">
      <c r="A637" s="6" t="s">
        <v>671</v>
      </c>
      <c r="B637" s="6" t="s">
        <v>46</v>
      </c>
      <c r="C637" s="6">
        <v>162</v>
      </c>
      <c r="D637" s="7" t="s">
        <v>13</v>
      </c>
      <c r="E637" s="11">
        <v>45129</v>
      </c>
      <c r="F637" s="10">
        <v>82</v>
      </c>
      <c r="G637" s="6">
        <v>4.5999999999999996</v>
      </c>
      <c r="H637" s="6">
        <f>IF(MONTH(Data!$E637)&lt;=6, YEAR(Data!$E637), YEAR(Data!$E637)+1)</f>
        <v>2024</v>
      </c>
      <c r="I637" s="6" t="str">
        <f>TEXT(Data!$E637,"DDDD")</f>
        <v>Saturday</v>
      </c>
      <c r="J637" s="6" t="s">
        <v>25</v>
      </c>
      <c r="K637" s="6">
        <f>ROUND(Data!$G637,0)</f>
        <v>5</v>
      </c>
      <c r="L637" t="str" cm="1">
        <f t="array" ref="L637">_xlfn.IFS(C637&lt;=15,"Very Short",C637&lt;=30,"Short",C637&lt;=60,"Medium",C637&gt;60,"Long")</f>
        <v>Long</v>
      </c>
      <c r="M637" t="str" cm="1">
        <f t="array" ref="M637">_xlfn.IFS(F637&lt;=50,"Low",F637&lt;=100,"Medium",F637&lt;=150,"High",F637&gt;150,"Very High")</f>
        <v>Medium</v>
      </c>
    </row>
    <row r="638" spans="1:13" ht="14.25" customHeight="1" x14ac:dyDescent="0.4">
      <c r="A638" s="6" t="s">
        <v>672</v>
      </c>
      <c r="B638" s="6" t="s">
        <v>21</v>
      </c>
      <c r="C638" s="6">
        <v>87</v>
      </c>
      <c r="D638" s="7" t="s">
        <v>19</v>
      </c>
      <c r="E638" s="11">
        <v>45132</v>
      </c>
      <c r="F638" s="10">
        <v>125</v>
      </c>
      <c r="G638" s="6">
        <v>4.5</v>
      </c>
      <c r="H638" s="6">
        <f>IF(MONTH(Data!$E638)&lt;=6, YEAR(Data!$E638), YEAR(Data!$E638)+1)</f>
        <v>2024</v>
      </c>
      <c r="I638" s="6" t="str">
        <f>TEXT(Data!$E638,"DDDD")</f>
        <v>Tuesday</v>
      </c>
      <c r="J638" s="6" t="s">
        <v>14</v>
      </c>
      <c r="K638" s="6">
        <f>ROUND(Data!$G638,0)</f>
        <v>5</v>
      </c>
      <c r="L638" t="str" cm="1">
        <f t="array" ref="L638">_xlfn.IFS(C638&lt;=15,"Very Short",C638&lt;=30,"Short",C638&lt;=60,"Medium",C638&gt;60,"Long")</f>
        <v>Long</v>
      </c>
      <c r="M638" t="str" cm="1">
        <f t="array" ref="M638">_xlfn.IFS(F638&lt;=50,"Low",F638&lt;=100,"Medium",F638&lt;=150,"High",F638&gt;150,"Very High")</f>
        <v>High</v>
      </c>
    </row>
    <row r="639" spans="1:13" ht="14.25" customHeight="1" x14ac:dyDescent="0.4">
      <c r="A639" s="6" t="s">
        <v>673</v>
      </c>
      <c r="B639" s="6" t="s">
        <v>55</v>
      </c>
      <c r="C639" s="6">
        <v>10</v>
      </c>
      <c r="D639" s="7" t="s">
        <v>35</v>
      </c>
      <c r="E639" s="11">
        <v>45133</v>
      </c>
      <c r="F639" s="10">
        <v>72</v>
      </c>
      <c r="G639" s="6">
        <v>3.7</v>
      </c>
      <c r="H639" s="6">
        <f>IF(MONTH(Data!$E639)&lt;=6, YEAR(Data!$E639), YEAR(Data!$E639)+1)</f>
        <v>2024</v>
      </c>
      <c r="I639" s="6" t="str">
        <f>TEXT(Data!$E639,"DDDD")</f>
        <v>Wednesday</v>
      </c>
      <c r="J639" s="6" t="s">
        <v>176</v>
      </c>
      <c r="K639" s="6">
        <f>ROUND(Data!$G639,0)</f>
        <v>4</v>
      </c>
      <c r="L639" t="str" cm="1">
        <f t="array" ref="L639">_xlfn.IFS(C639&lt;=15,"Very Short",C639&lt;=30,"Short",C639&lt;=60,"Medium",C639&gt;60,"Long")</f>
        <v>Very Short</v>
      </c>
      <c r="M639" t="str" cm="1">
        <f t="array" ref="M639">_xlfn.IFS(F639&lt;=50,"Low",F639&lt;=100,"Medium",F639&lt;=150,"High",F639&gt;150,"Very High")</f>
        <v>Medium</v>
      </c>
    </row>
    <row r="640" spans="1:13" ht="14.25" customHeight="1" x14ac:dyDescent="0.4">
      <c r="A640" s="6" t="s">
        <v>674</v>
      </c>
      <c r="B640" s="6" t="s">
        <v>16</v>
      </c>
      <c r="C640" s="6">
        <v>138</v>
      </c>
      <c r="D640" s="7" t="s">
        <v>35</v>
      </c>
      <c r="E640" s="11">
        <v>45133</v>
      </c>
      <c r="F640" s="10">
        <v>195</v>
      </c>
      <c r="G640" s="6">
        <v>4.0999999999999996</v>
      </c>
      <c r="H640" s="6">
        <f>IF(MONTH(Data!$E640)&lt;=6, YEAR(Data!$E640), YEAR(Data!$E640)+1)</f>
        <v>2024</v>
      </c>
      <c r="I640" s="6" t="str">
        <f>TEXT(Data!$E640,"DDDD")</f>
        <v>Wednesday</v>
      </c>
      <c r="J640" s="6" t="s">
        <v>25</v>
      </c>
      <c r="K640" s="6">
        <f>ROUND(Data!$G640,0)</f>
        <v>4</v>
      </c>
      <c r="L640" t="str" cm="1">
        <f t="array" ref="L640">_xlfn.IFS(C640&lt;=15,"Very Short",C640&lt;=30,"Short",C640&lt;=60,"Medium",C640&gt;60,"Long")</f>
        <v>Long</v>
      </c>
      <c r="M640" t="str" cm="1">
        <f t="array" ref="M640">_xlfn.IFS(F640&lt;=50,"Low",F640&lt;=100,"Medium",F640&lt;=150,"High",F640&gt;150,"Very High")</f>
        <v>Very High</v>
      </c>
    </row>
    <row r="641" spans="1:13" ht="14.25" customHeight="1" x14ac:dyDescent="0.4">
      <c r="A641" s="6" t="s">
        <v>675</v>
      </c>
      <c r="B641" s="6" t="s">
        <v>46</v>
      </c>
      <c r="C641" s="6">
        <v>31</v>
      </c>
      <c r="D641" s="7" t="s">
        <v>35</v>
      </c>
      <c r="E641" s="11">
        <v>45134</v>
      </c>
      <c r="F641" s="10">
        <v>160</v>
      </c>
      <c r="G641" s="6">
        <v>3.4</v>
      </c>
      <c r="H641" s="6">
        <f>IF(MONTH(Data!$E641)&lt;=6, YEAR(Data!$E641), YEAR(Data!$E641)+1)</f>
        <v>2024</v>
      </c>
      <c r="I641" s="6" t="str">
        <f>TEXT(Data!$E641,"DDDD")</f>
        <v>Thursday</v>
      </c>
      <c r="J641" s="6" t="s">
        <v>27</v>
      </c>
      <c r="K641" s="6">
        <f>ROUND(Data!$G641,0)</f>
        <v>3</v>
      </c>
      <c r="L641" t="str" cm="1">
        <f t="array" ref="L641">_xlfn.IFS(C641&lt;=15,"Very Short",C641&lt;=30,"Short",C641&lt;=60,"Medium",C641&gt;60,"Long")</f>
        <v>Medium</v>
      </c>
      <c r="M641" t="str" cm="1">
        <f t="array" ref="M641">_xlfn.IFS(F641&lt;=50,"Low",F641&lt;=100,"Medium",F641&lt;=150,"High",F641&gt;150,"Very High")</f>
        <v>Very High</v>
      </c>
    </row>
    <row r="642" spans="1:13" ht="14.25" customHeight="1" x14ac:dyDescent="0.4">
      <c r="A642" s="6" t="s">
        <v>676</v>
      </c>
      <c r="B642" s="6" t="s">
        <v>58</v>
      </c>
      <c r="C642" s="6">
        <v>75</v>
      </c>
      <c r="D642" s="7" t="s">
        <v>13</v>
      </c>
      <c r="E642" s="11">
        <v>45134</v>
      </c>
      <c r="F642" s="10">
        <v>78</v>
      </c>
      <c r="G642" s="6">
        <v>3.3</v>
      </c>
      <c r="H642" s="6">
        <f>IF(MONTH(Data!$E642)&lt;=6, YEAR(Data!$E642), YEAR(Data!$E642)+1)</f>
        <v>2024</v>
      </c>
      <c r="I642" s="6" t="str">
        <f>TEXT(Data!$E642,"DDDD")</f>
        <v>Thursday</v>
      </c>
      <c r="J642" s="6" t="s">
        <v>14</v>
      </c>
      <c r="K642" s="6">
        <f>ROUND(Data!$G642,0)</f>
        <v>3</v>
      </c>
      <c r="L642" t="str" cm="1">
        <f t="array" ref="L642">_xlfn.IFS(C642&lt;=15,"Very Short",C642&lt;=30,"Short",C642&lt;=60,"Medium",C642&gt;60,"Long")</f>
        <v>Long</v>
      </c>
      <c r="M642" t="str" cm="1">
        <f t="array" ref="M642">_xlfn.IFS(F642&lt;=50,"Low",F642&lt;=100,"Medium",F642&lt;=150,"High",F642&gt;150,"Very High")</f>
        <v>Medium</v>
      </c>
    </row>
    <row r="643" spans="1:13" ht="14.25" customHeight="1" x14ac:dyDescent="0.4">
      <c r="A643" s="6" t="s">
        <v>677</v>
      </c>
      <c r="B643" s="6" t="s">
        <v>12</v>
      </c>
      <c r="C643" s="6">
        <v>65</v>
      </c>
      <c r="D643" s="7" t="s">
        <v>13</v>
      </c>
      <c r="E643" s="11">
        <v>45135</v>
      </c>
      <c r="F643" s="10">
        <v>70</v>
      </c>
      <c r="G643" s="6">
        <v>4.4000000000000004</v>
      </c>
      <c r="H643" s="6">
        <f>IF(MONTH(Data!$E643)&lt;=6, YEAR(Data!$E643), YEAR(Data!$E643)+1)</f>
        <v>2024</v>
      </c>
      <c r="I643" s="6" t="str">
        <f>TEXT(Data!$E643,"DDDD")</f>
        <v>Friday</v>
      </c>
      <c r="J643" s="6" t="s">
        <v>14</v>
      </c>
      <c r="K643" s="6">
        <f>ROUND(Data!$G643,0)</f>
        <v>4</v>
      </c>
      <c r="L643" t="str" cm="1">
        <f t="array" ref="L643">_xlfn.IFS(C643&lt;=15,"Very Short",C643&lt;=30,"Short",C643&lt;=60,"Medium",C643&gt;60,"Long")</f>
        <v>Long</v>
      </c>
      <c r="M643" t="str" cm="1">
        <f t="array" ref="M643">_xlfn.IFS(F643&lt;=50,"Low",F643&lt;=100,"Medium",F643&lt;=150,"High",F643&gt;150,"Very High")</f>
        <v>Medium</v>
      </c>
    </row>
    <row r="644" spans="1:13" ht="14.25" customHeight="1" x14ac:dyDescent="0.4">
      <c r="A644" s="6" t="s">
        <v>678</v>
      </c>
      <c r="B644" s="6" t="s">
        <v>18</v>
      </c>
      <c r="C644" s="6">
        <v>106</v>
      </c>
      <c r="D644" s="7" t="s">
        <v>31</v>
      </c>
      <c r="E644" s="11">
        <v>45135</v>
      </c>
      <c r="F644" s="10">
        <v>105</v>
      </c>
      <c r="G644" s="6">
        <v>4.2</v>
      </c>
      <c r="H644" s="6">
        <f>IF(MONTH(Data!$E644)&lt;=6, YEAR(Data!$E644), YEAR(Data!$E644)+1)</f>
        <v>2024</v>
      </c>
      <c r="I644" s="6" t="str">
        <f>TEXT(Data!$E644,"DDDD")</f>
        <v>Friday</v>
      </c>
      <c r="J644" s="6" t="s">
        <v>14</v>
      </c>
      <c r="K644" s="6">
        <f>ROUND(Data!$G644,0)</f>
        <v>4</v>
      </c>
      <c r="L644" t="str" cm="1">
        <f t="array" ref="L644">_xlfn.IFS(C644&lt;=15,"Very Short",C644&lt;=30,"Short",C644&lt;=60,"Medium",C644&gt;60,"Long")</f>
        <v>Long</v>
      </c>
      <c r="M644" t="str" cm="1">
        <f t="array" ref="M644">_xlfn.IFS(F644&lt;=50,"Low",F644&lt;=100,"Medium",F644&lt;=150,"High",F644&gt;150,"Very High")</f>
        <v>High</v>
      </c>
    </row>
    <row r="645" spans="1:13" ht="14.25" customHeight="1" x14ac:dyDescent="0.4">
      <c r="A645" s="6" t="s">
        <v>679</v>
      </c>
      <c r="B645" s="6" t="s">
        <v>12</v>
      </c>
      <c r="C645" s="6">
        <v>107</v>
      </c>
      <c r="D645" s="7" t="s">
        <v>31</v>
      </c>
      <c r="E645" s="11">
        <v>45136</v>
      </c>
      <c r="F645" s="10">
        <v>78</v>
      </c>
      <c r="G645" s="6">
        <v>3.4</v>
      </c>
      <c r="H645" s="6">
        <f>IF(MONTH(Data!$E645)&lt;=6, YEAR(Data!$E645), YEAR(Data!$E645)+1)</f>
        <v>2024</v>
      </c>
      <c r="I645" s="6" t="str">
        <f>TEXT(Data!$E645,"DDDD")</f>
        <v>Saturday</v>
      </c>
      <c r="J645" s="6" t="s">
        <v>14</v>
      </c>
      <c r="K645" s="6">
        <f>ROUND(Data!$G645,0)</f>
        <v>3</v>
      </c>
      <c r="L645" t="str" cm="1">
        <f t="array" ref="L645">_xlfn.IFS(C645&lt;=15,"Very Short",C645&lt;=30,"Short",C645&lt;=60,"Medium",C645&gt;60,"Long")</f>
        <v>Long</v>
      </c>
      <c r="M645" t="str" cm="1">
        <f t="array" ref="M645">_xlfn.IFS(F645&lt;=50,"Low",F645&lt;=100,"Medium",F645&lt;=150,"High",F645&gt;150,"Very High")</f>
        <v>Medium</v>
      </c>
    </row>
    <row r="646" spans="1:13" ht="14.25" customHeight="1" x14ac:dyDescent="0.4">
      <c r="A646" s="6" t="s">
        <v>680</v>
      </c>
      <c r="B646" s="6" t="s">
        <v>68</v>
      </c>
      <c r="C646" s="6">
        <v>78</v>
      </c>
      <c r="D646" s="7" t="s">
        <v>31</v>
      </c>
      <c r="E646" s="11">
        <v>45138</v>
      </c>
      <c r="F646" s="10">
        <v>205</v>
      </c>
      <c r="G646" s="6">
        <v>4.4000000000000004</v>
      </c>
      <c r="H646" s="6">
        <f>IF(MONTH(Data!$E646)&lt;=6, YEAR(Data!$E646), YEAR(Data!$E646)+1)</f>
        <v>2024</v>
      </c>
      <c r="I646" s="6" t="str">
        <f>TEXT(Data!$E646,"DDDD")</f>
        <v>Monday</v>
      </c>
      <c r="J646" s="6" t="s">
        <v>14</v>
      </c>
      <c r="K646" s="6">
        <f>ROUND(Data!$G646,0)</f>
        <v>4</v>
      </c>
      <c r="L646" t="str" cm="1">
        <f t="array" ref="L646">_xlfn.IFS(C646&lt;=15,"Very Short",C646&lt;=30,"Short",C646&lt;=60,"Medium",C646&gt;60,"Long")</f>
        <v>Long</v>
      </c>
      <c r="M646" t="str" cm="1">
        <f t="array" ref="M646">_xlfn.IFS(F646&lt;=50,"Low",F646&lt;=100,"Medium",F646&lt;=150,"High",F646&gt;150,"Very High")</f>
        <v>Very High</v>
      </c>
    </row>
    <row r="647" spans="1:13" ht="14.25" customHeight="1" x14ac:dyDescent="0.4">
      <c r="A647" s="6" t="s">
        <v>681</v>
      </c>
      <c r="B647" s="6" t="s">
        <v>40</v>
      </c>
      <c r="C647" s="6">
        <v>122</v>
      </c>
      <c r="D647" s="7" t="s">
        <v>31</v>
      </c>
      <c r="E647" s="11">
        <v>45138</v>
      </c>
      <c r="F647" s="10">
        <v>78</v>
      </c>
      <c r="G647" s="6">
        <v>2.7</v>
      </c>
      <c r="H647" s="6">
        <f>IF(MONTH(Data!$E647)&lt;=6, YEAR(Data!$E647), YEAR(Data!$E647)+1)</f>
        <v>2024</v>
      </c>
      <c r="I647" s="6" t="str">
        <f>TEXT(Data!$E647,"DDDD")</f>
        <v>Monday</v>
      </c>
      <c r="J647" s="6" t="s">
        <v>25</v>
      </c>
      <c r="K647" s="6">
        <f>ROUND(Data!$G647,0)</f>
        <v>3</v>
      </c>
      <c r="L647" t="str" cm="1">
        <f t="array" ref="L647">_xlfn.IFS(C647&lt;=15,"Very Short",C647&lt;=30,"Short",C647&lt;=60,"Medium",C647&gt;60,"Long")</f>
        <v>Long</v>
      </c>
      <c r="M647" t="str" cm="1">
        <f t="array" ref="M647">_xlfn.IFS(F647&lt;=50,"Low",F647&lt;=100,"Medium",F647&lt;=150,"High",F647&gt;150,"Very High")</f>
        <v>Medium</v>
      </c>
    </row>
    <row r="648" spans="1:13" ht="14.25" customHeight="1" x14ac:dyDescent="0.4">
      <c r="A648" s="6" t="s">
        <v>682</v>
      </c>
      <c r="B648" s="6" t="s">
        <v>16</v>
      </c>
      <c r="C648" s="6">
        <v>58</v>
      </c>
      <c r="D648" s="7" t="s">
        <v>35</v>
      </c>
      <c r="E648" s="11">
        <v>45138</v>
      </c>
      <c r="F648" s="10">
        <v>38</v>
      </c>
      <c r="G648" s="6">
        <v>4.5</v>
      </c>
      <c r="H648" s="6">
        <f>IF(MONTH(Data!$E648)&lt;=6, YEAR(Data!$E648), YEAR(Data!$E648)+1)</f>
        <v>2024</v>
      </c>
      <c r="I648" s="6" t="str">
        <f>TEXT(Data!$E648,"DDDD")</f>
        <v>Monday</v>
      </c>
      <c r="J648" s="6" t="s">
        <v>27</v>
      </c>
      <c r="K648" s="6">
        <f>ROUND(Data!$G648,0)</f>
        <v>5</v>
      </c>
      <c r="L648" t="str" cm="1">
        <f t="array" ref="L648">_xlfn.IFS(C648&lt;=15,"Very Short",C648&lt;=30,"Short",C648&lt;=60,"Medium",C648&gt;60,"Long")</f>
        <v>Medium</v>
      </c>
      <c r="M648" t="str" cm="1">
        <f t="array" ref="M648">_xlfn.IFS(F648&lt;=50,"Low",F648&lt;=100,"Medium",F648&lt;=150,"High",F648&gt;150,"Very High")</f>
        <v>Low</v>
      </c>
    </row>
    <row r="649" spans="1:13" ht="14.25" customHeight="1" x14ac:dyDescent="0.4">
      <c r="A649" s="6" t="s">
        <v>683</v>
      </c>
      <c r="B649" s="6" t="s">
        <v>68</v>
      </c>
      <c r="C649" s="6">
        <v>33</v>
      </c>
      <c r="D649" s="7" t="s">
        <v>24</v>
      </c>
      <c r="E649" s="11">
        <v>45138</v>
      </c>
      <c r="F649" s="10">
        <v>92</v>
      </c>
      <c r="G649" s="6">
        <v>1.7</v>
      </c>
      <c r="H649" s="6">
        <f>IF(MONTH(Data!$E649)&lt;=6, YEAR(Data!$E649), YEAR(Data!$E649)+1)</f>
        <v>2024</v>
      </c>
      <c r="I649" s="6" t="str">
        <f>TEXT(Data!$E649,"DDDD")</f>
        <v>Monday</v>
      </c>
      <c r="J649" s="6" t="s">
        <v>27</v>
      </c>
      <c r="K649" s="6">
        <f>ROUND(Data!$G649,0)</f>
        <v>2</v>
      </c>
      <c r="L649" t="str" cm="1">
        <f t="array" ref="L649">_xlfn.IFS(C649&lt;=15,"Very Short",C649&lt;=30,"Short",C649&lt;=60,"Medium",C649&gt;60,"Long")</f>
        <v>Medium</v>
      </c>
      <c r="M649" t="str" cm="1">
        <f t="array" ref="M649">_xlfn.IFS(F649&lt;=50,"Low",F649&lt;=100,"Medium",F649&lt;=150,"High",F649&gt;150,"Very High")</f>
        <v>Medium</v>
      </c>
    </row>
    <row r="650" spans="1:13" ht="14.25" customHeight="1" x14ac:dyDescent="0.4">
      <c r="A650" s="6" t="s">
        <v>684</v>
      </c>
      <c r="B650" s="6" t="s">
        <v>88</v>
      </c>
      <c r="C650" s="6">
        <v>164</v>
      </c>
      <c r="D650" s="7" t="s">
        <v>13</v>
      </c>
      <c r="E650" s="11">
        <v>45138</v>
      </c>
      <c r="F650" s="10">
        <v>36</v>
      </c>
      <c r="G650" s="6">
        <v>4.7</v>
      </c>
      <c r="H650" s="6">
        <f>IF(MONTH(Data!$E650)&lt;=6, YEAR(Data!$E650), YEAR(Data!$E650)+1)</f>
        <v>2024</v>
      </c>
      <c r="I650" s="6" t="str">
        <f>TEXT(Data!$E650,"DDDD")</f>
        <v>Monday</v>
      </c>
      <c r="J650" s="6" t="s">
        <v>25</v>
      </c>
      <c r="K650" s="6">
        <f>ROUND(Data!$G650,0)</f>
        <v>5</v>
      </c>
      <c r="L650" t="str" cm="1">
        <f t="array" ref="L650">_xlfn.IFS(C650&lt;=15,"Very Short",C650&lt;=30,"Short",C650&lt;=60,"Medium",C650&gt;60,"Long")</f>
        <v>Long</v>
      </c>
      <c r="M650" t="str" cm="1">
        <f t="array" ref="M650">_xlfn.IFS(F650&lt;=50,"Low",F650&lt;=100,"Medium",F650&lt;=150,"High",F650&gt;150,"Very High")</f>
        <v>Low</v>
      </c>
    </row>
    <row r="651" spans="1:13" ht="14.25" customHeight="1" x14ac:dyDescent="0.4">
      <c r="A651" s="6" t="s">
        <v>685</v>
      </c>
      <c r="B651" s="6" t="s">
        <v>58</v>
      </c>
      <c r="C651" s="6">
        <v>163</v>
      </c>
      <c r="D651" s="7" t="s">
        <v>19</v>
      </c>
      <c r="E651" s="11">
        <v>45138</v>
      </c>
      <c r="F651" s="10">
        <v>76</v>
      </c>
      <c r="G651" s="6">
        <v>4.4000000000000004</v>
      </c>
      <c r="H651" s="6">
        <f>IF(MONTH(Data!$E651)&lt;=6, YEAR(Data!$E651), YEAR(Data!$E651)+1)</f>
        <v>2024</v>
      </c>
      <c r="I651" s="6" t="str">
        <f>TEXT(Data!$E651,"DDDD")</f>
        <v>Monday</v>
      </c>
      <c r="J651" s="6" t="s">
        <v>25</v>
      </c>
      <c r="K651" s="6">
        <f>ROUND(Data!$G651,0)</f>
        <v>4</v>
      </c>
      <c r="L651" t="str" cm="1">
        <f t="array" ref="L651">_xlfn.IFS(C651&lt;=15,"Very Short",C651&lt;=30,"Short",C651&lt;=60,"Medium",C651&gt;60,"Long")</f>
        <v>Long</v>
      </c>
      <c r="M651" t="str" cm="1">
        <f t="array" ref="M651">_xlfn.IFS(F651&lt;=50,"Low",F651&lt;=100,"Medium",F651&lt;=150,"High",F651&gt;150,"Very High")</f>
        <v>Medium</v>
      </c>
    </row>
    <row r="652" spans="1:13" ht="14.25" customHeight="1" x14ac:dyDescent="0.4">
      <c r="A652" s="6" t="s">
        <v>686</v>
      </c>
      <c r="B652" s="6" t="s">
        <v>29</v>
      </c>
      <c r="C652" s="6">
        <v>71</v>
      </c>
      <c r="D652" s="7" t="s">
        <v>13</v>
      </c>
      <c r="E652" s="11">
        <v>45140</v>
      </c>
      <c r="F652" s="10">
        <v>170</v>
      </c>
      <c r="G652" s="6">
        <v>3.5</v>
      </c>
      <c r="H652" s="6">
        <f>IF(MONTH(Data!$E652)&lt;=6, YEAR(Data!$E652), YEAR(Data!$E652)+1)</f>
        <v>2024</v>
      </c>
      <c r="I652" s="6" t="str">
        <f>TEXT(Data!$E652,"DDDD")</f>
        <v>Wednesday</v>
      </c>
      <c r="J652" s="6" t="s">
        <v>14</v>
      </c>
      <c r="K652" s="6">
        <f>ROUND(Data!$G652,0)</f>
        <v>4</v>
      </c>
      <c r="L652" t="str" cm="1">
        <f t="array" ref="L652">_xlfn.IFS(C652&lt;=15,"Very Short",C652&lt;=30,"Short",C652&lt;=60,"Medium",C652&gt;60,"Long")</f>
        <v>Long</v>
      </c>
      <c r="M652" t="str" cm="1">
        <f t="array" ref="M652">_xlfn.IFS(F652&lt;=50,"Low",F652&lt;=100,"Medium",F652&lt;=150,"High",F652&gt;150,"Very High")</f>
        <v>Very High</v>
      </c>
    </row>
    <row r="653" spans="1:13" ht="14.25" customHeight="1" x14ac:dyDescent="0.4">
      <c r="A653" s="6" t="s">
        <v>687</v>
      </c>
      <c r="B653" s="6" t="s">
        <v>68</v>
      </c>
      <c r="C653" s="6">
        <v>103</v>
      </c>
      <c r="D653" s="7" t="s">
        <v>35</v>
      </c>
      <c r="E653" s="11">
        <v>45141</v>
      </c>
      <c r="F653" s="10">
        <v>117</v>
      </c>
      <c r="G653" s="6">
        <v>4.7</v>
      </c>
      <c r="H653" s="6">
        <f>IF(MONTH(Data!$E653)&lt;=6, YEAR(Data!$E653), YEAR(Data!$E653)+1)</f>
        <v>2024</v>
      </c>
      <c r="I653" s="6" t="str">
        <f>TEXT(Data!$E653,"DDDD")</f>
        <v>Thursday</v>
      </c>
      <c r="J653" s="6" t="s">
        <v>14</v>
      </c>
      <c r="K653" s="6">
        <f>ROUND(Data!$G653,0)</f>
        <v>5</v>
      </c>
      <c r="L653" t="str" cm="1">
        <f t="array" ref="L653">_xlfn.IFS(C653&lt;=15,"Very Short",C653&lt;=30,"Short",C653&lt;=60,"Medium",C653&gt;60,"Long")</f>
        <v>Long</v>
      </c>
      <c r="M653" t="str" cm="1">
        <f t="array" ref="M653">_xlfn.IFS(F653&lt;=50,"Low",F653&lt;=100,"Medium",F653&lt;=150,"High",F653&gt;150,"Very High")</f>
        <v>High</v>
      </c>
    </row>
    <row r="654" spans="1:13" ht="14.25" customHeight="1" x14ac:dyDescent="0.4">
      <c r="A654" s="6" t="s">
        <v>688</v>
      </c>
      <c r="B654" s="6" t="s">
        <v>50</v>
      </c>
      <c r="C654" s="6">
        <v>69</v>
      </c>
      <c r="D654" s="7" t="s">
        <v>19</v>
      </c>
      <c r="E654" s="11">
        <v>45141</v>
      </c>
      <c r="F654" s="10">
        <v>20</v>
      </c>
      <c r="G654" s="6">
        <v>4.3</v>
      </c>
      <c r="H654" s="6">
        <f>IF(MONTH(Data!$E654)&lt;=6, YEAR(Data!$E654), YEAR(Data!$E654)+1)</f>
        <v>2024</v>
      </c>
      <c r="I654" s="6" t="str">
        <f>TEXT(Data!$E654,"DDDD")</f>
        <v>Thursday</v>
      </c>
      <c r="J654" s="6" t="s">
        <v>14</v>
      </c>
      <c r="K654" s="6">
        <f>ROUND(Data!$G654,0)</f>
        <v>4</v>
      </c>
      <c r="L654" t="str" cm="1">
        <f t="array" ref="L654">_xlfn.IFS(C654&lt;=15,"Very Short",C654&lt;=30,"Short",C654&lt;=60,"Medium",C654&gt;60,"Long")</f>
        <v>Long</v>
      </c>
      <c r="M654" t="str" cm="1">
        <f t="array" ref="M654">_xlfn.IFS(F654&lt;=50,"Low",F654&lt;=100,"Medium",F654&lt;=150,"High",F654&gt;150,"Very High")</f>
        <v>Low</v>
      </c>
    </row>
    <row r="655" spans="1:13" ht="14.25" customHeight="1" x14ac:dyDescent="0.4">
      <c r="A655" s="6" t="s">
        <v>689</v>
      </c>
      <c r="B655" s="6" t="s">
        <v>58</v>
      </c>
      <c r="C655" s="6">
        <v>111</v>
      </c>
      <c r="D655" s="7" t="s">
        <v>35</v>
      </c>
      <c r="E655" s="11">
        <v>45141</v>
      </c>
      <c r="F655" s="10">
        <v>99</v>
      </c>
      <c r="G655" s="6">
        <v>4.0999999999999996</v>
      </c>
      <c r="H655" s="6">
        <f>IF(MONTH(Data!$E655)&lt;=6, YEAR(Data!$E655), YEAR(Data!$E655)+1)</f>
        <v>2024</v>
      </c>
      <c r="I655" s="6" t="str">
        <f>TEXT(Data!$E655,"DDDD")</f>
        <v>Thursday</v>
      </c>
      <c r="J655" s="6" t="s">
        <v>14</v>
      </c>
      <c r="K655" s="6">
        <f>ROUND(Data!$G655,0)</f>
        <v>4</v>
      </c>
      <c r="L655" t="str" cm="1">
        <f t="array" ref="L655">_xlfn.IFS(C655&lt;=15,"Very Short",C655&lt;=30,"Short",C655&lt;=60,"Medium",C655&gt;60,"Long")</f>
        <v>Long</v>
      </c>
      <c r="M655" t="str" cm="1">
        <f t="array" ref="M655">_xlfn.IFS(F655&lt;=50,"Low",F655&lt;=100,"Medium",F655&lt;=150,"High",F655&gt;150,"Very High")</f>
        <v>Medium</v>
      </c>
    </row>
    <row r="656" spans="1:13" ht="14.25" customHeight="1" x14ac:dyDescent="0.4">
      <c r="A656" s="6" t="s">
        <v>690</v>
      </c>
      <c r="B656" s="6" t="s">
        <v>34</v>
      </c>
      <c r="C656" s="6">
        <v>97</v>
      </c>
      <c r="D656" s="7" t="s">
        <v>19</v>
      </c>
      <c r="E656" s="11">
        <v>45142</v>
      </c>
      <c r="F656" s="10">
        <v>105</v>
      </c>
      <c r="G656" s="6">
        <v>2.9</v>
      </c>
      <c r="H656" s="6">
        <f>IF(MONTH(Data!$E656)&lt;=6, YEAR(Data!$E656), YEAR(Data!$E656)+1)</f>
        <v>2024</v>
      </c>
      <c r="I656" s="6" t="str">
        <f>TEXT(Data!$E656,"DDDD")</f>
        <v>Friday</v>
      </c>
      <c r="J656" s="6" t="s">
        <v>14</v>
      </c>
      <c r="K656" s="6">
        <f>ROUND(Data!$G656,0)</f>
        <v>3</v>
      </c>
      <c r="L656" t="str" cm="1">
        <f t="array" ref="L656">_xlfn.IFS(C656&lt;=15,"Very Short",C656&lt;=30,"Short",C656&lt;=60,"Medium",C656&gt;60,"Long")</f>
        <v>Long</v>
      </c>
      <c r="M656" t="str" cm="1">
        <f t="array" ref="M656">_xlfn.IFS(F656&lt;=50,"Low",F656&lt;=100,"Medium",F656&lt;=150,"High",F656&gt;150,"Very High")</f>
        <v>High</v>
      </c>
    </row>
    <row r="657" spans="1:13" ht="14.25" customHeight="1" x14ac:dyDescent="0.4">
      <c r="A657" s="6" t="s">
        <v>691</v>
      </c>
      <c r="B657" s="6" t="s">
        <v>38</v>
      </c>
      <c r="C657" s="6">
        <v>144</v>
      </c>
      <c r="D657" s="7" t="s">
        <v>31</v>
      </c>
      <c r="E657" s="11">
        <v>45142</v>
      </c>
      <c r="F657" s="10">
        <v>195</v>
      </c>
      <c r="G657" s="6">
        <v>3.4</v>
      </c>
      <c r="H657" s="6">
        <f>IF(MONTH(Data!$E657)&lt;=6, YEAR(Data!$E657), YEAR(Data!$E657)+1)</f>
        <v>2024</v>
      </c>
      <c r="I657" s="6" t="str">
        <f>TEXT(Data!$E657,"DDDD")</f>
        <v>Friday</v>
      </c>
      <c r="J657" s="6" t="s">
        <v>25</v>
      </c>
      <c r="K657" s="6">
        <f>ROUND(Data!$G657,0)</f>
        <v>3</v>
      </c>
      <c r="L657" t="str" cm="1">
        <f t="array" ref="L657">_xlfn.IFS(C657&lt;=15,"Very Short",C657&lt;=30,"Short",C657&lt;=60,"Medium",C657&gt;60,"Long")</f>
        <v>Long</v>
      </c>
      <c r="M657" t="str" cm="1">
        <f t="array" ref="M657">_xlfn.IFS(F657&lt;=50,"Low",F657&lt;=100,"Medium",F657&lt;=150,"High",F657&gt;150,"Very High")</f>
        <v>Very High</v>
      </c>
    </row>
    <row r="658" spans="1:13" ht="14.25" customHeight="1" x14ac:dyDescent="0.4">
      <c r="A658" s="6" t="s">
        <v>692</v>
      </c>
      <c r="B658" s="6" t="s">
        <v>18</v>
      </c>
      <c r="C658" s="6">
        <v>56</v>
      </c>
      <c r="D658" s="7" t="s">
        <v>19</v>
      </c>
      <c r="E658" s="11">
        <v>45143</v>
      </c>
      <c r="F658" s="10">
        <v>152</v>
      </c>
      <c r="G658" s="6">
        <v>4.5999999999999996</v>
      </c>
      <c r="H658" s="6">
        <f>IF(MONTH(Data!$E658)&lt;=6, YEAR(Data!$E658), YEAR(Data!$E658)+1)</f>
        <v>2024</v>
      </c>
      <c r="I658" s="6" t="str">
        <f>TEXT(Data!$E658,"DDDD")</f>
        <v>Saturday</v>
      </c>
      <c r="J658" s="6" t="s">
        <v>27</v>
      </c>
      <c r="K658" s="6">
        <f>ROUND(Data!$G658,0)</f>
        <v>5</v>
      </c>
      <c r="L658" t="str" cm="1">
        <f t="array" ref="L658">_xlfn.IFS(C658&lt;=15,"Very Short",C658&lt;=30,"Short",C658&lt;=60,"Medium",C658&gt;60,"Long")</f>
        <v>Medium</v>
      </c>
      <c r="M658" t="str" cm="1">
        <f t="array" ref="M658">_xlfn.IFS(F658&lt;=50,"Low",F658&lt;=100,"Medium",F658&lt;=150,"High",F658&gt;150,"Very High")</f>
        <v>Very High</v>
      </c>
    </row>
    <row r="659" spans="1:13" ht="14.25" customHeight="1" x14ac:dyDescent="0.4">
      <c r="A659" s="6" t="s">
        <v>693</v>
      </c>
      <c r="B659" s="6" t="s">
        <v>38</v>
      </c>
      <c r="C659" s="6">
        <v>132</v>
      </c>
      <c r="D659" s="7" t="s">
        <v>31</v>
      </c>
      <c r="E659" s="11">
        <v>45144</v>
      </c>
      <c r="F659" s="10">
        <v>195</v>
      </c>
      <c r="G659" s="6">
        <v>4.9000000000000004</v>
      </c>
      <c r="H659" s="6">
        <f>IF(MONTH(Data!$E659)&lt;=6, YEAR(Data!$E659), YEAR(Data!$E659)+1)</f>
        <v>2024</v>
      </c>
      <c r="I659" s="6" t="str">
        <f>TEXT(Data!$E659,"DDDD")</f>
        <v>Sunday</v>
      </c>
      <c r="J659" s="6" t="s">
        <v>25</v>
      </c>
      <c r="K659" s="6">
        <f>ROUND(Data!$G659,0)</f>
        <v>5</v>
      </c>
      <c r="L659" t="str" cm="1">
        <f t="array" ref="L659">_xlfn.IFS(C659&lt;=15,"Very Short",C659&lt;=30,"Short",C659&lt;=60,"Medium",C659&gt;60,"Long")</f>
        <v>Long</v>
      </c>
      <c r="M659" t="str" cm="1">
        <f t="array" ref="M659">_xlfn.IFS(F659&lt;=50,"Low",F659&lt;=100,"Medium",F659&lt;=150,"High",F659&gt;150,"Very High")</f>
        <v>Very High</v>
      </c>
    </row>
    <row r="660" spans="1:13" ht="14.25" customHeight="1" x14ac:dyDescent="0.4">
      <c r="A660" s="6" t="s">
        <v>694</v>
      </c>
      <c r="B660" s="6" t="s">
        <v>29</v>
      </c>
      <c r="C660" s="6">
        <v>72</v>
      </c>
      <c r="D660" s="7" t="s">
        <v>24</v>
      </c>
      <c r="E660" s="11">
        <v>45144</v>
      </c>
      <c r="F660" s="10">
        <v>70</v>
      </c>
      <c r="G660" s="6">
        <v>3.6</v>
      </c>
      <c r="H660" s="6">
        <f>IF(MONTH(Data!$E660)&lt;=6, YEAR(Data!$E660), YEAR(Data!$E660)+1)</f>
        <v>2024</v>
      </c>
      <c r="I660" s="6" t="str">
        <f>TEXT(Data!$E660,"DDDD")</f>
        <v>Sunday</v>
      </c>
      <c r="J660" s="6" t="s">
        <v>14</v>
      </c>
      <c r="K660" s="6">
        <f>ROUND(Data!$G660,0)</f>
        <v>4</v>
      </c>
      <c r="L660" t="str" cm="1">
        <f t="array" ref="L660">_xlfn.IFS(C660&lt;=15,"Very Short",C660&lt;=30,"Short",C660&lt;=60,"Medium",C660&gt;60,"Long")</f>
        <v>Long</v>
      </c>
      <c r="M660" t="str" cm="1">
        <f t="array" ref="M660">_xlfn.IFS(F660&lt;=50,"Low",F660&lt;=100,"Medium",F660&lt;=150,"High",F660&gt;150,"Very High")</f>
        <v>Medium</v>
      </c>
    </row>
    <row r="661" spans="1:13" ht="14.25" customHeight="1" x14ac:dyDescent="0.4">
      <c r="A661" s="6" t="s">
        <v>695</v>
      </c>
      <c r="B661" s="6" t="s">
        <v>58</v>
      </c>
      <c r="C661" s="6">
        <v>18</v>
      </c>
      <c r="D661" s="7" t="s">
        <v>24</v>
      </c>
      <c r="E661" s="11">
        <v>45144</v>
      </c>
      <c r="F661" s="10">
        <v>22</v>
      </c>
      <c r="G661" s="6">
        <v>3.5</v>
      </c>
      <c r="H661" s="6">
        <f>IF(MONTH(Data!$E661)&lt;=6, YEAR(Data!$E661), YEAR(Data!$E661)+1)</f>
        <v>2024</v>
      </c>
      <c r="I661" s="6" t="str">
        <f>TEXT(Data!$E661,"DDDD")</f>
        <v>Sunday</v>
      </c>
      <c r="J661" s="6" t="s">
        <v>47</v>
      </c>
      <c r="K661" s="6">
        <f>ROUND(Data!$G661,0)</f>
        <v>4</v>
      </c>
      <c r="L661" t="str" cm="1">
        <f t="array" ref="L661">_xlfn.IFS(C661&lt;=15,"Very Short",C661&lt;=30,"Short",C661&lt;=60,"Medium",C661&gt;60,"Long")</f>
        <v>Short</v>
      </c>
      <c r="M661" t="str" cm="1">
        <f t="array" ref="M661">_xlfn.IFS(F661&lt;=50,"Low",F661&lt;=100,"Medium",F661&lt;=150,"High",F661&gt;150,"Very High")</f>
        <v>Low</v>
      </c>
    </row>
    <row r="662" spans="1:13" ht="14.25" customHeight="1" x14ac:dyDescent="0.4">
      <c r="A662" s="6" t="s">
        <v>696</v>
      </c>
      <c r="B662" s="6" t="s">
        <v>23</v>
      </c>
      <c r="C662" s="6">
        <v>115</v>
      </c>
      <c r="D662" s="7" t="s">
        <v>35</v>
      </c>
      <c r="E662" s="11">
        <v>45145</v>
      </c>
      <c r="F662" s="10">
        <v>40</v>
      </c>
      <c r="G662" s="6">
        <v>3.3</v>
      </c>
      <c r="H662" s="6">
        <f>IF(MONTH(Data!$E662)&lt;=6, YEAR(Data!$E662), YEAR(Data!$E662)+1)</f>
        <v>2024</v>
      </c>
      <c r="I662" s="6" t="str">
        <f>TEXT(Data!$E662,"DDDD")</f>
        <v>Monday</v>
      </c>
      <c r="J662" s="6" t="s">
        <v>14</v>
      </c>
      <c r="K662" s="6">
        <f>ROUND(Data!$G662,0)</f>
        <v>3</v>
      </c>
      <c r="L662" t="str" cm="1">
        <f t="array" ref="L662">_xlfn.IFS(C662&lt;=15,"Very Short",C662&lt;=30,"Short",C662&lt;=60,"Medium",C662&gt;60,"Long")</f>
        <v>Long</v>
      </c>
      <c r="M662" t="str" cm="1">
        <f t="array" ref="M662">_xlfn.IFS(F662&lt;=50,"Low",F662&lt;=100,"Medium",F662&lt;=150,"High",F662&gt;150,"Very High")</f>
        <v>Low</v>
      </c>
    </row>
    <row r="663" spans="1:13" ht="14.25" customHeight="1" x14ac:dyDescent="0.4">
      <c r="A663" s="6" t="s">
        <v>697</v>
      </c>
      <c r="B663" s="6" t="s">
        <v>23</v>
      </c>
      <c r="C663" s="6">
        <v>124</v>
      </c>
      <c r="D663" s="7" t="s">
        <v>19</v>
      </c>
      <c r="E663" s="11">
        <v>45146</v>
      </c>
      <c r="F663" s="10">
        <v>54</v>
      </c>
      <c r="G663" s="6">
        <v>3.8</v>
      </c>
      <c r="H663" s="6">
        <f>IF(MONTH(Data!$E663)&lt;=6, YEAR(Data!$E663), YEAR(Data!$E663)+1)</f>
        <v>2024</v>
      </c>
      <c r="I663" s="6" t="str">
        <f>TEXT(Data!$E663,"DDDD")</f>
        <v>Tuesday</v>
      </c>
      <c r="J663" s="6" t="s">
        <v>25</v>
      </c>
      <c r="K663" s="6">
        <f>ROUND(Data!$G663,0)</f>
        <v>4</v>
      </c>
      <c r="L663" t="str" cm="1">
        <f t="array" ref="L663">_xlfn.IFS(C663&lt;=15,"Very Short",C663&lt;=30,"Short",C663&lt;=60,"Medium",C663&gt;60,"Long")</f>
        <v>Long</v>
      </c>
      <c r="M663" t="str" cm="1">
        <f t="array" ref="M663">_xlfn.IFS(F663&lt;=50,"Low",F663&lt;=100,"Medium",F663&lt;=150,"High",F663&gt;150,"Very High")</f>
        <v>Medium</v>
      </c>
    </row>
    <row r="664" spans="1:13" ht="14.25" customHeight="1" x14ac:dyDescent="0.4">
      <c r="A664" s="6" t="s">
        <v>698</v>
      </c>
      <c r="B664" s="6" t="s">
        <v>16</v>
      </c>
      <c r="C664" s="6">
        <v>130</v>
      </c>
      <c r="D664" s="7" t="s">
        <v>19</v>
      </c>
      <c r="E664" s="11">
        <v>45146</v>
      </c>
      <c r="F664" s="10">
        <v>60</v>
      </c>
      <c r="G664" s="6">
        <v>2.5</v>
      </c>
      <c r="H664" s="6">
        <f>IF(MONTH(Data!$E664)&lt;=6, YEAR(Data!$E664), YEAR(Data!$E664)+1)</f>
        <v>2024</v>
      </c>
      <c r="I664" s="6" t="str">
        <f>TEXT(Data!$E664,"DDDD")</f>
        <v>Tuesday</v>
      </c>
      <c r="J664" s="6" t="s">
        <v>25</v>
      </c>
      <c r="K664" s="6">
        <f>ROUND(Data!$G664,0)</f>
        <v>3</v>
      </c>
      <c r="L664" t="str" cm="1">
        <f t="array" ref="L664">_xlfn.IFS(C664&lt;=15,"Very Short",C664&lt;=30,"Short",C664&lt;=60,"Medium",C664&gt;60,"Long")</f>
        <v>Long</v>
      </c>
      <c r="M664" t="str" cm="1">
        <f t="array" ref="M664">_xlfn.IFS(F664&lt;=50,"Low",F664&lt;=100,"Medium",F664&lt;=150,"High",F664&gt;150,"Very High")</f>
        <v>Medium</v>
      </c>
    </row>
    <row r="665" spans="1:13" ht="14.25" customHeight="1" x14ac:dyDescent="0.4">
      <c r="A665" s="6" t="s">
        <v>699</v>
      </c>
      <c r="B665" s="6" t="s">
        <v>55</v>
      </c>
      <c r="C665" s="6">
        <v>120</v>
      </c>
      <c r="D665" s="7" t="s">
        <v>13</v>
      </c>
      <c r="E665" s="11">
        <v>45148</v>
      </c>
      <c r="F665" s="10">
        <v>58</v>
      </c>
      <c r="G665" s="6">
        <v>4.5999999999999996</v>
      </c>
      <c r="H665" s="6">
        <f>IF(MONTH(Data!$E665)&lt;=6, YEAR(Data!$E665), YEAR(Data!$E665)+1)</f>
        <v>2024</v>
      </c>
      <c r="I665" s="6" t="str">
        <f>TEXT(Data!$E665,"DDDD")</f>
        <v>Thursday</v>
      </c>
      <c r="J665" s="6" t="s">
        <v>14</v>
      </c>
      <c r="K665" s="6">
        <f>ROUND(Data!$G665,0)</f>
        <v>5</v>
      </c>
      <c r="L665" t="str" cm="1">
        <f t="array" ref="L665">_xlfn.IFS(C665&lt;=15,"Very Short",C665&lt;=30,"Short",C665&lt;=60,"Medium",C665&gt;60,"Long")</f>
        <v>Long</v>
      </c>
      <c r="M665" t="str" cm="1">
        <f t="array" ref="M665">_xlfn.IFS(F665&lt;=50,"Low",F665&lt;=100,"Medium",F665&lt;=150,"High",F665&gt;150,"Very High")</f>
        <v>Medium</v>
      </c>
    </row>
    <row r="666" spans="1:13" ht="14.25" customHeight="1" x14ac:dyDescent="0.4">
      <c r="A666" s="6" t="s">
        <v>700</v>
      </c>
      <c r="B666" s="6" t="s">
        <v>34</v>
      </c>
      <c r="C666" s="6">
        <v>75</v>
      </c>
      <c r="D666" s="7" t="s">
        <v>35</v>
      </c>
      <c r="E666" s="11">
        <v>45148</v>
      </c>
      <c r="F666" s="10">
        <v>220</v>
      </c>
      <c r="G666" s="6">
        <v>4.7</v>
      </c>
      <c r="H666" s="6">
        <f>IF(MONTH(Data!$E666)&lt;=6, YEAR(Data!$E666), YEAR(Data!$E666)+1)</f>
        <v>2024</v>
      </c>
      <c r="I666" s="6" t="str">
        <f>TEXT(Data!$E666,"DDDD")</f>
        <v>Thursday</v>
      </c>
      <c r="J666" s="6" t="s">
        <v>14</v>
      </c>
      <c r="K666" s="6">
        <f>ROUND(Data!$G666,0)</f>
        <v>5</v>
      </c>
      <c r="L666" t="str" cm="1">
        <f t="array" ref="L666">_xlfn.IFS(C666&lt;=15,"Very Short",C666&lt;=30,"Short",C666&lt;=60,"Medium",C666&gt;60,"Long")</f>
        <v>Long</v>
      </c>
      <c r="M666" t="str" cm="1">
        <f t="array" ref="M666">_xlfn.IFS(F666&lt;=50,"Low",F666&lt;=100,"Medium",F666&lt;=150,"High",F666&gt;150,"Very High")</f>
        <v>Very High</v>
      </c>
    </row>
    <row r="667" spans="1:13" ht="14.25" customHeight="1" x14ac:dyDescent="0.4">
      <c r="A667" s="6" t="s">
        <v>701</v>
      </c>
      <c r="B667" s="6" t="s">
        <v>12</v>
      </c>
      <c r="C667" s="6">
        <v>63</v>
      </c>
      <c r="D667" s="7" t="s">
        <v>35</v>
      </c>
      <c r="E667" s="11">
        <v>45148</v>
      </c>
      <c r="F667" s="10">
        <v>27</v>
      </c>
      <c r="G667" s="6">
        <v>3.6</v>
      </c>
      <c r="H667" s="6">
        <f>IF(MONTH(Data!$E667)&lt;=6, YEAR(Data!$E667), YEAR(Data!$E667)+1)</f>
        <v>2024</v>
      </c>
      <c r="I667" s="6" t="str">
        <f>TEXT(Data!$E667,"DDDD")</f>
        <v>Thursday</v>
      </c>
      <c r="J667" s="6" t="s">
        <v>14</v>
      </c>
      <c r="K667" s="6">
        <f>ROUND(Data!$G667,0)</f>
        <v>4</v>
      </c>
      <c r="L667" t="str" cm="1">
        <f t="array" ref="L667">_xlfn.IFS(C667&lt;=15,"Very Short",C667&lt;=30,"Short",C667&lt;=60,"Medium",C667&gt;60,"Long")</f>
        <v>Long</v>
      </c>
      <c r="M667" t="str" cm="1">
        <f t="array" ref="M667">_xlfn.IFS(F667&lt;=50,"Low",F667&lt;=100,"Medium",F667&lt;=150,"High",F667&gt;150,"Very High")</f>
        <v>Low</v>
      </c>
    </row>
    <row r="668" spans="1:13" ht="14.25" customHeight="1" x14ac:dyDescent="0.4">
      <c r="A668" s="6" t="s">
        <v>702</v>
      </c>
      <c r="B668" s="6" t="s">
        <v>38</v>
      </c>
      <c r="C668" s="6">
        <v>74</v>
      </c>
      <c r="D668" s="7" t="s">
        <v>35</v>
      </c>
      <c r="E668" s="11">
        <v>45150</v>
      </c>
      <c r="F668" s="10">
        <v>26</v>
      </c>
      <c r="G668" s="6">
        <v>4.3</v>
      </c>
      <c r="H668" s="6">
        <f>IF(MONTH(Data!$E668)&lt;=6, YEAR(Data!$E668), YEAR(Data!$E668)+1)</f>
        <v>2024</v>
      </c>
      <c r="I668" s="6" t="str">
        <f>TEXT(Data!$E668,"DDDD")</f>
        <v>Saturday</v>
      </c>
      <c r="J668" s="6" t="s">
        <v>14</v>
      </c>
      <c r="K668" s="6">
        <f>ROUND(Data!$G668,0)</f>
        <v>4</v>
      </c>
      <c r="L668" t="str" cm="1">
        <f t="array" ref="L668">_xlfn.IFS(C668&lt;=15,"Very Short",C668&lt;=30,"Short",C668&lt;=60,"Medium",C668&gt;60,"Long")</f>
        <v>Long</v>
      </c>
      <c r="M668" t="str" cm="1">
        <f t="array" ref="M668">_xlfn.IFS(F668&lt;=50,"Low",F668&lt;=100,"Medium",F668&lt;=150,"High",F668&gt;150,"Very High")</f>
        <v>Low</v>
      </c>
    </row>
    <row r="669" spans="1:13" ht="14.25" customHeight="1" x14ac:dyDescent="0.4">
      <c r="A669" s="6" t="s">
        <v>703</v>
      </c>
      <c r="B669" s="6" t="s">
        <v>50</v>
      </c>
      <c r="C669" s="6">
        <v>134</v>
      </c>
      <c r="D669" s="7" t="s">
        <v>31</v>
      </c>
      <c r="E669" s="11">
        <v>45151</v>
      </c>
      <c r="F669" s="10">
        <v>160</v>
      </c>
      <c r="G669" s="6">
        <v>4.7</v>
      </c>
      <c r="H669" s="6">
        <f>IF(MONTH(Data!$E669)&lt;=6, YEAR(Data!$E669), YEAR(Data!$E669)+1)</f>
        <v>2024</v>
      </c>
      <c r="I669" s="6" t="str">
        <f>TEXT(Data!$E669,"DDDD")</f>
        <v>Sunday</v>
      </c>
      <c r="J669" s="6" t="s">
        <v>25</v>
      </c>
      <c r="K669" s="6">
        <f>ROUND(Data!$G669,0)</f>
        <v>5</v>
      </c>
      <c r="L669" t="str" cm="1">
        <f t="array" ref="L669">_xlfn.IFS(C669&lt;=15,"Very Short",C669&lt;=30,"Short",C669&lt;=60,"Medium",C669&gt;60,"Long")</f>
        <v>Long</v>
      </c>
      <c r="M669" t="str" cm="1">
        <f t="array" ref="M669">_xlfn.IFS(F669&lt;=50,"Low",F669&lt;=100,"Medium",F669&lt;=150,"High",F669&gt;150,"Very High")</f>
        <v>Very High</v>
      </c>
    </row>
    <row r="670" spans="1:13" ht="14.25" customHeight="1" x14ac:dyDescent="0.4">
      <c r="A670" s="6" t="s">
        <v>704</v>
      </c>
      <c r="B670" s="6" t="s">
        <v>58</v>
      </c>
      <c r="C670" s="6">
        <v>103</v>
      </c>
      <c r="D670" s="7" t="s">
        <v>19</v>
      </c>
      <c r="E670" s="11">
        <v>45151</v>
      </c>
      <c r="F670" s="10">
        <v>200</v>
      </c>
      <c r="G670" s="6">
        <v>4.9000000000000004</v>
      </c>
      <c r="H670" s="6">
        <f>IF(MONTH(Data!$E670)&lt;=6, YEAR(Data!$E670), YEAR(Data!$E670)+1)</f>
        <v>2024</v>
      </c>
      <c r="I670" s="6" t="str">
        <f>TEXT(Data!$E670,"DDDD")</f>
        <v>Sunday</v>
      </c>
      <c r="J670" s="6" t="s">
        <v>14</v>
      </c>
      <c r="K670" s="6">
        <f>ROUND(Data!$G670,0)</f>
        <v>5</v>
      </c>
      <c r="L670" t="str" cm="1">
        <f t="array" ref="L670">_xlfn.IFS(C670&lt;=15,"Very Short",C670&lt;=30,"Short",C670&lt;=60,"Medium",C670&gt;60,"Long")</f>
        <v>Long</v>
      </c>
      <c r="M670" t="str" cm="1">
        <f t="array" ref="M670">_xlfn.IFS(F670&lt;=50,"Low",F670&lt;=100,"Medium",F670&lt;=150,"High",F670&gt;150,"Very High")</f>
        <v>Very High</v>
      </c>
    </row>
    <row r="671" spans="1:13" ht="14.25" customHeight="1" x14ac:dyDescent="0.4">
      <c r="A671" s="6" t="s">
        <v>705</v>
      </c>
      <c r="B671" s="6" t="s">
        <v>58</v>
      </c>
      <c r="C671" s="6">
        <v>155</v>
      </c>
      <c r="D671" s="7" t="s">
        <v>13</v>
      </c>
      <c r="E671" s="11">
        <v>45154</v>
      </c>
      <c r="F671" s="10">
        <v>135</v>
      </c>
      <c r="G671" s="6">
        <v>4.9000000000000004</v>
      </c>
      <c r="H671" s="6">
        <f>IF(MONTH(Data!$E671)&lt;=6, YEAR(Data!$E671), YEAR(Data!$E671)+1)</f>
        <v>2024</v>
      </c>
      <c r="I671" s="6" t="str">
        <f>TEXT(Data!$E671,"DDDD")</f>
        <v>Wednesday</v>
      </c>
      <c r="J671" s="6" t="s">
        <v>25</v>
      </c>
      <c r="K671" s="6">
        <f>ROUND(Data!$G671,0)</f>
        <v>5</v>
      </c>
      <c r="L671" t="str" cm="1">
        <f t="array" ref="L671">_xlfn.IFS(C671&lt;=15,"Very Short",C671&lt;=30,"Short",C671&lt;=60,"Medium",C671&gt;60,"Long")</f>
        <v>Long</v>
      </c>
      <c r="M671" t="str" cm="1">
        <f t="array" ref="M671">_xlfn.IFS(F671&lt;=50,"Low",F671&lt;=100,"Medium",F671&lt;=150,"High",F671&gt;150,"Very High")</f>
        <v>High</v>
      </c>
    </row>
    <row r="672" spans="1:13" ht="14.25" customHeight="1" x14ac:dyDescent="0.4">
      <c r="A672" s="6" t="s">
        <v>706</v>
      </c>
      <c r="B672" s="6" t="s">
        <v>12</v>
      </c>
      <c r="C672" s="6">
        <v>128</v>
      </c>
      <c r="D672" s="7" t="s">
        <v>19</v>
      </c>
      <c r="E672" s="11">
        <v>45155</v>
      </c>
      <c r="F672" s="10">
        <v>22</v>
      </c>
      <c r="G672" s="6">
        <v>1.9</v>
      </c>
      <c r="H672" s="6">
        <f>IF(MONTH(Data!$E672)&lt;=6, YEAR(Data!$E672), YEAR(Data!$E672)+1)</f>
        <v>2024</v>
      </c>
      <c r="I672" s="6" t="str">
        <f>TEXT(Data!$E672,"DDDD")</f>
        <v>Thursday</v>
      </c>
      <c r="J672" s="6" t="s">
        <v>25</v>
      </c>
      <c r="K672" s="6">
        <f>ROUND(Data!$G672,0)</f>
        <v>2</v>
      </c>
      <c r="L672" t="str" cm="1">
        <f t="array" ref="L672">_xlfn.IFS(C672&lt;=15,"Very Short",C672&lt;=30,"Short",C672&lt;=60,"Medium",C672&gt;60,"Long")</f>
        <v>Long</v>
      </c>
      <c r="M672" t="str" cm="1">
        <f t="array" ref="M672">_xlfn.IFS(F672&lt;=50,"Low",F672&lt;=100,"Medium",F672&lt;=150,"High",F672&gt;150,"Very High")</f>
        <v>Low</v>
      </c>
    </row>
    <row r="673" spans="1:13" ht="14.25" customHeight="1" x14ac:dyDescent="0.4">
      <c r="A673" s="6" t="s">
        <v>707</v>
      </c>
      <c r="B673" s="6" t="s">
        <v>34</v>
      </c>
      <c r="C673" s="6">
        <v>89</v>
      </c>
      <c r="D673" s="7" t="s">
        <v>31</v>
      </c>
      <c r="E673" s="11">
        <v>45156</v>
      </c>
      <c r="F673" s="10">
        <v>164</v>
      </c>
      <c r="G673" s="6">
        <v>4.5</v>
      </c>
      <c r="H673" s="6">
        <f>IF(MONTH(Data!$E673)&lt;=6, YEAR(Data!$E673), YEAR(Data!$E673)+1)</f>
        <v>2024</v>
      </c>
      <c r="I673" s="6" t="str">
        <f>TEXT(Data!$E673,"DDDD")</f>
        <v>Friday</v>
      </c>
      <c r="J673" s="6" t="s">
        <v>14</v>
      </c>
      <c r="K673" s="6">
        <f>ROUND(Data!$G673,0)</f>
        <v>5</v>
      </c>
      <c r="L673" t="str" cm="1">
        <f t="array" ref="L673">_xlfn.IFS(C673&lt;=15,"Very Short",C673&lt;=30,"Short",C673&lt;=60,"Medium",C673&gt;60,"Long")</f>
        <v>Long</v>
      </c>
      <c r="M673" t="str" cm="1">
        <f t="array" ref="M673">_xlfn.IFS(F673&lt;=50,"Low",F673&lt;=100,"Medium",F673&lt;=150,"High",F673&gt;150,"Very High")</f>
        <v>Very High</v>
      </c>
    </row>
    <row r="674" spans="1:13" ht="14.25" customHeight="1" x14ac:dyDescent="0.4">
      <c r="A674" s="6" t="s">
        <v>708</v>
      </c>
      <c r="B674" s="6" t="s">
        <v>23</v>
      </c>
      <c r="C674" s="6">
        <v>81</v>
      </c>
      <c r="D674" s="7" t="s">
        <v>13</v>
      </c>
      <c r="E674" s="11">
        <v>45156</v>
      </c>
      <c r="F674" s="10">
        <v>21</v>
      </c>
      <c r="G674" s="6">
        <v>4.9000000000000004</v>
      </c>
      <c r="H674" s="6">
        <f>IF(MONTH(Data!$E674)&lt;=6, YEAR(Data!$E674), YEAR(Data!$E674)+1)</f>
        <v>2024</v>
      </c>
      <c r="I674" s="6" t="str">
        <f>TEXT(Data!$E674,"DDDD")</f>
        <v>Friday</v>
      </c>
      <c r="J674" s="6" t="s">
        <v>14</v>
      </c>
      <c r="K674" s="6">
        <f>ROUND(Data!$G674,0)</f>
        <v>5</v>
      </c>
      <c r="L674" t="str" cm="1">
        <f t="array" ref="L674">_xlfn.IFS(C674&lt;=15,"Very Short",C674&lt;=30,"Short",C674&lt;=60,"Medium",C674&gt;60,"Long")</f>
        <v>Long</v>
      </c>
      <c r="M674" t="str" cm="1">
        <f t="array" ref="M674">_xlfn.IFS(F674&lt;=50,"Low",F674&lt;=100,"Medium",F674&lt;=150,"High",F674&gt;150,"Very High")</f>
        <v>Low</v>
      </c>
    </row>
    <row r="675" spans="1:13" ht="14.25" customHeight="1" x14ac:dyDescent="0.4">
      <c r="A675" s="6" t="s">
        <v>709</v>
      </c>
      <c r="B675" s="6" t="s">
        <v>34</v>
      </c>
      <c r="C675" s="6">
        <v>66</v>
      </c>
      <c r="D675" s="7" t="s">
        <v>31</v>
      </c>
      <c r="E675" s="11">
        <v>45157</v>
      </c>
      <c r="F675" s="10">
        <v>120</v>
      </c>
      <c r="G675" s="6">
        <v>4.5</v>
      </c>
      <c r="H675" s="6">
        <f>IF(MONTH(Data!$E675)&lt;=6, YEAR(Data!$E675), YEAR(Data!$E675)+1)</f>
        <v>2024</v>
      </c>
      <c r="I675" s="6" t="str">
        <f>TEXT(Data!$E675,"DDDD")</f>
        <v>Saturday</v>
      </c>
      <c r="J675" s="6" t="s">
        <v>14</v>
      </c>
      <c r="K675" s="6">
        <f>ROUND(Data!$G675,0)</f>
        <v>5</v>
      </c>
      <c r="L675" t="str" cm="1">
        <f t="array" ref="L675">_xlfn.IFS(C675&lt;=15,"Very Short",C675&lt;=30,"Short",C675&lt;=60,"Medium",C675&gt;60,"Long")</f>
        <v>Long</v>
      </c>
      <c r="M675" t="str" cm="1">
        <f t="array" ref="M675">_xlfn.IFS(F675&lt;=50,"Low",F675&lt;=100,"Medium",F675&lt;=150,"High",F675&gt;150,"Very High")</f>
        <v>High</v>
      </c>
    </row>
    <row r="676" spans="1:13" ht="14.25" customHeight="1" x14ac:dyDescent="0.4">
      <c r="A676" s="6" t="s">
        <v>710</v>
      </c>
      <c r="B676" s="6" t="s">
        <v>29</v>
      </c>
      <c r="C676" s="6">
        <v>61</v>
      </c>
      <c r="D676" s="7" t="s">
        <v>24</v>
      </c>
      <c r="E676" s="11">
        <v>45157</v>
      </c>
      <c r="F676" s="10">
        <v>93</v>
      </c>
      <c r="G676" s="6">
        <v>2.7</v>
      </c>
      <c r="H676" s="6">
        <f>IF(MONTH(Data!$E676)&lt;=6, YEAR(Data!$E676), YEAR(Data!$E676)+1)</f>
        <v>2024</v>
      </c>
      <c r="I676" s="6" t="str">
        <f>TEXT(Data!$E676,"DDDD")</f>
        <v>Saturday</v>
      </c>
      <c r="J676" s="6" t="s">
        <v>14</v>
      </c>
      <c r="K676" s="6">
        <f>ROUND(Data!$G676,0)</f>
        <v>3</v>
      </c>
      <c r="L676" t="str" cm="1">
        <f t="array" ref="L676">_xlfn.IFS(C676&lt;=15,"Very Short",C676&lt;=30,"Short",C676&lt;=60,"Medium",C676&gt;60,"Long")</f>
        <v>Long</v>
      </c>
      <c r="M676" t="str" cm="1">
        <f t="array" ref="M676">_xlfn.IFS(F676&lt;=50,"Low",F676&lt;=100,"Medium",F676&lt;=150,"High",F676&gt;150,"Very High")</f>
        <v>Medium</v>
      </c>
    </row>
    <row r="677" spans="1:13" ht="14.25" customHeight="1" x14ac:dyDescent="0.4">
      <c r="A677" s="6" t="s">
        <v>711</v>
      </c>
      <c r="B677" s="6" t="s">
        <v>23</v>
      </c>
      <c r="C677" s="6">
        <v>128</v>
      </c>
      <c r="D677" s="7" t="s">
        <v>24</v>
      </c>
      <c r="E677" s="11">
        <v>45157</v>
      </c>
      <c r="F677" s="10">
        <v>135</v>
      </c>
      <c r="G677" s="6">
        <v>2.1</v>
      </c>
      <c r="H677" s="6">
        <f>IF(MONTH(Data!$E677)&lt;=6, YEAR(Data!$E677), YEAR(Data!$E677)+1)</f>
        <v>2024</v>
      </c>
      <c r="I677" s="6" t="str">
        <f>TEXT(Data!$E677,"DDDD")</f>
        <v>Saturday</v>
      </c>
      <c r="J677" s="6" t="s">
        <v>25</v>
      </c>
      <c r="K677" s="6">
        <f>ROUND(Data!$G677,0)</f>
        <v>2</v>
      </c>
      <c r="L677" t="str" cm="1">
        <f t="array" ref="L677">_xlfn.IFS(C677&lt;=15,"Very Short",C677&lt;=30,"Short",C677&lt;=60,"Medium",C677&gt;60,"Long")</f>
        <v>Long</v>
      </c>
      <c r="M677" t="str" cm="1">
        <f t="array" ref="M677">_xlfn.IFS(F677&lt;=50,"Low",F677&lt;=100,"Medium",F677&lt;=150,"High",F677&gt;150,"Very High")</f>
        <v>High</v>
      </c>
    </row>
    <row r="678" spans="1:13" ht="14.25" customHeight="1" x14ac:dyDescent="0.4">
      <c r="A678" s="6" t="s">
        <v>712</v>
      </c>
      <c r="B678" s="6" t="s">
        <v>58</v>
      </c>
      <c r="C678" s="6">
        <v>30</v>
      </c>
      <c r="D678" s="7" t="s">
        <v>13</v>
      </c>
      <c r="E678" s="11">
        <v>45157</v>
      </c>
      <c r="F678" s="10">
        <v>210</v>
      </c>
      <c r="G678" s="6">
        <v>4.2</v>
      </c>
      <c r="H678" s="6">
        <f>IF(MONTH(Data!$E678)&lt;=6, YEAR(Data!$E678), YEAR(Data!$E678)+1)</f>
        <v>2024</v>
      </c>
      <c r="I678" s="6" t="str">
        <f>TEXT(Data!$E678,"DDDD")</f>
        <v>Saturday</v>
      </c>
      <c r="J678" s="6" t="s">
        <v>47</v>
      </c>
      <c r="K678" s="6">
        <f>ROUND(Data!$G678,0)</f>
        <v>4</v>
      </c>
      <c r="L678" t="str" cm="1">
        <f t="array" ref="L678">_xlfn.IFS(C678&lt;=15,"Very Short",C678&lt;=30,"Short",C678&lt;=60,"Medium",C678&gt;60,"Long")</f>
        <v>Short</v>
      </c>
      <c r="M678" t="str" cm="1">
        <f t="array" ref="M678">_xlfn.IFS(F678&lt;=50,"Low",F678&lt;=100,"Medium",F678&lt;=150,"High",F678&gt;150,"Very High")</f>
        <v>Very High</v>
      </c>
    </row>
    <row r="679" spans="1:13" ht="14.25" customHeight="1" x14ac:dyDescent="0.4">
      <c r="A679" s="6" t="s">
        <v>713</v>
      </c>
      <c r="B679" s="6" t="s">
        <v>88</v>
      </c>
      <c r="C679" s="6">
        <v>63</v>
      </c>
      <c r="D679" s="7" t="s">
        <v>24</v>
      </c>
      <c r="E679" s="11">
        <v>45158</v>
      </c>
      <c r="F679" s="10">
        <v>29</v>
      </c>
      <c r="G679" s="6">
        <v>4.7</v>
      </c>
      <c r="H679" s="6">
        <f>IF(MONTH(Data!$E679)&lt;=6, YEAR(Data!$E679), YEAR(Data!$E679)+1)</f>
        <v>2024</v>
      </c>
      <c r="I679" s="6" t="str">
        <f>TEXT(Data!$E679,"DDDD")</f>
        <v>Sunday</v>
      </c>
      <c r="J679" s="6" t="s">
        <v>14</v>
      </c>
      <c r="K679" s="6">
        <f>ROUND(Data!$G679,0)</f>
        <v>5</v>
      </c>
      <c r="L679" t="str" cm="1">
        <f t="array" ref="L679">_xlfn.IFS(C679&lt;=15,"Very Short",C679&lt;=30,"Short",C679&lt;=60,"Medium",C679&gt;60,"Long")</f>
        <v>Long</v>
      </c>
      <c r="M679" t="str" cm="1">
        <f t="array" ref="M679">_xlfn.IFS(F679&lt;=50,"Low",F679&lt;=100,"Medium",F679&lt;=150,"High",F679&gt;150,"Very High")</f>
        <v>Low</v>
      </c>
    </row>
    <row r="680" spans="1:13" ht="14.25" customHeight="1" x14ac:dyDescent="0.4">
      <c r="A680" s="6" t="s">
        <v>714</v>
      </c>
      <c r="B680" s="6" t="s">
        <v>40</v>
      </c>
      <c r="C680" s="6">
        <v>64</v>
      </c>
      <c r="D680" s="7" t="s">
        <v>35</v>
      </c>
      <c r="E680" s="11">
        <v>45158</v>
      </c>
      <c r="F680" s="10">
        <v>111</v>
      </c>
      <c r="G680" s="6">
        <v>3.9</v>
      </c>
      <c r="H680" s="6">
        <f>IF(MONTH(Data!$E680)&lt;=6, YEAR(Data!$E680), YEAR(Data!$E680)+1)</f>
        <v>2024</v>
      </c>
      <c r="I680" s="6" t="str">
        <f>TEXT(Data!$E680,"DDDD")</f>
        <v>Sunday</v>
      </c>
      <c r="J680" s="6" t="s">
        <v>14</v>
      </c>
      <c r="K680" s="6">
        <f>ROUND(Data!$G680,0)</f>
        <v>4</v>
      </c>
      <c r="L680" t="str" cm="1">
        <f t="array" ref="L680">_xlfn.IFS(C680&lt;=15,"Very Short",C680&lt;=30,"Short",C680&lt;=60,"Medium",C680&gt;60,"Long")</f>
        <v>Long</v>
      </c>
      <c r="M680" t="str" cm="1">
        <f t="array" ref="M680">_xlfn.IFS(F680&lt;=50,"Low",F680&lt;=100,"Medium",F680&lt;=150,"High",F680&gt;150,"Very High")</f>
        <v>High</v>
      </c>
    </row>
    <row r="681" spans="1:13" ht="14.25" customHeight="1" x14ac:dyDescent="0.4">
      <c r="A681" s="6" t="s">
        <v>715</v>
      </c>
      <c r="B681" s="6" t="s">
        <v>21</v>
      </c>
      <c r="C681" s="6">
        <v>151</v>
      </c>
      <c r="D681" s="7" t="s">
        <v>19</v>
      </c>
      <c r="E681" s="11">
        <v>45159</v>
      </c>
      <c r="F681" s="10">
        <v>63</v>
      </c>
      <c r="G681" s="6">
        <v>4.0999999999999996</v>
      </c>
      <c r="H681" s="6">
        <f>IF(MONTH(Data!$E681)&lt;=6, YEAR(Data!$E681), YEAR(Data!$E681)+1)</f>
        <v>2024</v>
      </c>
      <c r="I681" s="6" t="str">
        <f>TEXT(Data!$E681,"DDDD")</f>
        <v>Monday</v>
      </c>
      <c r="J681" s="6" t="s">
        <v>25</v>
      </c>
      <c r="K681" s="6">
        <f>ROUND(Data!$G681,0)</f>
        <v>4</v>
      </c>
      <c r="L681" t="str" cm="1">
        <f t="array" ref="L681">_xlfn.IFS(C681&lt;=15,"Very Short",C681&lt;=30,"Short",C681&lt;=60,"Medium",C681&gt;60,"Long")</f>
        <v>Long</v>
      </c>
      <c r="M681" t="str" cm="1">
        <f t="array" ref="M681">_xlfn.IFS(F681&lt;=50,"Low",F681&lt;=100,"Medium",F681&lt;=150,"High",F681&gt;150,"Very High")</f>
        <v>Medium</v>
      </c>
    </row>
    <row r="682" spans="1:13" ht="14.25" customHeight="1" x14ac:dyDescent="0.4">
      <c r="A682" s="6" t="s">
        <v>716</v>
      </c>
      <c r="B682" s="6" t="s">
        <v>68</v>
      </c>
      <c r="C682" s="6">
        <v>116</v>
      </c>
      <c r="D682" s="7" t="s">
        <v>31</v>
      </c>
      <c r="E682" s="11">
        <v>45159</v>
      </c>
      <c r="F682" s="10">
        <v>44</v>
      </c>
      <c r="G682" s="6">
        <v>3.8</v>
      </c>
      <c r="H682" s="6">
        <f>IF(MONTH(Data!$E682)&lt;=6, YEAR(Data!$E682), YEAR(Data!$E682)+1)</f>
        <v>2024</v>
      </c>
      <c r="I682" s="6" t="str">
        <f>TEXT(Data!$E682,"DDDD")</f>
        <v>Monday</v>
      </c>
      <c r="J682" s="6" t="s">
        <v>14</v>
      </c>
      <c r="K682" s="6">
        <f>ROUND(Data!$G682,0)</f>
        <v>4</v>
      </c>
      <c r="L682" t="str" cm="1">
        <f t="array" ref="L682">_xlfn.IFS(C682&lt;=15,"Very Short",C682&lt;=30,"Short",C682&lt;=60,"Medium",C682&gt;60,"Long")</f>
        <v>Long</v>
      </c>
      <c r="M682" t="str" cm="1">
        <f t="array" ref="M682">_xlfn.IFS(F682&lt;=50,"Low",F682&lt;=100,"Medium",F682&lt;=150,"High",F682&gt;150,"Very High")</f>
        <v>Low</v>
      </c>
    </row>
    <row r="683" spans="1:13" ht="14.25" customHeight="1" x14ac:dyDescent="0.4">
      <c r="A683" s="6" t="s">
        <v>717</v>
      </c>
      <c r="B683" s="6" t="s">
        <v>21</v>
      </c>
      <c r="C683" s="6">
        <v>111</v>
      </c>
      <c r="D683" s="7" t="s">
        <v>31</v>
      </c>
      <c r="E683" s="11">
        <v>45161</v>
      </c>
      <c r="F683" s="10">
        <v>120</v>
      </c>
      <c r="G683" s="6">
        <v>1.8</v>
      </c>
      <c r="H683" s="6">
        <f>IF(MONTH(Data!$E683)&lt;=6, YEAR(Data!$E683), YEAR(Data!$E683)+1)</f>
        <v>2024</v>
      </c>
      <c r="I683" s="6" t="str">
        <f>TEXT(Data!$E683,"DDDD")</f>
        <v>Wednesday</v>
      </c>
      <c r="J683" s="6" t="s">
        <v>14</v>
      </c>
      <c r="K683" s="6">
        <f>ROUND(Data!$G683,0)</f>
        <v>2</v>
      </c>
      <c r="L683" t="str" cm="1">
        <f t="array" ref="L683">_xlfn.IFS(C683&lt;=15,"Very Short",C683&lt;=30,"Short",C683&lt;=60,"Medium",C683&gt;60,"Long")</f>
        <v>Long</v>
      </c>
      <c r="M683" t="str" cm="1">
        <f t="array" ref="M683">_xlfn.IFS(F683&lt;=50,"Low",F683&lt;=100,"Medium",F683&lt;=150,"High",F683&gt;150,"Very High")</f>
        <v>High</v>
      </c>
    </row>
    <row r="684" spans="1:13" ht="14.25" customHeight="1" x14ac:dyDescent="0.4">
      <c r="A684" s="6" t="s">
        <v>718</v>
      </c>
      <c r="B684" s="6" t="s">
        <v>23</v>
      </c>
      <c r="C684" s="6">
        <v>15</v>
      </c>
      <c r="D684" s="7" t="s">
        <v>31</v>
      </c>
      <c r="E684" s="11">
        <v>45161</v>
      </c>
      <c r="F684" s="10">
        <v>120</v>
      </c>
      <c r="G684" s="6">
        <v>4.0999999999999996</v>
      </c>
      <c r="H684" s="6">
        <f>IF(MONTH(Data!$E684)&lt;=6, YEAR(Data!$E684), YEAR(Data!$E684)+1)</f>
        <v>2024</v>
      </c>
      <c r="I684" s="6" t="str">
        <f>TEXT(Data!$E684,"DDDD")</f>
        <v>Wednesday</v>
      </c>
      <c r="J684" s="6" t="s">
        <v>47</v>
      </c>
      <c r="K684" s="6">
        <f>ROUND(Data!$G684,0)</f>
        <v>4</v>
      </c>
      <c r="L684" t="str" cm="1">
        <f t="array" ref="L684">_xlfn.IFS(C684&lt;=15,"Very Short",C684&lt;=30,"Short",C684&lt;=60,"Medium",C684&gt;60,"Long")</f>
        <v>Very Short</v>
      </c>
      <c r="M684" t="str" cm="1">
        <f t="array" ref="M684">_xlfn.IFS(F684&lt;=50,"Low",F684&lt;=100,"Medium",F684&lt;=150,"High",F684&gt;150,"Very High")</f>
        <v>High</v>
      </c>
    </row>
    <row r="685" spans="1:13" ht="14.25" customHeight="1" x14ac:dyDescent="0.4">
      <c r="A685" s="6" t="s">
        <v>719</v>
      </c>
      <c r="B685" s="6" t="s">
        <v>40</v>
      </c>
      <c r="C685" s="6">
        <v>18</v>
      </c>
      <c r="D685" s="7" t="s">
        <v>19</v>
      </c>
      <c r="E685" s="11">
        <v>45162</v>
      </c>
      <c r="F685" s="10">
        <v>40</v>
      </c>
      <c r="G685" s="6">
        <v>4.4000000000000004</v>
      </c>
      <c r="H685" s="6">
        <f>IF(MONTH(Data!$E685)&lt;=6, YEAR(Data!$E685), YEAR(Data!$E685)+1)</f>
        <v>2024</v>
      </c>
      <c r="I685" s="6" t="str">
        <f>TEXT(Data!$E685,"DDDD")</f>
        <v>Thursday</v>
      </c>
      <c r="J685" s="6" t="s">
        <v>47</v>
      </c>
      <c r="K685" s="6">
        <f>ROUND(Data!$G685,0)</f>
        <v>4</v>
      </c>
      <c r="L685" t="str" cm="1">
        <f t="array" ref="L685">_xlfn.IFS(C685&lt;=15,"Very Short",C685&lt;=30,"Short",C685&lt;=60,"Medium",C685&gt;60,"Long")</f>
        <v>Short</v>
      </c>
      <c r="M685" t="str" cm="1">
        <f t="array" ref="M685">_xlfn.IFS(F685&lt;=50,"Low",F685&lt;=100,"Medium",F685&lt;=150,"High",F685&gt;150,"Very High")</f>
        <v>Low</v>
      </c>
    </row>
    <row r="686" spans="1:13" ht="14.25" customHeight="1" x14ac:dyDescent="0.4">
      <c r="A686" s="6" t="s">
        <v>720</v>
      </c>
      <c r="B686" s="6" t="s">
        <v>29</v>
      </c>
      <c r="C686" s="6">
        <v>146</v>
      </c>
      <c r="D686" s="7" t="s">
        <v>24</v>
      </c>
      <c r="E686" s="11">
        <v>45162</v>
      </c>
      <c r="F686" s="10">
        <v>160</v>
      </c>
      <c r="G686" s="6">
        <v>4.0999999999999996</v>
      </c>
      <c r="H686" s="6">
        <f>IF(MONTH(Data!$E686)&lt;=6, YEAR(Data!$E686), YEAR(Data!$E686)+1)</f>
        <v>2024</v>
      </c>
      <c r="I686" s="6" t="str">
        <f>TEXT(Data!$E686,"DDDD")</f>
        <v>Thursday</v>
      </c>
      <c r="J686" s="6" t="s">
        <v>25</v>
      </c>
      <c r="K686" s="6">
        <f>ROUND(Data!$G686,0)</f>
        <v>4</v>
      </c>
      <c r="L686" t="str" cm="1">
        <f t="array" ref="L686">_xlfn.IFS(C686&lt;=15,"Very Short",C686&lt;=30,"Short",C686&lt;=60,"Medium",C686&gt;60,"Long")</f>
        <v>Long</v>
      </c>
      <c r="M686" t="str" cm="1">
        <f t="array" ref="M686">_xlfn.IFS(F686&lt;=50,"Low",F686&lt;=100,"Medium",F686&lt;=150,"High",F686&gt;150,"Very High")</f>
        <v>Very High</v>
      </c>
    </row>
    <row r="687" spans="1:13" ht="14.25" customHeight="1" x14ac:dyDescent="0.4">
      <c r="A687" s="6" t="s">
        <v>721</v>
      </c>
      <c r="B687" s="6" t="s">
        <v>58</v>
      </c>
      <c r="C687" s="6">
        <v>73</v>
      </c>
      <c r="D687" s="7" t="s">
        <v>31</v>
      </c>
      <c r="E687" s="11">
        <v>45163</v>
      </c>
      <c r="F687" s="10">
        <v>44</v>
      </c>
      <c r="G687" s="6">
        <v>3.8</v>
      </c>
      <c r="H687" s="6">
        <f>IF(MONTH(Data!$E687)&lt;=6, YEAR(Data!$E687), YEAR(Data!$E687)+1)</f>
        <v>2024</v>
      </c>
      <c r="I687" s="6" t="str">
        <f>TEXT(Data!$E687,"DDDD")</f>
        <v>Friday</v>
      </c>
      <c r="J687" s="6" t="s">
        <v>14</v>
      </c>
      <c r="K687" s="6">
        <f>ROUND(Data!$G687,0)</f>
        <v>4</v>
      </c>
      <c r="L687" t="str" cm="1">
        <f t="array" ref="L687">_xlfn.IFS(C687&lt;=15,"Very Short",C687&lt;=30,"Short",C687&lt;=60,"Medium",C687&gt;60,"Long")</f>
        <v>Long</v>
      </c>
      <c r="M687" t="str" cm="1">
        <f t="array" ref="M687">_xlfn.IFS(F687&lt;=50,"Low",F687&lt;=100,"Medium",F687&lt;=150,"High",F687&gt;150,"Very High")</f>
        <v>Low</v>
      </c>
    </row>
    <row r="688" spans="1:13" ht="14.25" customHeight="1" x14ac:dyDescent="0.4">
      <c r="A688" s="6" t="s">
        <v>722</v>
      </c>
      <c r="B688" s="6" t="s">
        <v>21</v>
      </c>
      <c r="C688" s="6">
        <v>108</v>
      </c>
      <c r="D688" s="7" t="s">
        <v>19</v>
      </c>
      <c r="E688" s="11">
        <v>45163</v>
      </c>
      <c r="F688" s="10">
        <v>80</v>
      </c>
      <c r="G688" s="6">
        <v>4.3</v>
      </c>
      <c r="H688" s="6">
        <f>IF(MONTH(Data!$E688)&lt;=6, YEAR(Data!$E688), YEAR(Data!$E688)+1)</f>
        <v>2024</v>
      </c>
      <c r="I688" s="6" t="str">
        <f>TEXT(Data!$E688,"DDDD")</f>
        <v>Friday</v>
      </c>
      <c r="J688" s="6" t="s">
        <v>14</v>
      </c>
      <c r="K688" s="6">
        <f>ROUND(Data!$G688,0)</f>
        <v>4</v>
      </c>
      <c r="L688" t="str" cm="1">
        <f t="array" ref="L688">_xlfn.IFS(C688&lt;=15,"Very Short",C688&lt;=30,"Short",C688&lt;=60,"Medium",C688&gt;60,"Long")</f>
        <v>Long</v>
      </c>
      <c r="M688" t="str" cm="1">
        <f t="array" ref="M688">_xlfn.IFS(F688&lt;=50,"Low",F688&lt;=100,"Medium",F688&lt;=150,"High",F688&gt;150,"Very High")</f>
        <v>Medium</v>
      </c>
    </row>
    <row r="689" spans="1:13" ht="14.25" customHeight="1" x14ac:dyDescent="0.4">
      <c r="A689" s="6" t="s">
        <v>723</v>
      </c>
      <c r="B689" s="6" t="s">
        <v>50</v>
      </c>
      <c r="C689" s="6">
        <v>52</v>
      </c>
      <c r="D689" s="7" t="s">
        <v>19</v>
      </c>
      <c r="E689" s="11">
        <v>45164</v>
      </c>
      <c r="F689" s="10">
        <v>66</v>
      </c>
      <c r="G689" s="6">
        <v>4.5</v>
      </c>
      <c r="H689" s="6">
        <f>IF(MONTH(Data!$E689)&lt;=6, YEAR(Data!$E689), YEAR(Data!$E689)+1)</f>
        <v>2024</v>
      </c>
      <c r="I689" s="6" t="str">
        <f>TEXT(Data!$E689,"DDDD")</f>
        <v>Saturday</v>
      </c>
      <c r="J689" s="6" t="s">
        <v>27</v>
      </c>
      <c r="K689" s="6">
        <f>ROUND(Data!$G689,0)</f>
        <v>5</v>
      </c>
      <c r="L689" t="str" cm="1">
        <f t="array" ref="L689">_xlfn.IFS(C689&lt;=15,"Very Short",C689&lt;=30,"Short",C689&lt;=60,"Medium",C689&gt;60,"Long")</f>
        <v>Medium</v>
      </c>
      <c r="M689" t="str" cm="1">
        <f t="array" ref="M689">_xlfn.IFS(F689&lt;=50,"Low",F689&lt;=100,"Medium",F689&lt;=150,"High",F689&gt;150,"Very High")</f>
        <v>Medium</v>
      </c>
    </row>
    <row r="690" spans="1:13" ht="14.25" customHeight="1" x14ac:dyDescent="0.4">
      <c r="A690" s="6" t="s">
        <v>724</v>
      </c>
      <c r="B690" s="6" t="s">
        <v>68</v>
      </c>
      <c r="C690" s="6">
        <v>165</v>
      </c>
      <c r="D690" s="7" t="s">
        <v>35</v>
      </c>
      <c r="E690" s="11">
        <v>45164</v>
      </c>
      <c r="F690" s="10">
        <v>82</v>
      </c>
      <c r="G690" s="6">
        <v>3.4</v>
      </c>
      <c r="H690" s="6">
        <f>IF(MONTH(Data!$E690)&lt;=6, YEAR(Data!$E690), YEAR(Data!$E690)+1)</f>
        <v>2024</v>
      </c>
      <c r="I690" s="6" t="str">
        <f>TEXT(Data!$E690,"DDDD")</f>
        <v>Saturday</v>
      </c>
      <c r="J690" s="6" t="s">
        <v>25</v>
      </c>
      <c r="K690" s="6">
        <f>ROUND(Data!$G690,0)</f>
        <v>3</v>
      </c>
      <c r="L690" t="str" cm="1">
        <f t="array" ref="L690">_xlfn.IFS(C690&lt;=15,"Very Short",C690&lt;=30,"Short",C690&lt;=60,"Medium",C690&gt;60,"Long")</f>
        <v>Long</v>
      </c>
      <c r="M690" t="str" cm="1">
        <f t="array" ref="M690">_xlfn.IFS(F690&lt;=50,"Low",F690&lt;=100,"Medium",F690&lt;=150,"High",F690&gt;150,"Very High")</f>
        <v>Medium</v>
      </c>
    </row>
    <row r="691" spans="1:13" ht="14.25" customHeight="1" x14ac:dyDescent="0.4">
      <c r="A691" s="6" t="s">
        <v>725</v>
      </c>
      <c r="B691" s="6" t="s">
        <v>29</v>
      </c>
      <c r="C691" s="6">
        <v>104</v>
      </c>
      <c r="D691" s="7" t="s">
        <v>31</v>
      </c>
      <c r="E691" s="11">
        <v>45164</v>
      </c>
      <c r="F691" s="10">
        <v>66</v>
      </c>
      <c r="G691" s="6">
        <v>4.8</v>
      </c>
      <c r="H691" s="6">
        <f>IF(MONTH(Data!$E691)&lt;=6, YEAR(Data!$E691), YEAR(Data!$E691)+1)</f>
        <v>2024</v>
      </c>
      <c r="I691" s="6" t="str">
        <f>TEXT(Data!$E691,"DDDD")</f>
        <v>Saturday</v>
      </c>
      <c r="J691" s="6" t="s">
        <v>14</v>
      </c>
      <c r="K691" s="6">
        <f>ROUND(Data!$G691,0)</f>
        <v>5</v>
      </c>
      <c r="L691" t="str" cm="1">
        <f t="array" ref="L691">_xlfn.IFS(C691&lt;=15,"Very Short",C691&lt;=30,"Short",C691&lt;=60,"Medium",C691&gt;60,"Long")</f>
        <v>Long</v>
      </c>
      <c r="M691" t="str" cm="1">
        <f t="array" ref="M691">_xlfn.IFS(F691&lt;=50,"Low",F691&lt;=100,"Medium",F691&lt;=150,"High",F691&gt;150,"Very High")</f>
        <v>Medium</v>
      </c>
    </row>
    <row r="692" spans="1:13" ht="14.25" customHeight="1" x14ac:dyDescent="0.4">
      <c r="A692" s="6" t="s">
        <v>726</v>
      </c>
      <c r="B692" s="6" t="s">
        <v>58</v>
      </c>
      <c r="C692" s="6">
        <v>131</v>
      </c>
      <c r="D692" s="7" t="s">
        <v>24</v>
      </c>
      <c r="E692" s="11">
        <v>45164</v>
      </c>
      <c r="F692" s="10">
        <v>92</v>
      </c>
      <c r="G692" s="6">
        <v>4.9000000000000004</v>
      </c>
      <c r="H692" s="6">
        <f>IF(MONTH(Data!$E692)&lt;=6, YEAR(Data!$E692), YEAR(Data!$E692)+1)</f>
        <v>2024</v>
      </c>
      <c r="I692" s="6" t="str">
        <f>TEXT(Data!$E692,"DDDD")</f>
        <v>Saturday</v>
      </c>
      <c r="J692" s="6" t="s">
        <v>25</v>
      </c>
      <c r="K692" s="6">
        <f>ROUND(Data!$G692,0)</f>
        <v>5</v>
      </c>
      <c r="L692" t="str" cm="1">
        <f t="array" ref="L692">_xlfn.IFS(C692&lt;=15,"Very Short",C692&lt;=30,"Short",C692&lt;=60,"Medium",C692&gt;60,"Long")</f>
        <v>Long</v>
      </c>
      <c r="M692" t="str" cm="1">
        <f t="array" ref="M692">_xlfn.IFS(F692&lt;=50,"Low",F692&lt;=100,"Medium",F692&lt;=150,"High",F692&gt;150,"Very High")</f>
        <v>Medium</v>
      </c>
    </row>
    <row r="693" spans="1:13" ht="14.25" customHeight="1" x14ac:dyDescent="0.4">
      <c r="A693" s="6" t="s">
        <v>727</v>
      </c>
      <c r="B693" s="6" t="s">
        <v>55</v>
      </c>
      <c r="C693" s="6">
        <v>80</v>
      </c>
      <c r="D693" s="7" t="s">
        <v>35</v>
      </c>
      <c r="E693" s="11">
        <v>45165</v>
      </c>
      <c r="F693" s="10">
        <v>104</v>
      </c>
      <c r="G693" s="6">
        <v>4.7</v>
      </c>
      <c r="H693" s="6">
        <f>IF(MONTH(Data!$E693)&lt;=6, YEAR(Data!$E693), YEAR(Data!$E693)+1)</f>
        <v>2024</v>
      </c>
      <c r="I693" s="6" t="str">
        <f>TEXT(Data!$E693,"DDDD")</f>
        <v>Sunday</v>
      </c>
      <c r="J693" s="6" t="s">
        <v>14</v>
      </c>
      <c r="K693" s="6">
        <f>ROUND(Data!$G693,0)</f>
        <v>5</v>
      </c>
      <c r="L693" t="str" cm="1">
        <f t="array" ref="L693">_xlfn.IFS(C693&lt;=15,"Very Short",C693&lt;=30,"Short",C693&lt;=60,"Medium",C693&gt;60,"Long")</f>
        <v>Long</v>
      </c>
      <c r="M693" t="str" cm="1">
        <f t="array" ref="M693">_xlfn.IFS(F693&lt;=50,"Low",F693&lt;=100,"Medium",F693&lt;=150,"High",F693&gt;150,"Very High")</f>
        <v>High</v>
      </c>
    </row>
    <row r="694" spans="1:13" ht="14.25" customHeight="1" x14ac:dyDescent="0.4">
      <c r="A694" s="6" t="s">
        <v>728</v>
      </c>
      <c r="B694" s="6" t="s">
        <v>23</v>
      </c>
      <c r="C694" s="6">
        <v>49</v>
      </c>
      <c r="D694" s="7" t="s">
        <v>31</v>
      </c>
      <c r="E694" s="11">
        <v>45165</v>
      </c>
      <c r="F694" s="10">
        <v>105</v>
      </c>
      <c r="G694" s="6">
        <v>3.3</v>
      </c>
      <c r="H694" s="6">
        <f>IF(MONTH(Data!$E694)&lt;=6, YEAR(Data!$E694), YEAR(Data!$E694)+1)</f>
        <v>2024</v>
      </c>
      <c r="I694" s="6" t="str">
        <f>TEXT(Data!$E694,"DDDD")</f>
        <v>Sunday</v>
      </c>
      <c r="J694" s="6" t="s">
        <v>27</v>
      </c>
      <c r="K694" s="6">
        <f>ROUND(Data!$G694,0)</f>
        <v>3</v>
      </c>
      <c r="L694" t="str" cm="1">
        <f t="array" ref="L694">_xlfn.IFS(C694&lt;=15,"Very Short",C694&lt;=30,"Short",C694&lt;=60,"Medium",C694&gt;60,"Long")</f>
        <v>Medium</v>
      </c>
      <c r="M694" t="str" cm="1">
        <f t="array" ref="M694">_xlfn.IFS(F694&lt;=50,"Low",F694&lt;=100,"Medium",F694&lt;=150,"High",F694&gt;150,"Very High")</f>
        <v>High</v>
      </c>
    </row>
    <row r="695" spans="1:13" ht="14.25" customHeight="1" x14ac:dyDescent="0.4">
      <c r="A695" s="6" t="s">
        <v>729</v>
      </c>
      <c r="B695" s="6" t="s">
        <v>68</v>
      </c>
      <c r="C695" s="6">
        <v>73</v>
      </c>
      <c r="D695" s="7" t="s">
        <v>31</v>
      </c>
      <c r="E695" s="11">
        <v>45165</v>
      </c>
      <c r="F695" s="10">
        <v>100</v>
      </c>
      <c r="G695" s="6">
        <v>2.8</v>
      </c>
      <c r="H695" s="6">
        <f>IF(MONTH(Data!$E695)&lt;=6, YEAR(Data!$E695), YEAR(Data!$E695)+1)</f>
        <v>2024</v>
      </c>
      <c r="I695" s="6" t="str">
        <f>TEXT(Data!$E695,"DDDD")</f>
        <v>Sunday</v>
      </c>
      <c r="J695" s="6" t="s">
        <v>14</v>
      </c>
      <c r="K695" s="6">
        <f>ROUND(Data!$G695,0)</f>
        <v>3</v>
      </c>
      <c r="L695" t="str" cm="1">
        <f t="array" ref="L695">_xlfn.IFS(C695&lt;=15,"Very Short",C695&lt;=30,"Short",C695&lt;=60,"Medium",C695&gt;60,"Long")</f>
        <v>Long</v>
      </c>
      <c r="M695" t="str" cm="1">
        <f t="array" ref="M695">_xlfn.IFS(F695&lt;=50,"Low",F695&lt;=100,"Medium",F695&lt;=150,"High",F695&gt;150,"Very High")</f>
        <v>Medium</v>
      </c>
    </row>
    <row r="696" spans="1:13" ht="14.25" customHeight="1" x14ac:dyDescent="0.4">
      <c r="A696" s="6" t="s">
        <v>730</v>
      </c>
      <c r="B696" s="6" t="s">
        <v>29</v>
      </c>
      <c r="C696" s="6">
        <v>117</v>
      </c>
      <c r="D696" s="7" t="s">
        <v>35</v>
      </c>
      <c r="E696" s="11">
        <v>45165</v>
      </c>
      <c r="F696" s="10">
        <v>90</v>
      </c>
      <c r="G696" s="6">
        <v>4.0999999999999996</v>
      </c>
      <c r="H696" s="6">
        <f>IF(MONTH(Data!$E696)&lt;=6, YEAR(Data!$E696), YEAR(Data!$E696)+1)</f>
        <v>2024</v>
      </c>
      <c r="I696" s="6" t="str">
        <f>TEXT(Data!$E696,"DDDD")</f>
        <v>Sunday</v>
      </c>
      <c r="J696" s="6" t="s">
        <v>14</v>
      </c>
      <c r="K696" s="6">
        <f>ROUND(Data!$G696,0)</f>
        <v>4</v>
      </c>
      <c r="L696" t="str" cm="1">
        <f t="array" ref="L696">_xlfn.IFS(C696&lt;=15,"Very Short",C696&lt;=30,"Short",C696&lt;=60,"Medium",C696&gt;60,"Long")</f>
        <v>Long</v>
      </c>
      <c r="M696" t="str" cm="1">
        <f t="array" ref="M696">_xlfn.IFS(F696&lt;=50,"Low",F696&lt;=100,"Medium",F696&lt;=150,"High",F696&gt;150,"Very High")</f>
        <v>Medium</v>
      </c>
    </row>
    <row r="697" spans="1:13" ht="14.25" customHeight="1" x14ac:dyDescent="0.4">
      <c r="A697" s="6" t="s">
        <v>731</v>
      </c>
      <c r="B697" s="6" t="s">
        <v>18</v>
      </c>
      <c r="C697" s="6">
        <v>38</v>
      </c>
      <c r="D697" s="7" t="s">
        <v>13</v>
      </c>
      <c r="E697" s="11">
        <v>45165</v>
      </c>
      <c r="F697" s="10">
        <v>110</v>
      </c>
      <c r="G697" s="6">
        <v>3.5</v>
      </c>
      <c r="H697" s="6">
        <f>IF(MONTH(Data!$E697)&lt;=6, YEAR(Data!$E697), YEAR(Data!$E697)+1)</f>
        <v>2024</v>
      </c>
      <c r="I697" s="6" t="str">
        <f>TEXT(Data!$E697,"DDDD")</f>
        <v>Sunday</v>
      </c>
      <c r="J697" s="6" t="s">
        <v>27</v>
      </c>
      <c r="K697" s="6">
        <f>ROUND(Data!$G697,0)</f>
        <v>4</v>
      </c>
      <c r="L697" t="str" cm="1">
        <f t="array" ref="L697">_xlfn.IFS(C697&lt;=15,"Very Short",C697&lt;=30,"Short",C697&lt;=60,"Medium",C697&gt;60,"Long")</f>
        <v>Medium</v>
      </c>
      <c r="M697" t="str" cm="1">
        <f t="array" ref="M697">_xlfn.IFS(F697&lt;=50,"Low",F697&lt;=100,"Medium",F697&lt;=150,"High",F697&gt;150,"Very High")</f>
        <v>High</v>
      </c>
    </row>
    <row r="698" spans="1:13" ht="14.25" customHeight="1" x14ac:dyDescent="0.4">
      <c r="A698" s="6" t="s">
        <v>732</v>
      </c>
      <c r="B698" s="6" t="s">
        <v>50</v>
      </c>
      <c r="C698" s="6">
        <v>109</v>
      </c>
      <c r="D698" s="7" t="s">
        <v>35</v>
      </c>
      <c r="E698" s="11">
        <v>45167</v>
      </c>
      <c r="F698" s="10">
        <v>68</v>
      </c>
      <c r="G698" s="6">
        <v>2.2999999999999998</v>
      </c>
      <c r="H698" s="6">
        <f>IF(MONTH(Data!$E698)&lt;=6, YEAR(Data!$E698), YEAR(Data!$E698)+1)</f>
        <v>2024</v>
      </c>
      <c r="I698" s="6" t="str">
        <f>TEXT(Data!$E698,"DDDD")</f>
        <v>Tuesday</v>
      </c>
      <c r="J698" s="6" t="s">
        <v>14</v>
      </c>
      <c r="K698" s="6">
        <f>ROUND(Data!$G698,0)</f>
        <v>2</v>
      </c>
      <c r="L698" t="str" cm="1">
        <f t="array" ref="L698">_xlfn.IFS(C698&lt;=15,"Very Short",C698&lt;=30,"Short",C698&lt;=60,"Medium",C698&gt;60,"Long")</f>
        <v>Long</v>
      </c>
      <c r="M698" t="str" cm="1">
        <f t="array" ref="M698">_xlfn.IFS(F698&lt;=50,"Low",F698&lt;=100,"Medium",F698&lt;=150,"High",F698&gt;150,"Very High")</f>
        <v>Medium</v>
      </c>
    </row>
    <row r="699" spans="1:13" ht="14.25" customHeight="1" x14ac:dyDescent="0.4">
      <c r="A699" s="6" t="s">
        <v>733</v>
      </c>
      <c r="B699" s="6" t="s">
        <v>23</v>
      </c>
      <c r="C699" s="6">
        <v>70</v>
      </c>
      <c r="D699" s="7" t="s">
        <v>19</v>
      </c>
      <c r="E699" s="11">
        <v>45168</v>
      </c>
      <c r="F699" s="10">
        <v>210</v>
      </c>
      <c r="G699" s="6">
        <v>4.0999999999999996</v>
      </c>
      <c r="H699" s="6">
        <f>IF(MONTH(Data!$E699)&lt;=6, YEAR(Data!$E699), YEAR(Data!$E699)+1)</f>
        <v>2024</v>
      </c>
      <c r="I699" s="6" t="str">
        <f>TEXT(Data!$E699,"DDDD")</f>
        <v>Wednesday</v>
      </c>
      <c r="J699" s="6" t="s">
        <v>14</v>
      </c>
      <c r="K699" s="6">
        <f>ROUND(Data!$G699,0)</f>
        <v>4</v>
      </c>
      <c r="L699" t="str" cm="1">
        <f t="array" ref="L699">_xlfn.IFS(C699&lt;=15,"Very Short",C699&lt;=30,"Short",C699&lt;=60,"Medium",C699&gt;60,"Long")</f>
        <v>Long</v>
      </c>
      <c r="M699" t="str" cm="1">
        <f t="array" ref="M699">_xlfn.IFS(F699&lt;=50,"Low",F699&lt;=100,"Medium",F699&lt;=150,"High",F699&gt;150,"Very High")</f>
        <v>Very High</v>
      </c>
    </row>
    <row r="700" spans="1:13" ht="14.25" customHeight="1" x14ac:dyDescent="0.4">
      <c r="A700" s="6" t="s">
        <v>734</v>
      </c>
      <c r="B700" s="6" t="s">
        <v>16</v>
      </c>
      <c r="C700" s="6">
        <v>51</v>
      </c>
      <c r="D700" s="7" t="s">
        <v>13</v>
      </c>
      <c r="E700" s="11">
        <v>45168</v>
      </c>
      <c r="F700" s="10">
        <v>111</v>
      </c>
      <c r="G700" s="6">
        <v>4.3</v>
      </c>
      <c r="H700" s="6">
        <f>IF(MONTH(Data!$E700)&lt;=6, YEAR(Data!$E700), YEAR(Data!$E700)+1)</f>
        <v>2024</v>
      </c>
      <c r="I700" s="6" t="str">
        <f>TEXT(Data!$E700,"DDDD")</f>
        <v>Wednesday</v>
      </c>
      <c r="J700" s="6" t="s">
        <v>27</v>
      </c>
      <c r="K700" s="6">
        <f>ROUND(Data!$G700,0)</f>
        <v>4</v>
      </c>
      <c r="L700" t="str" cm="1">
        <f t="array" ref="L700">_xlfn.IFS(C700&lt;=15,"Very Short",C700&lt;=30,"Short",C700&lt;=60,"Medium",C700&gt;60,"Long")</f>
        <v>Medium</v>
      </c>
      <c r="M700" t="str" cm="1">
        <f t="array" ref="M700">_xlfn.IFS(F700&lt;=50,"Low",F700&lt;=100,"Medium",F700&lt;=150,"High",F700&gt;150,"Very High")</f>
        <v>High</v>
      </c>
    </row>
    <row r="701" spans="1:13" ht="14.25" customHeight="1" x14ac:dyDescent="0.4">
      <c r="A701" s="6" t="s">
        <v>735</v>
      </c>
      <c r="B701" s="6" t="s">
        <v>16</v>
      </c>
      <c r="C701" s="6">
        <v>100</v>
      </c>
      <c r="D701" s="7" t="s">
        <v>19</v>
      </c>
      <c r="E701" s="11">
        <v>45169</v>
      </c>
      <c r="F701" s="10">
        <v>45</v>
      </c>
      <c r="G701" s="6">
        <v>4.9000000000000004</v>
      </c>
      <c r="H701" s="6">
        <f>IF(MONTH(Data!$E701)&lt;=6, YEAR(Data!$E701), YEAR(Data!$E701)+1)</f>
        <v>2024</v>
      </c>
      <c r="I701" s="6" t="str">
        <f>TEXT(Data!$E701,"DDDD")</f>
        <v>Thursday</v>
      </c>
      <c r="J701" s="6" t="s">
        <v>14</v>
      </c>
      <c r="K701" s="6">
        <f>ROUND(Data!$G701,0)</f>
        <v>5</v>
      </c>
      <c r="L701" t="str" cm="1">
        <f t="array" ref="L701">_xlfn.IFS(C701&lt;=15,"Very Short",C701&lt;=30,"Short",C701&lt;=60,"Medium",C701&gt;60,"Long")</f>
        <v>Long</v>
      </c>
      <c r="M701" t="str" cm="1">
        <f t="array" ref="M701">_xlfn.IFS(F701&lt;=50,"Low",F701&lt;=100,"Medium",F701&lt;=150,"High",F701&gt;150,"Very High")</f>
        <v>Low</v>
      </c>
    </row>
    <row r="702" spans="1:13" ht="14.25" customHeight="1" x14ac:dyDescent="0.4">
      <c r="A702" s="6" t="s">
        <v>736</v>
      </c>
      <c r="B702" s="6" t="s">
        <v>38</v>
      </c>
      <c r="C702" s="6">
        <v>124</v>
      </c>
      <c r="D702" s="7" t="s">
        <v>13</v>
      </c>
      <c r="E702" s="11">
        <v>45170</v>
      </c>
      <c r="F702" s="10">
        <v>132</v>
      </c>
      <c r="G702" s="6">
        <v>4</v>
      </c>
      <c r="H702" s="6">
        <f>IF(MONTH(Data!$E702)&lt;=6, YEAR(Data!$E702), YEAR(Data!$E702)+1)</f>
        <v>2024</v>
      </c>
      <c r="I702" s="6" t="str">
        <f>TEXT(Data!$E702,"DDDD")</f>
        <v>Friday</v>
      </c>
      <c r="J702" s="6" t="s">
        <v>25</v>
      </c>
      <c r="K702" s="6">
        <f>ROUND(Data!$G702,0)</f>
        <v>4</v>
      </c>
      <c r="L702" t="str" cm="1">
        <f t="array" ref="L702">_xlfn.IFS(C702&lt;=15,"Very Short",C702&lt;=30,"Short",C702&lt;=60,"Medium",C702&gt;60,"Long")</f>
        <v>Long</v>
      </c>
      <c r="M702" t="str" cm="1">
        <f t="array" ref="M702">_xlfn.IFS(F702&lt;=50,"Low",F702&lt;=100,"Medium",F702&lt;=150,"High",F702&gt;150,"Very High")</f>
        <v>High</v>
      </c>
    </row>
    <row r="703" spans="1:13" ht="14.25" customHeight="1" x14ac:dyDescent="0.4">
      <c r="A703" s="6" t="s">
        <v>737</v>
      </c>
      <c r="B703" s="6" t="s">
        <v>12</v>
      </c>
      <c r="C703" s="6">
        <v>143</v>
      </c>
      <c r="D703" s="7" t="s">
        <v>35</v>
      </c>
      <c r="E703" s="11">
        <v>45170</v>
      </c>
      <c r="F703" s="10">
        <v>20</v>
      </c>
      <c r="G703" s="6">
        <v>4.7</v>
      </c>
      <c r="H703" s="6">
        <f>IF(MONTH(Data!$E703)&lt;=6, YEAR(Data!$E703), YEAR(Data!$E703)+1)</f>
        <v>2024</v>
      </c>
      <c r="I703" s="6" t="str">
        <f>TEXT(Data!$E703,"DDDD")</f>
        <v>Friday</v>
      </c>
      <c r="J703" s="6" t="s">
        <v>25</v>
      </c>
      <c r="K703" s="6">
        <f>ROUND(Data!$G703,0)</f>
        <v>5</v>
      </c>
      <c r="L703" t="str" cm="1">
        <f t="array" ref="L703">_xlfn.IFS(C703&lt;=15,"Very Short",C703&lt;=30,"Short",C703&lt;=60,"Medium",C703&gt;60,"Long")</f>
        <v>Long</v>
      </c>
      <c r="M703" t="str" cm="1">
        <f t="array" ref="M703">_xlfn.IFS(F703&lt;=50,"Low",F703&lt;=100,"Medium",F703&lt;=150,"High",F703&gt;150,"Very High")</f>
        <v>Low</v>
      </c>
    </row>
    <row r="704" spans="1:13" ht="14.25" customHeight="1" x14ac:dyDescent="0.4">
      <c r="A704" s="6" t="s">
        <v>738</v>
      </c>
      <c r="B704" s="6" t="s">
        <v>34</v>
      </c>
      <c r="C704" s="6">
        <v>96</v>
      </c>
      <c r="D704" s="7" t="s">
        <v>31</v>
      </c>
      <c r="E704" s="11">
        <v>45170</v>
      </c>
      <c r="F704" s="10">
        <v>36</v>
      </c>
      <c r="G704" s="6">
        <v>3.4</v>
      </c>
      <c r="H704" s="6">
        <f>IF(MONTH(Data!$E704)&lt;=6, YEAR(Data!$E704), YEAR(Data!$E704)+1)</f>
        <v>2024</v>
      </c>
      <c r="I704" s="6" t="str">
        <f>TEXT(Data!$E704,"DDDD")</f>
        <v>Friday</v>
      </c>
      <c r="J704" s="6" t="s">
        <v>14</v>
      </c>
      <c r="K704" s="6">
        <f>ROUND(Data!$G704,0)</f>
        <v>3</v>
      </c>
      <c r="L704" t="str" cm="1">
        <f t="array" ref="L704">_xlfn.IFS(C704&lt;=15,"Very Short",C704&lt;=30,"Short",C704&lt;=60,"Medium",C704&gt;60,"Long")</f>
        <v>Long</v>
      </c>
      <c r="M704" t="str" cm="1">
        <f t="array" ref="M704">_xlfn.IFS(F704&lt;=50,"Low",F704&lt;=100,"Medium",F704&lt;=150,"High",F704&gt;150,"Very High")</f>
        <v>Low</v>
      </c>
    </row>
    <row r="705" spans="1:13" ht="14.25" customHeight="1" x14ac:dyDescent="0.4">
      <c r="A705" s="6" t="s">
        <v>739</v>
      </c>
      <c r="B705" s="6" t="s">
        <v>68</v>
      </c>
      <c r="C705" s="6">
        <v>84</v>
      </c>
      <c r="D705" s="7" t="s">
        <v>19</v>
      </c>
      <c r="E705" s="11">
        <v>45172</v>
      </c>
      <c r="F705" s="10">
        <v>72</v>
      </c>
      <c r="G705" s="6">
        <v>4</v>
      </c>
      <c r="H705" s="6">
        <f>IF(MONTH(Data!$E705)&lt;=6, YEAR(Data!$E705), YEAR(Data!$E705)+1)</f>
        <v>2024</v>
      </c>
      <c r="I705" s="6" t="str">
        <f>TEXT(Data!$E705,"DDDD")</f>
        <v>Sunday</v>
      </c>
      <c r="J705" s="6" t="s">
        <v>14</v>
      </c>
      <c r="K705" s="6">
        <f>ROUND(Data!$G705,0)</f>
        <v>4</v>
      </c>
      <c r="L705" t="str" cm="1">
        <f t="array" ref="L705">_xlfn.IFS(C705&lt;=15,"Very Short",C705&lt;=30,"Short",C705&lt;=60,"Medium",C705&gt;60,"Long")</f>
        <v>Long</v>
      </c>
      <c r="M705" t="str" cm="1">
        <f t="array" ref="M705">_xlfn.IFS(F705&lt;=50,"Low",F705&lt;=100,"Medium",F705&lt;=150,"High",F705&gt;150,"Very High")</f>
        <v>Medium</v>
      </c>
    </row>
    <row r="706" spans="1:13" ht="14.25" customHeight="1" x14ac:dyDescent="0.4">
      <c r="A706" s="6" t="s">
        <v>740</v>
      </c>
      <c r="B706" s="6" t="s">
        <v>46</v>
      </c>
      <c r="C706" s="6">
        <v>111</v>
      </c>
      <c r="D706" s="7" t="s">
        <v>19</v>
      </c>
      <c r="E706" s="11">
        <v>45172</v>
      </c>
      <c r="F706" s="10">
        <v>63</v>
      </c>
      <c r="G706" s="6">
        <v>4.5</v>
      </c>
      <c r="H706" s="6">
        <f>IF(MONTH(Data!$E706)&lt;=6, YEAR(Data!$E706), YEAR(Data!$E706)+1)</f>
        <v>2024</v>
      </c>
      <c r="I706" s="6" t="str">
        <f>TEXT(Data!$E706,"DDDD")</f>
        <v>Sunday</v>
      </c>
      <c r="J706" s="6" t="s">
        <v>14</v>
      </c>
      <c r="K706" s="6">
        <f>ROUND(Data!$G706,0)</f>
        <v>5</v>
      </c>
      <c r="L706" t="str" cm="1">
        <f t="array" ref="L706">_xlfn.IFS(C706&lt;=15,"Very Short",C706&lt;=30,"Short",C706&lt;=60,"Medium",C706&gt;60,"Long")</f>
        <v>Long</v>
      </c>
      <c r="M706" t="str" cm="1">
        <f t="array" ref="M706">_xlfn.IFS(F706&lt;=50,"Low",F706&lt;=100,"Medium",F706&lt;=150,"High",F706&gt;150,"Very High")</f>
        <v>Medium</v>
      </c>
    </row>
    <row r="707" spans="1:13" ht="14.25" customHeight="1" x14ac:dyDescent="0.4">
      <c r="A707" s="6" t="s">
        <v>741</v>
      </c>
      <c r="B707" s="6" t="s">
        <v>46</v>
      </c>
      <c r="C707" s="6">
        <v>103</v>
      </c>
      <c r="D707" s="7" t="s">
        <v>13</v>
      </c>
      <c r="E707" s="11">
        <v>45173</v>
      </c>
      <c r="F707" s="10">
        <v>44</v>
      </c>
      <c r="G707" s="6">
        <v>4.5</v>
      </c>
      <c r="H707" s="6">
        <f>IF(MONTH(Data!$E707)&lt;=6, YEAR(Data!$E707), YEAR(Data!$E707)+1)</f>
        <v>2024</v>
      </c>
      <c r="I707" s="6" t="str">
        <f>TEXT(Data!$E707,"DDDD")</f>
        <v>Monday</v>
      </c>
      <c r="J707" s="6" t="s">
        <v>14</v>
      </c>
      <c r="K707" s="6">
        <f>ROUND(Data!$G707,0)</f>
        <v>5</v>
      </c>
      <c r="L707" t="str" cm="1">
        <f t="array" ref="L707">_xlfn.IFS(C707&lt;=15,"Very Short",C707&lt;=30,"Short",C707&lt;=60,"Medium",C707&gt;60,"Long")</f>
        <v>Long</v>
      </c>
      <c r="M707" t="str" cm="1">
        <f t="array" ref="M707">_xlfn.IFS(F707&lt;=50,"Low",F707&lt;=100,"Medium",F707&lt;=150,"High",F707&gt;150,"Very High")</f>
        <v>Low</v>
      </c>
    </row>
    <row r="708" spans="1:13" ht="14.25" customHeight="1" x14ac:dyDescent="0.4">
      <c r="A708" s="6" t="s">
        <v>742</v>
      </c>
      <c r="B708" s="6" t="s">
        <v>12</v>
      </c>
      <c r="C708" s="6">
        <v>61</v>
      </c>
      <c r="D708" s="7" t="s">
        <v>24</v>
      </c>
      <c r="E708" s="11">
        <v>45173</v>
      </c>
      <c r="F708" s="10">
        <v>132</v>
      </c>
      <c r="G708" s="6">
        <v>4.9000000000000004</v>
      </c>
      <c r="H708" s="6">
        <f>IF(MONTH(Data!$E708)&lt;=6, YEAR(Data!$E708), YEAR(Data!$E708)+1)</f>
        <v>2024</v>
      </c>
      <c r="I708" s="6" t="str">
        <f>TEXT(Data!$E708,"DDDD")</f>
        <v>Monday</v>
      </c>
      <c r="J708" s="6" t="s">
        <v>14</v>
      </c>
      <c r="K708" s="6">
        <f>ROUND(Data!$G708,0)</f>
        <v>5</v>
      </c>
      <c r="L708" t="str" cm="1">
        <f t="array" ref="L708">_xlfn.IFS(C708&lt;=15,"Very Short",C708&lt;=30,"Short",C708&lt;=60,"Medium",C708&gt;60,"Long")</f>
        <v>Long</v>
      </c>
      <c r="M708" t="str" cm="1">
        <f t="array" ref="M708">_xlfn.IFS(F708&lt;=50,"Low",F708&lt;=100,"Medium",F708&lt;=150,"High",F708&gt;150,"Very High")</f>
        <v>High</v>
      </c>
    </row>
    <row r="709" spans="1:13" ht="14.25" customHeight="1" x14ac:dyDescent="0.4">
      <c r="A709" s="6" t="s">
        <v>743</v>
      </c>
      <c r="B709" s="6" t="s">
        <v>58</v>
      </c>
      <c r="C709" s="6">
        <v>113</v>
      </c>
      <c r="D709" s="7" t="s">
        <v>31</v>
      </c>
      <c r="E709" s="11">
        <v>45173</v>
      </c>
      <c r="F709" s="10">
        <v>46</v>
      </c>
      <c r="G709" s="6">
        <v>4.4000000000000004</v>
      </c>
      <c r="H709" s="6">
        <f>IF(MONTH(Data!$E709)&lt;=6, YEAR(Data!$E709), YEAR(Data!$E709)+1)</f>
        <v>2024</v>
      </c>
      <c r="I709" s="6" t="str">
        <f>TEXT(Data!$E709,"DDDD")</f>
        <v>Monday</v>
      </c>
      <c r="J709" s="6" t="s">
        <v>14</v>
      </c>
      <c r="K709" s="6">
        <f>ROUND(Data!$G709,0)</f>
        <v>4</v>
      </c>
      <c r="L709" t="str" cm="1">
        <f t="array" ref="L709">_xlfn.IFS(C709&lt;=15,"Very Short",C709&lt;=30,"Short",C709&lt;=60,"Medium",C709&gt;60,"Long")</f>
        <v>Long</v>
      </c>
      <c r="M709" t="str" cm="1">
        <f t="array" ref="M709">_xlfn.IFS(F709&lt;=50,"Low",F709&lt;=100,"Medium",F709&lt;=150,"High",F709&gt;150,"Very High")</f>
        <v>Low</v>
      </c>
    </row>
    <row r="710" spans="1:13" ht="14.25" customHeight="1" x14ac:dyDescent="0.4">
      <c r="A710" s="6" t="s">
        <v>744</v>
      </c>
      <c r="B710" s="6" t="s">
        <v>58</v>
      </c>
      <c r="C710" s="6">
        <v>96</v>
      </c>
      <c r="D710" s="7" t="s">
        <v>31</v>
      </c>
      <c r="E710" s="11">
        <v>45173</v>
      </c>
      <c r="F710" s="10">
        <v>96</v>
      </c>
      <c r="G710" s="6">
        <v>2.9</v>
      </c>
      <c r="H710" s="6">
        <f>IF(MONTH(Data!$E710)&lt;=6, YEAR(Data!$E710), YEAR(Data!$E710)+1)</f>
        <v>2024</v>
      </c>
      <c r="I710" s="6" t="str">
        <f>TEXT(Data!$E710,"DDDD")</f>
        <v>Monday</v>
      </c>
      <c r="J710" s="6" t="s">
        <v>14</v>
      </c>
      <c r="K710" s="6">
        <f>ROUND(Data!$G710,0)</f>
        <v>3</v>
      </c>
      <c r="L710" t="str" cm="1">
        <f t="array" ref="L710">_xlfn.IFS(C710&lt;=15,"Very Short",C710&lt;=30,"Short",C710&lt;=60,"Medium",C710&gt;60,"Long")</f>
        <v>Long</v>
      </c>
      <c r="M710" t="str" cm="1">
        <f t="array" ref="M710">_xlfn.IFS(F710&lt;=50,"Low",F710&lt;=100,"Medium",F710&lt;=150,"High",F710&gt;150,"Very High")</f>
        <v>Medium</v>
      </c>
    </row>
    <row r="711" spans="1:13" ht="14.25" customHeight="1" x14ac:dyDescent="0.4">
      <c r="A711" s="6" t="s">
        <v>745</v>
      </c>
      <c r="B711" s="6" t="s">
        <v>40</v>
      </c>
      <c r="C711" s="6">
        <v>131</v>
      </c>
      <c r="D711" s="7" t="s">
        <v>13</v>
      </c>
      <c r="E711" s="11">
        <v>45174</v>
      </c>
      <c r="F711" s="10">
        <v>75</v>
      </c>
      <c r="G711" s="6">
        <v>4.4000000000000004</v>
      </c>
      <c r="H711" s="6">
        <f>IF(MONTH(Data!$E711)&lt;=6, YEAR(Data!$E711), YEAR(Data!$E711)+1)</f>
        <v>2024</v>
      </c>
      <c r="I711" s="6" t="str">
        <f>TEXT(Data!$E711,"DDDD")</f>
        <v>Tuesday</v>
      </c>
      <c r="J711" s="6" t="s">
        <v>25</v>
      </c>
      <c r="K711" s="6">
        <f>ROUND(Data!$G711,0)</f>
        <v>4</v>
      </c>
      <c r="L711" t="str" cm="1">
        <f t="array" ref="L711">_xlfn.IFS(C711&lt;=15,"Very Short",C711&lt;=30,"Short",C711&lt;=60,"Medium",C711&gt;60,"Long")</f>
        <v>Long</v>
      </c>
      <c r="M711" t="str" cm="1">
        <f t="array" ref="M711">_xlfn.IFS(F711&lt;=50,"Low",F711&lt;=100,"Medium",F711&lt;=150,"High",F711&gt;150,"Very High")</f>
        <v>Medium</v>
      </c>
    </row>
    <row r="712" spans="1:13" ht="14.25" customHeight="1" x14ac:dyDescent="0.4">
      <c r="A712" s="6" t="s">
        <v>746</v>
      </c>
      <c r="B712" s="6" t="s">
        <v>29</v>
      </c>
      <c r="C712" s="6">
        <v>52</v>
      </c>
      <c r="D712" s="7" t="s">
        <v>31</v>
      </c>
      <c r="E712" s="11">
        <v>45175</v>
      </c>
      <c r="F712" s="10">
        <v>88</v>
      </c>
      <c r="G712" s="6">
        <v>4.3</v>
      </c>
      <c r="H712" s="6">
        <f>IF(MONTH(Data!$E712)&lt;=6, YEAR(Data!$E712), YEAR(Data!$E712)+1)</f>
        <v>2024</v>
      </c>
      <c r="I712" s="6" t="str">
        <f>TEXT(Data!$E712,"DDDD")</f>
        <v>Wednesday</v>
      </c>
      <c r="J712" s="6" t="s">
        <v>27</v>
      </c>
      <c r="K712" s="6">
        <f>ROUND(Data!$G712,0)</f>
        <v>4</v>
      </c>
      <c r="L712" t="str" cm="1">
        <f t="array" ref="L712">_xlfn.IFS(C712&lt;=15,"Very Short",C712&lt;=30,"Short",C712&lt;=60,"Medium",C712&gt;60,"Long")</f>
        <v>Medium</v>
      </c>
      <c r="M712" t="str" cm="1">
        <f t="array" ref="M712">_xlfn.IFS(F712&lt;=50,"Low",F712&lt;=100,"Medium",F712&lt;=150,"High",F712&gt;150,"Very High")</f>
        <v>Medium</v>
      </c>
    </row>
    <row r="713" spans="1:13" ht="14.25" customHeight="1" x14ac:dyDescent="0.4">
      <c r="A713" s="6" t="s">
        <v>747</v>
      </c>
      <c r="B713" s="6" t="s">
        <v>16</v>
      </c>
      <c r="C713" s="6">
        <v>100</v>
      </c>
      <c r="D713" s="7" t="s">
        <v>13</v>
      </c>
      <c r="E713" s="11">
        <v>45175</v>
      </c>
      <c r="F713" s="10">
        <v>24</v>
      </c>
      <c r="G713" s="6">
        <v>4.7</v>
      </c>
      <c r="H713" s="6">
        <f>IF(MONTH(Data!$E713)&lt;=6, YEAR(Data!$E713), YEAR(Data!$E713)+1)</f>
        <v>2024</v>
      </c>
      <c r="I713" s="6" t="str">
        <f>TEXT(Data!$E713,"DDDD")</f>
        <v>Wednesday</v>
      </c>
      <c r="J713" s="6" t="s">
        <v>14</v>
      </c>
      <c r="K713" s="6">
        <f>ROUND(Data!$G713,0)</f>
        <v>5</v>
      </c>
      <c r="L713" t="str" cm="1">
        <f t="array" ref="L713">_xlfn.IFS(C713&lt;=15,"Very Short",C713&lt;=30,"Short",C713&lt;=60,"Medium",C713&gt;60,"Long")</f>
        <v>Long</v>
      </c>
      <c r="M713" t="str" cm="1">
        <f t="array" ref="M713">_xlfn.IFS(F713&lt;=50,"Low",F713&lt;=100,"Medium",F713&lt;=150,"High",F713&gt;150,"Very High")</f>
        <v>Low</v>
      </c>
    </row>
    <row r="714" spans="1:13" ht="14.25" customHeight="1" x14ac:dyDescent="0.4">
      <c r="A714" s="6" t="s">
        <v>748</v>
      </c>
      <c r="B714" s="6" t="s">
        <v>21</v>
      </c>
      <c r="C714" s="6">
        <v>58</v>
      </c>
      <c r="D714" s="7" t="s">
        <v>35</v>
      </c>
      <c r="E714" s="11">
        <v>45175</v>
      </c>
      <c r="F714" s="10">
        <v>96</v>
      </c>
      <c r="G714" s="6">
        <v>3.2</v>
      </c>
      <c r="H714" s="6">
        <f>IF(MONTH(Data!$E714)&lt;=6, YEAR(Data!$E714), YEAR(Data!$E714)+1)</f>
        <v>2024</v>
      </c>
      <c r="I714" s="6" t="str">
        <f>TEXT(Data!$E714,"DDDD")</f>
        <v>Wednesday</v>
      </c>
      <c r="J714" s="6" t="s">
        <v>27</v>
      </c>
      <c r="K714" s="6">
        <f>ROUND(Data!$G714,0)</f>
        <v>3</v>
      </c>
      <c r="L714" t="str" cm="1">
        <f t="array" ref="L714">_xlfn.IFS(C714&lt;=15,"Very Short",C714&lt;=30,"Short",C714&lt;=60,"Medium",C714&gt;60,"Long")</f>
        <v>Medium</v>
      </c>
      <c r="M714" t="str" cm="1">
        <f t="array" ref="M714">_xlfn.IFS(F714&lt;=50,"Low",F714&lt;=100,"Medium",F714&lt;=150,"High",F714&gt;150,"Very High")</f>
        <v>Medium</v>
      </c>
    </row>
    <row r="715" spans="1:13" ht="14.25" customHeight="1" x14ac:dyDescent="0.4">
      <c r="A715" s="6" t="s">
        <v>749</v>
      </c>
      <c r="B715" s="6" t="s">
        <v>23</v>
      </c>
      <c r="C715" s="6">
        <v>144</v>
      </c>
      <c r="D715" s="7" t="s">
        <v>35</v>
      </c>
      <c r="E715" s="11">
        <v>45176</v>
      </c>
      <c r="F715" s="10">
        <v>124</v>
      </c>
      <c r="G715" s="6">
        <v>2.2999999999999998</v>
      </c>
      <c r="H715" s="6">
        <f>IF(MONTH(Data!$E715)&lt;=6, YEAR(Data!$E715), YEAR(Data!$E715)+1)</f>
        <v>2024</v>
      </c>
      <c r="I715" s="6" t="str">
        <f>TEXT(Data!$E715,"DDDD")</f>
        <v>Thursday</v>
      </c>
      <c r="J715" s="6" t="s">
        <v>25</v>
      </c>
      <c r="K715" s="6">
        <f>ROUND(Data!$G715,0)</f>
        <v>2</v>
      </c>
      <c r="L715" t="str" cm="1">
        <f t="array" ref="L715">_xlfn.IFS(C715&lt;=15,"Very Short",C715&lt;=30,"Short",C715&lt;=60,"Medium",C715&gt;60,"Long")</f>
        <v>Long</v>
      </c>
      <c r="M715" t="str" cm="1">
        <f t="array" ref="M715">_xlfn.IFS(F715&lt;=50,"Low",F715&lt;=100,"Medium",F715&lt;=150,"High",F715&gt;150,"Very High")</f>
        <v>High</v>
      </c>
    </row>
    <row r="716" spans="1:13" ht="14.25" customHeight="1" x14ac:dyDescent="0.4">
      <c r="A716" s="6" t="s">
        <v>750</v>
      </c>
      <c r="B716" s="6" t="s">
        <v>21</v>
      </c>
      <c r="C716" s="6">
        <v>53</v>
      </c>
      <c r="D716" s="7" t="s">
        <v>24</v>
      </c>
      <c r="E716" s="11">
        <v>45177</v>
      </c>
      <c r="F716" s="10">
        <v>130</v>
      </c>
      <c r="G716" s="6">
        <v>3.6</v>
      </c>
      <c r="H716" s="6">
        <f>IF(MONTH(Data!$E716)&lt;=6, YEAR(Data!$E716), YEAR(Data!$E716)+1)</f>
        <v>2024</v>
      </c>
      <c r="I716" s="6" t="str">
        <f>TEXT(Data!$E716,"DDDD")</f>
        <v>Friday</v>
      </c>
      <c r="J716" s="6" t="s">
        <v>27</v>
      </c>
      <c r="K716" s="6">
        <f>ROUND(Data!$G716,0)</f>
        <v>4</v>
      </c>
      <c r="L716" t="str" cm="1">
        <f t="array" ref="L716">_xlfn.IFS(C716&lt;=15,"Very Short",C716&lt;=30,"Short",C716&lt;=60,"Medium",C716&gt;60,"Long")</f>
        <v>Medium</v>
      </c>
      <c r="M716" t="str" cm="1">
        <f t="array" ref="M716">_xlfn.IFS(F716&lt;=50,"Low",F716&lt;=100,"Medium",F716&lt;=150,"High",F716&gt;150,"Very High")</f>
        <v>High</v>
      </c>
    </row>
    <row r="717" spans="1:13" ht="14.25" customHeight="1" x14ac:dyDescent="0.4">
      <c r="A717" s="6" t="s">
        <v>751</v>
      </c>
      <c r="B717" s="6" t="s">
        <v>58</v>
      </c>
      <c r="C717" s="6">
        <v>97</v>
      </c>
      <c r="D717" s="7" t="s">
        <v>19</v>
      </c>
      <c r="E717" s="11">
        <v>45177</v>
      </c>
      <c r="F717" s="10">
        <v>45</v>
      </c>
      <c r="G717" s="6">
        <v>4.5999999999999996</v>
      </c>
      <c r="H717" s="6">
        <f>IF(MONTH(Data!$E717)&lt;=6, YEAR(Data!$E717), YEAR(Data!$E717)+1)</f>
        <v>2024</v>
      </c>
      <c r="I717" s="6" t="str">
        <f>TEXT(Data!$E717,"DDDD")</f>
        <v>Friday</v>
      </c>
      <c r="J717" s="6" t="s">
        <v>14</v>
      </c>
      <c r="K717" s="6">
        <f>ROUND(Data!$G717,0)</f>
        <v>5</v>
      </c>
      <c r="L717" t="str" cm="1">
        <f t="array" ref="L717">_xlfn.IFS(C717&lt;=15,"Very Short",C717&lt;=30,"Short",C717&lt;=60,"Medium",C717&gt;60,"Long")</f>
        <v>Long</v>
      </c>
      <c r="M717" t="str" cm="1">
        <f t="array" ref="M717">_xlfn.IFS(F717&lt;=50,"Low",F717&lt;=100,"Medium",F717&lt;=150,"High",F717&gt;150,"Very High")</f>
        <v>Low</v>
      </c>
    </row>
    <row r="718" spans="1:13" ht="14.25" customHeight="1" x14ac:dyDescent="0.4">
      <c r="A718" s="6" t="s">
        <v>752</v>
      </c>
      <c r="B718" s="6" t="s">
        <v>18</v>
      </c>
      <c r="C718" s="6">
        <v>64</v>
      </c>
      <c r="D718" s="7" t="s">
        <v>35</v>
      </c>
      <c r="E718" s="11">
        <v>45177</v>
      </c>
      <c r="F718" s="10">
        <v>66</v>
      </c>
      <c r="G718" s="6">
        <v>4</v>
      </c>
      <c r="H718" s="6">
        <f>IF(MONTH(Data!$E718)&lt;=6, YEAR(Data!$E718), YEAR(Data!$E718)+1)</f>
        <v>2024</v>
      </c>
      <c r="I718" s="6" t="str">
        <f>TEXT(Data!$E718,"DDDD")</f>
        <v>Friday</v>
      </c>
      <c r="J718" s="6" t="s">
        <v>14</v>
      </c>
      <c r="K718" s="6">
        <f>ROUND(Data!$G718,0)</f>
        <v>4</v>
      </c>
      <c r="L718" t="str" cm="1">
        <f t="array" ref="L718">_xlfn.IFS(C718&lt;=15,"Very Short",C718&lt;=30,"Short",C718&lt;=60,"Medium",C718&gt;60,"Long")</f>
        <v>Long</v>
      </c>
      <c r="M718" t="str" cm="1">
        <f t="array" ref="M718">_xlfn.IFS(F718&lt;=50,"Low",F718&lt;=100,"Medium",F718&lt;=150,"High",F718&gt;150,"Very High")</f>
        <v>Medium</v>
      </c>
    </row>
    <row r="719" spans="1:13" ht="14.25" customHeight="1" x14ac:dyDescent="0.4">
      <c r="A719" s="6" t="s">
        <v>753</v>
      </c>
      <c r="B719" s="6" t="s">
        <v>12</v>
      </c>
      <c r="C719" s="6">
        <v>106</v>
      </c>
      <c r="D719" s="7" t="s">
        <v>13</v>
      </c>
      <c r="E719" s="11">
        <v>45177</v>
      </c>
      <c r="F719" s="10">
        <v>58</v>
      </c>
      <c r="G719" s="6">
        <v>4.7</v>
      </c>
      <c r="H719" s="6">
        <f>IF(MONTH(Data!$E719)&lt;=6, YEAR(Data!$E719), YEAR(Data!$E719)+1)</f>
        <v>2024</v>
      </c>
      <c r="I719" s="6" t="str">
        <f>TEXT(Data!$E719,"DDDD")</f>
        <v>Friday</v>
      </c>
      <c r="J719" s="6" t="s">
        <v>14</v>
      </c>
      <c r="K719" s="6">
        <f>ROUND(Data!$G719,0)</f>
        <v>5</v>
      </c>
      <c r="L719" t="str" cm="1">
        <f t="array" ref="L719">_xlfn.IFS(C719&lt;=15,"Very Short",C719&lt;=30,"Short",C719&lt;=60,"Medium",C719&gt;60,"Long")</f>
        <v>Long</v>
      </c>
      <c r="M719" t="str" cm="1">
        <f t="array" ref="M719">_xlfn.IFS(F719&lt;=50,"Low",F719&lt;=100,"Medium",F719&lt;=150,"High",F719&gt;150,"Very High")</f>
        <v>Medium</v>
      </c>
    </row>
    <row r="720" spans="1:13" ht="14.25" customHeight="1" x14ac:dyDescent="0.4">
      <c r="A720" s="6" t="s">
        <v>754</v>
      </c>
      <c r="B720" s="6" t="s">
        <v>68</v>
      </c>
      <c r="C720" s="6">
        <v>36</v>
      </c>
      <c r="D720" s="7" t="s">
        <v>35</v>
      </c>
      <c r="E720" s="11">
        <v>45178</v>
      </c>
      <c r="F720" s="10">
        <v>152</v>
      </c>
      <c r="G720" s="6">
        <v>4.3</v>
      </c>
      <c r="H720" s="6">
        <f>IF(MONTH(Data!$E720)&lt;=6, YEAR(Data!$E720), YEAR(Data!$E720)+1)</f>
        <v>2024</v>
      </c>
      <c r="I720" s="6" t="str">
        <f>TEXT(Data!$E720,"DDDD")</f>
        <v>Saturday</v>
      </c>
      <c r="J720" s="6" t="s">
        <v>27</v>
      </c>
      <c r="K720" s="6">
        <f>ROUND(Data!$G720,0)</f>
        <v>4</v>
      </c>
      <c r="L720" t="str" cm="1">
        <f t="array" ref="L720">_xlfn.IFS(C720&lt;=15,"Very Short",C720&lt;=30,"Short",C720&lt;=60,"Medium",C720&gt;60,"Long")</f>
        <v>Medium</v>
      </c>
      <c r="M720" t="str" cm="1">
        <f t="array" ref="M720">_xlfn.IFS(F720&lt;=50,"Low",F720&lt;=100,"Medium",F720&lt;=150,"High",F720&gt;150,"Very High")</f>
        <v>Very High</v>
      </c>
    </row>
    <row r="721" spans="1:13" ht="14.25" customHeight="1" x14ac:dyDescent="0.4">
      <c r="A721" s="6" t="s">
        <v>755</v>
      </c>
      <c r="B721" s="6" t="s">
        <v>23</v>
      </c>
      <c r="C721" s="6">
        <v>74</v>
      </c>
      <c r="D721" s="7" t="s">
        <v>31</v>
      </c>
      <c r="E721" s="11">
        <v>45178</v>
      </c>
      <c r="F721" s="10">
        <v>75</v>
      </c>
      <c r="G721" s="6">
        <v>2.8</v>
      </c>
      <c r="H721" s="6">
        <f>IF(MONTH(Data!$E721)&lt;=6, YEAR(Data!$E721), YEAR(Data!$E721)+1)</f>
        <v>2024</v>
      </c>
      <c r="I721" s="6" t="str">
        <f>TEXT(Data!$E721,"DDDD")</f>
        <v>Saturday</v>
      </c>
      <c r="J721" s="6" t="s">
        <v>14</v>
      </c>
      <c r="K721" s="6">
        <f>ROUND(Data!$G721,0)</f>
        <v>3</v>
      </c>
      <c r="L721" t="str" cm="1">
        <f t="array" ref="L721">_xlfn.IFS(C721&lt;=15,"Very Short",C721&lt;=30,"Short",C721&lt;=60,"Medium",C721&gt;60,"Long")</f>
        <v>Long</v>
      </c>
      <c r="M721" t="str" cm="1">
        <f t="array" ref="M721">_xlfn.IFS(F721&lt;=50,"Low",F721&lt;=100,"Medium",F721&lt;=150,"High",F721&gt;150,"Very High")</f>
        <v>Medium</v>
      </c>
    </row>
    <row r="722" spans="1:13" ht="14.25" customHeight="1" x14ac:dyDescent="0.4">
      <c r="A722" s="6" t="s">
        <v>756</v>
      </c>
      <c r="B722" s="6" t="s">
        <v>50</v>
      </c>
      <c r="C722" s="6">
        <v>143</v>
      </c>
      <c r="D722" s="7" t="s">
        <v>19</v>
      </c>
      <c r="E722" s="11">
        <v>45178</v>
      </c>
      <c r="F722" s="10">
        <v>78</v>
      </c>
      <c r="G722" s="6">
        <v>4</v>
      </c>
      <c r="H722" s="6">
        <f>IF(MONTH(Data!$E722)&lt;=6, YEAR(Data!$E722), YEAR(Data!$E722)+1)</f>
        <v>2024</v>
      </c>
      <c r="I722" s="6" t="str">
        <f>TEXT(Data!$E722,"DDDD")</f>
        <v>Saturday</v>
      </c>
      <c r="J722" s="6" t="s">
        <v>25</v>
      </c>
      <c r="K722" s="6">
        <f>ROUND(Data!$G722,0)</f>
        <v>4</v>
      </c>
      <c r="L722" t="str" cm="1">
        <f t="array" ref="L722">_xlfn.IFS(C722&lt;=15,"Very Short",C722&lt;=30,"Short",C722&lt;=60,"Medium",C722&gt;60,"Long")</f>
        <v>Long</v>
      </c>
      <c r="M722" t="str" cm="1">
        <f t="array" ref="M722">_xlfn.IFS(F722&lt;=50,"Low",F722&lt;=100,"Medium",F722&lt;=150,"High",F722&gt;150,"Very High")</f>
        <v>Medium</v>
      </c>
    </row>
    <row r="723" spans="1:13" ht="14.25" customHeight="1" x14ac:dyDescent="0.4">
      <c r="A723" s="6" t="s">
        <v>757</v>
      </c>
      <c r="B723" s="6" t="s">
        <v>12</v>
      </c>
      <c r="C723" s="6">
        <v>94</v>
      </c>
      <c r="D723" s="7" t="s">
        <v>24</v>
      </c>
      <c r="E723" s="11">
        <v>45178</v>
      </c>
      <c r="F723" s="10">
        <v>69</v>
      </c>
      <c r="G723" s="6">
        <v>3.9</v>
      </c>
      <c r="H723" s="6">
        <f>IF(MONTH(Data!$E723)&lt;=6, YEAR(Data!$E723), YEAR(Data!$E723)+1)</f>
        <v>2024</v>
      </c>
      <c r="I723" s="6" t="str">
        <f>TEXT(Data!$E723,"DDDD")</f>
        <v>Saturday</v>
      </c>
      <c r="J723" s="6" t="s">
        <v>14</v>
      </c>
      <c r="K723" s="6">
        <f>ROUND(Data!$G723,0)</f>
        <v>4</v>
      </c>
      <c r="L723" t="str" cm="1">
        <f t="array" ref="L723">_xlfn.IFS(C723&lt;=15,"Very Short",C723&lt;=30,"Short",C723&lt;=60,"Medium",C723&gt;60,"Long")</f>
        <v>Long</v>
      </c>
      <c r="M723" t="str" cm="1">
        <f t="array" ref="M723">_xlfn.IFS(F723&lt;=50,"Low",F723&lt;=100,"Medium",F723&lt;=150,"High",F723&gt;150,"Very High")</f>
        <v>Medium</v>
      </c>
    </row>
    <row r="724" spans="1:13" ht="14.25" customHeight="1" x14ac:dyDescent="0.4">
      <c r="A724" s="6" t="s">
        <v>758</v>
      </c>
      <c r="B724" s="6" t="s">
        <v>55</v>
      </c>
      <c r="C724" s="6">
        <v>124</v>
      </c>
      <c r="D724" s="7" t="s">
        <v>13</v>
      </c>
      <c r="E724" s="11">
        <v>45179</v>
      </c>
      <c r="F724" s="10">
        <v>46</v>
      </c>
      <c r="G724" s="6">
        <v>3.1</v>
      </c>
      <c r="H724" s="6">
        <f>IF(MONTH(Data!$E724)&lt;=6, YEAR(Data!$E724), YEAR(Data!$E724)+1)</f>
        <v>2024</v>
      </c>
      <c r="I724" s="6" t="str">
        <f>TEXT(Data!$E724,"DDDD")</f>
        <v>Sunday</v>
      </c>
      <c r="J724" s="6" t="s">
        <v>25</v>
      </c>
      <c r="K724" s="6">
        <f>ROUND(Data!$G724,0)</f>
        <v>3</v>
      </c>
      <c r="L724" t="str" cm="1">
        <f t="array" ref="L724">_xlfn.IFS(C724&lt;=15,"Very Short",C724&lt;=30,"Short",C724&lt;=60,"Medium",C724&gt;60,"Long")</f>
        <v>Long</v>
      </c>
      <c r="M724" t="str" cm="1">
        <f t="array" ref="M724">_xlfn.IFS(F724&lt;=50,"Low",F724&lt;=100,"Medium",F724&lt;=150,"High",F724&gt;150,"Very High")</f>
        <v>Low</v>
      </c>
    </row>
    <row r="725" spans="1:13" ht="14.25" customHeight="1" x14ac:dyDescent="0.4">
      <c r="A725" s="6" t="s">
        <v>759</v>
      </c>
      <c r="B725" s="6" t="s">
        <v>68</v>
      </c>
      <c r="C725" s="6">
        <v>156</v>
      </c>
      <c r="D725" s="7" t="s">
        <v>35</v>
      </c>
      <c r="E725" s="11">
        <v>45179</v>
      </c>
      <c r="F725" s="10">
        <v>64</v>
      </c>
      <c r="G725" s="6">
        <v>2.7</v>
      </c>
      <c r="H725" s="6">
        <f>IF(MONTH(Data!$E725)&lt;=6, YEAR(Data!$E725), YEAR(Data!$E725)+1)</f>
        <v>2024</v>
      </c>
      <c r="I725" s="6" t="str">
        <f>TEXT(Data!$E725,"DDDD")</f>
        <v>Sunday</v>
      </c>
      <c r="J725" s="6" t="s">
        <v>25</v>
      </c>
      <c r="K725" s="6">
        <f>ROUND(Data!$G725,0)</f>
        <v>3</v>
      </c>
      <c r="L725" t="str" cm="1">
        <f t="array" ref="L725">_xlfn.IFS(C725&lt;=15,"Very Short",C725&lt;=30,"Short",C725&lt;=60,"Medium",C725&gt;60,"Long")</f>
        <v>Long</v>
      </c>
      <c r="M725" t="str" cm="1">
        <f t="array" ref="M725">_xlfn.IFS(F725&lt;=50,"Low",F725&lt;=100,"Medium",F725&lt;=150,"High",F725&gt;150,"Very High")</f>
        <v>Medium</v>
      </c>
    </row>
    <row r="726" spans="1:13" ht="14.25" customHeight="1" x14ac:dyDescent="0.4">
      <c r="A726" s="6" t="s">
        <v>760</v>
      </c>
      <c r="B726" s="6" t="s">
        <v>34</v>
      </c>
      <c r="C726" s="6">
        <v>107</v>
      </c>
      <c r="D726" s="7" t="s">
        <v>19</v>
      </c>
      <c r="E726" s="11">
        <v>45179</v>
      </c>
      <c r="F726" s="10">
        <v>38</v>
      </c>
      <c r="G726" s="6">
        <v>4.7</v>
      </c>
      <c r="H726" s="6">
        <f>IF(MONTH(Data!$E726)&lt;=6, YEAR(Data!$E726), YEAR(Data!$E726)+1)</f>
        <v>2024</v>
      </c>
      <c r="I726" s="6" t="str">
        <f>TEXT(Data!$E726,"DDDD")</f>
        <v>Sunday</v>
      </c>
      <c r="J726" s="6" t="s">
        <v>14</v>
      </c>
      <c r="K726" s="6">
        <f>ROUND(Data!$G726,0)</f>
        <v>5</v>
      </c>
      <c r="L726" t="str" cm="1">
        <f t="array" ref="L726">_xlfn.IFS(C726&lt;=15,"Very Short",C726&lt;=30,"Short",C726&lt;=60,"Medium",C726&gt;60,"Long")</f>
        <v>Long</v>
      </c>
      <c r="M726" t="str" cm="1">
        <f t="array" ref="M726">_xlfn.IFS(F726&lt;=50,"Low",F726&lt;=100,"Medium",F726&lt;=150,"High",F726&gt;150,"Very High")</f>
        <v>Low</v>
      </c>
    </row>
    <row r="727" spans="1:13" ht="14.25" customHeight="1" x14ac:dyDescent="0.4">
      <c r="A727" s="6" t="s">
        <v>761</v>
      </c>
      <c r="B727" s="6" t="s">
        <v>12</v>
      </c>
      <c r="C727" s="6">
        <v>58</v>
      </c>
      <c r="D727" s="7" t="s">
        <v>19</v>
      </c>
      <c r="E727" s="11">
        <v>45181</v>
      </c>
      <c r="F727" s="10">
        <v>90</v>
      </c>
      <c r="G727" s="6">
        <v>4.3</v>
      </c>
      <c r="H727" s="6">
        <f>IF(MONTH(Data!$E727)&lt;=6, YEAR(Data!$E727), YEAR(Data!$E727)+1)</f>
        <v>2024</v>
      </c>
      <c r="I727" s="6" t="str">
        <f>TEXT(Data!$E727,"DDDD")</f>
        <v>Tuesday</v>
      </c>
      <c r="J727" s="6" t="s">
        <v>27</v>
      </c>
      <c r="K727" s="6">
        <f>ROUND(Data!$G727,0)</f>
        <v>4</v>
      </c>
      <c r="L727" t="str" cm="1">
        <f t="array" ref="L727">_xlfn.IFS(C727&lt;=15,"Very Short",C727&lt;=30,"Short",C727&lt;=60,"Medium",C727&gt;60,"Long")</f>
        <v>Medium</v>
      </c>
      <c r="M727" t="str" cm="1">
        <f t="array" ref="M727">_xlfn.IFS(F727&lt;=50,"Low",F727&lt;=100,"Medium",F727&lt;=150,"High",F727&gt;150,"Very High")</f>
        <v>Medium</v>
      </c>
    </row>
    <row r="728" spans="1:13" ht="14.25" customHeight="1" x14ac:dyDescent="0.4">
      <c r="A728" s="6" t="s">
        <v>762</v>
      </c>
      <c r="B728" s="6" t="s">
        <v>38</v>
      </c>
      <c r="C728" s="6">
        <v>66</v>
      </c>
      <c r="D728" s="7" t="s">
        <v>19</v>
      </c>
      <c r="E728" s="11">
        <v>45181</v>
      </c>
      <c r="F728" s="10">
        <v>32</v>
      </c>
      <c r="G728" s="6">
        <v>3.8</v>
      </c>
      <c r="H728" s="6">
        <f>IF(MONTH(Data!$E728)&lt;=6, YEAR(Data!$E728), YEAR(Data!$E728)+1)</f>
        <v>2024</v>
      </c>
      <c r="I728" s="6" t="str">
        <f>TEXT(Data!$E728,"DDDD")</f>
        <v>Tuesday</v>
      </c>
      <c r="J728" s="6" t="s">
        <v>14</v>
      </c>
      <c r="K728" s="6">
        <f>ROUND(Data!$G728,0)</f>
        <v>4</v>
      </c>
      <c r="L728" t="str" cm="1">
        <f t="array" ref="L728">_xlfn.IFS(C728&lt;=15,"Very Short",C728&lt;=30,"Short",C728&lt;=60,"Medium",C728&gt;60,"Long")</f>
        <v>Long</v>
      </c>
      <c r="M728" t="str" cm="1">
        <f t="array" ref="M728">_xlfn.IFS(F728&lt;=50,"Low",F728&lt;=100,"Medium",F728&lt;=150,"High",F728&gt;150,"Very High")</f>
        <v>Low</v>
      </c>
    </row>
    <row r="729" spans="1:13" ht="14.25" customHeight="1" x14ac:dyDescent="0.4">
      <c r="A729" s="6" t="s">
        <v>763</v>
      </c>
      <c r="B729" s="6" t="s">
        <v>40</v>
      </c>
      <c r="C729" s="6">
        <v>75</v>
      </c>
      <c r="D729" s="7" t="s">
        <v>35</v>
      </c>
      <c r="E729" s="11">
        <v>45181</v>
      </c>
      <c r="F729" s="10">
        <v>120</v>
      </c>
      <c r="G729" s="6">
        <v>4.4000000000000004</v>
      </c>
      <c r="H729" s="6">
        <f>IF(MONTH(Data!$E729)&lt;=6, YEAR(Data!$E729), YEAR(Data!$E729)+1)</f>
        <v>2024</v>
      </c>
      <c r="I729" s="6" t="str">
        <f>TEXT(Data!$E729,"DDDD")</f>
        <v>Tuesday</v>
      </c>
      <c r="J729" s="6" t="s">
        <v>14</v>
      </c>
      <c r="K729" s="6">
        <f>ROUND(Data!$G729,0)</f>
        <v>4</v>
      </c>
      <c r="L729" t="str" cm="1">
        <f t="array" ref="L729">_xlfn.IFS(C729&lt;=15,"Very Short",C729&lt;=30,"Short",C729&lt;=60,"Medium",C729&gt;60,"Long")</f>
        <v>Long</v>
      </c>
      <c r="M729" t="str" cm="1">
        <f t="array" ref="M729">_xlfn.IFS(F729&lt;=50,"Low",F729&lt;=100,"Medium",F729&lt;=150,"High",F729&gt;150,"Very High")</f>
        <v>High</v>
      </c>
    </row>
    <row r="730" spans="1:13" ht="14.25" customHeight="1" x14ac:dyDescent="0.4">
      <c r="A730" s="6" t="s">
        <v>764</v>
      </c>
      <c r="B730" s="6" t="s">
        <v>34</v>
      </c>
      <c r="C730" s="6">
        <v>8</v>
      </c>
      <c r="D730" s="7" t="s">
        <v>19</v>
      </c>
      <c r="E730" s="11">
        <v>45181</v>
      </c>
      <c r="F730" s="10">
        <v>31</v>
      </c>
      <c r="G730" s="6">
        <v>3.9</v>
      </c>
      <c r="H730" s="6">
        <f>IF(MONTH(Data!$E730)&lt;=6, YEAR(Data!$E730), YEAR(Data!$E730)+1)</f>
        <v>2024</v>
      </c>
      <c r="I730" s="6" t="str">
        <f>TEXT(Data!$E730,"DDDD")</f>
        <v>Tuesday</v>
      </c>
      <c r="J730" s="6" t="s">
        <v>176</v>
      </c>
      <c r="K730" s="6">
        <f>ROUND(Data!$G730,0)</f>
        <v>4</v>
      </c>
      <c r="L730" t="str" cm="1">
        <f t="array" ref="L730">_xlfn.IFS(C730&lt;=15,"Very Short",C730&lt;=30,"Short",C730&lt;=60,"Medium",C730&gt;60,"Long")</f>
        <v>Very Short</v>
      </c>
      <c r="M730" t="str" cm="1">
        <f t="array" ref="M730">_xlfn.IFS(F730&lt;=50,"Low",F730&lt;=100,"Medium",F730&lt;=150,"High",F730&gt;150,"Very High")</f>
        <v>Low</v>
      </c>
    </row>
    <row r="731" spans="1:13" ht="14.25" customHeight="1" x14ac:dyDescent="0.4">
      <c r="A731" s="6" t="s">
        <v>765</v>
      </c>
      <c r="B731" s="6" t="s">
        <v>18</v>
      </c>
      <c r="C731" s="6">
        <v>76</v>
      </c>
      <c r="D731" s="7" t="s">
        <v>35</v>
      </c>
      <c r="E731" s="11">
        <v>45182</v>
      </c>
      <c r="F731" s="10">
        <v>108</v>
      </c>
      <c r="G731" s="6">
        <v>4.9000000000000004</v>
      </c>
      <c r="H731" s="6">
        <f>IF(MONTH(Data!$E731)&lt;=6, YEAR(Data!$E731), YEAR(Data!$E731)+1)</f>
        <v>2024</v>
      </c>
      <c r="I731" s="6" t="str">
        <f>TEXT(Data!$E731,"DDDD")</f>
        <v>Wednesday</v>
      </c>
      <c r="J731" s="6" t="s">
        <v>14</v>
      </c>
      <c r="K731" s="6">
        <f>ROUND(Data!$G731,0)</f>
        <v>5</v>
      </c>
      <c r="L731" t="str" cm="1">
        <f t="array" ref="L731">_xlfn.IFS(C731&lt;=15,"Very Short",C731&lt;=30,"Short",C731&lt;=60,"Medium",C731&gt;60,"Long")</f>
        <v>Long</v>
      </c>
      <c r="M731" t="str" cm="1">
        <f t="array" ref="M731">_xlfn.IFS(F731&lt;=50,"Low",F731&lt;=100,"Medium",F731&lt;=150,"High",F731&gt;150,"Very High")</f>
        <v>High</v>
      </c>
    </row>
    <row r="732" spans="1:13" ht="14.25" customHeight="1" x14ac:dyDescent="0.4">
      <c r="A732" s="6" t="s">
        <v>766</v>
      </c>
      <c r="B732" s="6" t="s">
        <v>12</v>
      </c>
      <c r="C732" s="6">
        <v>110</v>
      </c>
      <c r="D732" s="7" t="s">
        <v>35</v>
      </c>
      <c r="E732" s="11">
        <v>45182</v>
      </c>
      <c r="F732" s="10">
        <v>180</v>
      </c>
      <c r="G732" s="6">
        <v>4.2</v>
      </c>
      <c r="H732" s="6">
        <f>IF(MONTH(Data!$E732)&lt;=6, YEAR(Data!$E732), YEAR(Data!$E732)+1)</f>
        <v>2024</v>
      </c>
      <c r="I732" s="6" t="str">
        <f>TEXT(Data!$E732,"DDDD")</f>
        <v>Wednesday</v>
      </c>
      <c r="J732" s="6" t="s">
        <v>14</v>
      </c>
      <c r="K732" s="6">
        <f>ROUND(Data!$G732,0)</f>
        <v>4</v>
      </c>
      <c r="L732" t="str" cm="1">
        <f t="array" ref="L732">_xlfn.IFS(C732&lt;=15,"Very Short",C732&lt;=30,"Short",C732&lt;=60,"Medium",C732&gt;60,"Long")</f>
        <v>Long</v>
      </c>
      <c r="M732" t="str" cm="1">
        <f t="array" ref="M732">_xlfn.IFS(F732&lt;=50,"Low",F732&lt;=100,"Medium",F732&lt;=150,"High",F732&gt;150,"Very High")</f>
        <v>Very High</v>
      </c>
    </row>
    <row r="733" spans="1:13" ht="14.25" customHeight="1" x14ac:dyDescent="0.4">
      <c r="A733" s="6" t="s">
        <v>767</v>
      </c>
      <c r="B733" s="6" t="s">
        <v>38</v>
      </c>
      <c r="C733" s="6">
        <v>50</v>
      </c>
      <c r="D733" s="7" t="s">
        <v>24</v>
      </c>
      <c r="E733" s="11">
        <v>45183</v>
      </c>
      <c r="F733" s="10">
        <v>124</v>
      </c>
      <c r="G733" s="6">
        <v>4</v>
      </c>
      <c r="H733" s="6">
        <f>IF(MONTH(Data!$E733)&lt;=6, YEAR(Data!$E733), YEAR(Data!$E733)+1)</f>
        <v>2024</v>
      </c>
      <c r="I733" s="6" t="str">
        <f>TEXT(Data!$E733,"DDDD")</f>
        <v>Thursday</v>
      </c>
      <c r="J733" s="6" t="s">
        <v>27</v>
      </c>
      <c r="K733" s="6">
        <f>ROUND(Data!$G733,0)</f>
        <v>4</v>
      </c>
      <c r="L733" t="str" cm="1">
        <f t="array" ref="L733">_xlfn.IFS(C733&lt;=15,"Very Short",C733&lt;=30,"Short",C733&lt;=60,"Medium",C733&gt;60,"Long")</f>
        <v>Medium</v>
      </c>
      <c r="M733" t="str" cm="1">
        <f t="array" ref="M733">_xlfn.IFS(F733&lt;=50,"Low",F733&lt;=100,"Medium",F733&lt;=150,"High",F733&gt;150,"Very High")</f>
        <v>High</v>
      </c>
    </row>
    <row r="734" spans="1:13" ht="14.25" customHeight="1" x14ac:dyDescent="0.4">
      <c r="A734" s="6" t="s">
        <v>768</v>
      </c>
      <c r="B734" s="6" t="s">
        <v>29</v>
      </c>
      <c r="C734" s="6">
        <v>78</v>
      </c>
      <c r="D734" s="7" t="s">
        <v>24</v>
      </c>
      <c r="E734" s="11">
        <v>45183</v>
      </c>
      <c r="F734" s="10">
        <v>23</v>
      </c>
      <c r="G734" s="6">
        <v>4.2</v>
      </c>
      <c r="H734" s="6">
        <f>IF(MONTH(Data!$E734)&lt;=6, YEAR(Data!$E734), YEAR(Data!$E734)+1)</f>
        <v>2024</v>
      </c>
      <c r="I734" s="6" t="str">
        <f>TEXT(Data!$E734,"DDDD")</f>
        <v>Thursday</v>
      </c>
      <c r="J734" s="6" t="s">
        <v>14</v>
      </c>
      <c r="K734" s="6">
        <f>ROUND(Data!$G734,0)</f>
        <v>4</v>
      </c>
      <c r="L734" t="str" cm="1">
        <f t="array" ref="L734">_xlfn.IFS(C734&lt;=15,"Very Short",C734&lt;=30,"Short",C734&lt;=60,"Medium",C734&gt;60,"Long")</f>
        <v>Long</v>
      </c>
      <c r="M734" t="str" cm="1">
        <f t="array" ref="M734">_xlfn.IFS(F734&lt;=50,"Low",F734&lt;=100,"Medium",F734&lt;=150,"High",F734&gt;150,"Very High")</f>
        <v>Low</v>
      </c>
    </row>
    <row r="735" spans="1:13" ht="14.25" customHeight="1" x14ac:dyDescent="0.4">
      <c r="A735" s="6" t="s">
        <v>769</v>
      </c>
      <c r="B735" s="6" t="s">
        <v>58</v>
      </c>
      <c r="C735" s="6">
        <v>59</v>
      </c>
      <c r="D735" s="7" t="s">
        <v>13</v>
      </c>
      <c r="E735" s="11">
        <v>45184</v>
      </c>
      <c r="F735" s="10">
        <v>24</v>
      </c>
      <c r="G735" s="6">
        <v>4.8</v>
      </c>
      <c r="H735" s="6">
        <f>IF(MONTH(Data!$E735)&lt;=6, YEAR(Data!$E735), YEAR(Data!$E735)+1)</f>
        <v>2024</v>
      </c>
      <c r="I735" s="6" t="str">
        <f>TEXT(Data!$E735,"DDDD")</f>
        <v>Friday</v>
      </c>
      <c r="J735" s="6" t="s">
        <v>27</v>
      </c>
      <c r="K735" s="6">
        <f>ROUND(Data!$G735,0)</f>
        <v>5</v>
      </c>
      <c r="L735" t="str" cm="1">
        <f t="array" ref="L735">_xlfn.IFS(C735&lt;=15,"Very Short",C735&lt;=30,"Short",C735&lt;=60,"Medium",C735&gt;60,"Long")</f>
        <v>Medium</v>
      </c>
      <c r="M735" t="str" cm="1">
        <f t="array" ref="M735">_xlfn.IFS(F735&lt;=50,"Low",F735&lt;=100,"Medium",F735&lt;=150,"High",F735&gt;150,"Very High")</f>
        <v>Low</v>
      </c>
    </row>
    <row r="736" spans="1:13" ht="14.25" customHeight="1" x14ac:dyDescent="0.4">
      <c r="A736" s="6" t="s">
        <v>770</v>
      </c>
      <c r="B736" s="6" t="s">
        <v>29</v>
      </c>
      <c r="C736" s="6">
        <v>126</v>
      </c>
      <c r="D736" s="7" t="s">
        <v>19</v>
      </c>
      <c r="E736" s="11">
        <v>45185</v>
      </c>
      <c r="F736" s="10">
        <v>52</v>
      </c>
      <c r="G736" s="6">
        <v>1.1000000000000001</v>
      </c>
      <c r="H736" s="6">
        <f>IF(MONTH(Data!$E736)&lt;=6, YEAR(Data!$E736), YEAR(Data!$E736)+1)</f>
        <v>2024</v>
      </c>
      <c r="I736" s="6" t="str">
        <f>TEXT(Data!$E736,"DDDD")</f>
        <v>Saturday</v>
      </c>
      <c r="J736" s="6" t="s">
        <v>25</v>
      </c>
      <c r="K736" s="6">
        <f>ROUND(Data!$G736,0)</f>
        <v>1</v>
      </c>
      <c r="L736" t="str" cm="1">
        <f t="array" ref="L736">_xlfn.IFS(C736&lt;=15,"Very Short",C736&lt;=30,"Short",C736&lt;=60,"Medium",C736&gt;60,"Long")</f>
        <v>Long</v>
      </c>
      <c r="M736" t="str" cm="1">
        <f t="array" ref="M736">_xlfn.IFS(F736&lt;=50,"Low",F736&lt;=100,"Medium",F736&lt;=150,"High",F736&gt;150,"Very High")</f>
        <v>Medium</v>
      </c>
    </row>
    <row r="737" spans="1:13" ht="14.25" customHeight="1" x14ac:dyDescent="0.4">
      <c r="A737" s="6" t="s">
        <v>771</v>
      </c>
      <c r="B737" s="6" t="s">
        <v>18</v>
      </c>
      <c r="C737" s="6">
        <v>43</v>
      </c>
      <c r="D737" s="7" t="s">
        <v>13</v>
      </c>
      <c r="E737" s="11">
        <v>45186</v>
      </c>
      <c r="F737" s="10">
        <v>168</v>
      </c>
      <c r="G737" s="6">
        <v>4</v>
      </c>
      <c r="H737" s="6">
        <f>IF(MONTH(Data!$E737)&lt;=6, YEAR(Data!$E737), YEAR(Data!$E737)+1)</f>
        <v>2024</v>
      </c>
      <c r="I737" s="6" t="str">
        <f>TEXT(Data!$E737,"DDDD")</f>
        <v>Sunday</v>
      </c>
      <c r="J737" s="6" t="s">
        <v>27</v>
      </c>
      <c r="K737" s="6">
        <f>ROUND(Data!$G737,0)</f>
        <v>4</v>
      </c>
      <c r="L737" t="str" cm="1">
        <f t="array" ref="L737">_xlfn.IFS(C737&lt;=15,"Very Short",C737&lt;=30,"Short",C737&lt;=60,"Medium",C737&gt;60,"Long")</f>
        <v>Medium</v>
      </c>
      <c r="M737" t="str" cm="1">
        <f t="array" ref="M737">_xlfn.IFS(F737&lt;=50,"Low",F737&lt;=100,"Medium",F737&lt;=150,"High",F737&gt;150,"Very High")</f>
        <v>Very High</v>
      </c>
    </row>
    <row r="738" spans="1:13" ht="14.25" customHeight="1" x14ac:dyDescent="0.4">
      <c r="A738" s="6" t="s">
        <v>772</v>
      </c>
      <c r="B738" s="6" t="s">
        <v>68</v>
      </c>
      <c r="C738" s="6">
        <v>79</v>
      </c>
      <c r="D738" s="7" t="s">
        <v>35</v>
      </c>
      <c r="E738" s="11">
        <v>45188</v>
      </c>
      <c r="F738" s="10">
        <v>125</v>
      </c>
      <c r="G738" s="6">
        <v>4.8</v>
      </c>
      <c r="H738" s="6">
        <f>IF(MONTH(Data!$E738)&lt;=6, YEAR(Data!$E738), YEAR(Data!$E738)+1)</f>
        <v>2024</v>
      </c>
      <c r="I738" s="6" t="str">
        <f>TEXT(Data!$E738,"DDDD")</f>
        <v>Tuesday</v>
      </c>
      <c r="J738" s="6" t="s">
        <v>14</v>
      </c>
      <c r="K738" s="6">
        <f>ROUND(Data!$G738,0)</f>
        <v>5</v>
      </c>
      <c r="L738" t="str" cm="1">
        <f t="array" ref="L738">_xlfn.IFS(C738&lt;=15,"Very Short",C738&lt;=30,"Short",C738&lt;=60,"Medium",C738&gt;60,"Long")</f>
        <v>Long</v>
      </c>
      <c r="M738" t="str" cm="1">
        <f t="array" ref="M738">_xlfn.IFS(F738&lt;=50,"Low",F738&lt;=100,"Medium",F738&lt;=150,"High",F738&gt;150,"Very High")</f>
        <v>High</v>
      </c>
    </row>
    <row r="739" spans="1:13" ht="14.25" customHeight="1" x14ac:dyDescent="0.4">
      <c r="A739" s="6" t="s">
        <v>773</v>
      </c>
      <c r="B739" s="6" t="s">
        <v>12</v>
      </c>
      <c r="C739" s="6">
        <v>71</v>
      </c>
      <c r="D739" s="7" t="s">
        <v>13</v>
      </c>
      <c r="E739" s="11">
        <v>45189</v>
      </c>
      <c r="F739" s="10">
        <v>50</v>
      </c>
      <c r="G739" s="6">
        <v>4.2</v>
      </c>
      <c r="H739" s="6">
        <f>IF(MONTH(Data!$E739)&lt;=6, YEAR(Data!$E739), YEAR(Data!$E739)+1)</f>
        <v>2024</v>
      </c>
      <c r="I739" s="6" t="str">
        <f>TEXT(Data!$E739,"DDDD")</f>
        <v>Wednesday</v>
      </c>
      <c r="J739" s="6" t="s">
        <v>14</v>
      </c>
      <c r="K739" s="6">
        <f>ROUND(Data!$G739,0)</f>
        <v>4</v>
      </c>
      <c r="L739" t="str" cm="1">
        <f t="array" ref="L739">_xlfn.IFS(C739&lt;=15,"Very Short",C739&lt;=30,"Short",C739&lt;=60,"Medium",C739&gt;60,"Long")</f>
        <v>Long</v>
      </c>
      <c r="M739" t="str" cm="1">
        <f t="array" ref="M739">_xlfn.IFS(F739&lt;=50,"Low",F739&lt;=100,"Medium",F739&lt;=150,"High",F739&gt;150,"Very High")</f>
        <v>Low</v>
      </c>
    </row>
    <row r="740" spans="1:13" ht="14.25" customHeight="1" x14ac:dyDescent="0.4">
      <c r="A740" s="6" t="s">
        <v>774</v>
      </c>
      <c r="B740" s="6" t="s">
        <v>46</v>
      </c>
      <c r="C740" s="6">
        <v>94</v>
      </c>
      <c r="D740" s="7" t="s">
        <v>19</v>
      </c>
      <c r="E740" s="11">
        <v>45190</v>
      </c>
      <c r="F740" s="10">
        <v>220</v>
      </c>
      <c r="G740" s="6">
        <v>4.5999999999999996</v>
      </c>
      <c r="H740" s="6">
        <f>IF(MONTH(Data!$E740)&lt;=6, YEAR(Data!$E740), YEAR(Data!$E740)+1)</f>
        <v>2024</v>
      </c>
      <c r="I740" s="6" t="str">
        <f>TEXT(Data!$E740,"DDDD")</f>
        <v>Thursday</v>
      </c>
      <c r="J740" s="6" t="s">
        <v>14</v>
      </c>
      <c r="K740" s="6">
        <f>ROUND(Data!$G740,0)</f>
        <v>5</v>
      </c>
      <c r="L740" t="str" cm="1">
        <f t="array" ref="L740">_xlfn.IFS(C740&lt;=15,"Very Short",C740&lt;=30,"Short",C740&lt;=60,"Medium",C740&gt;60,"Long")</f>
        <v>Long</v>
      </c>
      <c r="M740" t="str" cm="1">
        <f t="array" ref="M740">_xlfn.IFS(F740&lt;=50,"Low",F740&lt;=100,"Medium",F740&lt;=150,"High",F740&gt;150,"Very High")</f>
        <v>Very High</v>
      </c>
    </row>
    <row r="741" spans="1:13" ht="14.25" customHeight="1" x14ac:dyDescent="0.4">
      <c r="A741" s="6" t="s">
        <v>775</v>
      </c>
      <c r="B741" s="6" t="s">
        <v>34</v>
      </c>
      <c r="C741" s="6">
        <v>108</v>
      </c>
      <c r="D741" s="7" t="s">
        <v>13</v>
      </c>
      <c r="E741" s="11">
        <v>45190</v>
      </c>
      <c r="F741" s="10">
        <v>180</v>
      </c>
      <c r="G741" s="6">
        <v>4</v>
      </c>
      <c r="H741" s="6">
        <f>IF(MONTH(Data!$E741)&lt;=6, YEAR(Data!$E741), YEAR(Data!$E741)+1)</f>
        <v>2024</v>
      </c>
      <c r="I741" s="6" t="str">
        <f>TEXT(Data!$E741,"DDDD")</f>
        <v>Thursday</v>
      </c>
      <c r="J741" s="6" t="s">
        <v>14</v>
      </c>
      <c r="K741" s="6">
        <f>ROUND(Data!$G741,0)</f>
        <v>4</v>
      </c>
      <c r="L741" t="str" cm="1">
        <f t="array" ref="L741">_xlfn.IFS(C741&lt;=15,"Very Short",C741&lt;=30,"Short",C741&lt;=60,"Medium",C741&gt;60,"Long")</f>
        <v>Long</v>
      </c>
      <c r="M741" t="str" cm="1">
        <f t="array" ref="M741">_xlfn.IFS(F741&lt;=50,"Low",F741&lt;=100,"Medium",F741&lt;=150,"High",F741&gt;150,"Very High")</f>
        <v>Very High</v>
      </c>
    </row>
    <row r="742" spans="1:13" ht="14.25" customHeight="1" x14ac:dyDescent="0.4">
      <c r="A742" s="6" t="s">
        <v>776</v>
      </c>
      <c r="B742" s="6" t="s">
        <v>18</v>
      </c>
      <c r="C742" s="6">
        <v>76</v>
      </c>
      <c r="D742" s="7" t="s">
        <v>19</v>
      </c>
      <c r="E742" s="11">
        <v>45190</v>
      </c>
      <c r="F742" s="10">
        <v>110</v>
      </c>
      <c r="G742" s="6">
        <v>3.9</v>
      </c>
      <c r="H742" s="6">
        <f>IF(MONTH(Data!$E742)&lt;=6, YEAR(Data!$E742), YEAR(Data!$E742)+1)</f>
        <v>2024</v>
      </c>
      <c r="I742" s="6" t="str">
        <f>TEXT(Data!$E742,"DDDD")</f>
        <v>Thursday</v>
      </c>
      <c r="J742" s="6" t="s">
        <v>14</v>
      </c>
      <c r="K742" s="6">
        <f>ROUND(Data!$G742,0)</f>
        <v>4</v>
      </c>
      <c r="L742" t="str" cm="1">
        <f t="array" ref="L742">_xlfn.IFS(C742&lt;=15,"Very Short",C742&lt;=30,"Short",C742&lt;=60,"Medium",C742&gt;60,"Long")</f>
        <v>Long</v>
      </c>
      <c r="M742" t="str" cm="1">
        <f t="array" ref="M742">_xlfn.IFS(F742&lt;=50,"Low",F742&lt;=100,"Medium",F742&lt;=150,"High",F742&gt;150,"Very High")</f>
        <v>High</v>
      </c>
    </row>
    <row r="743" spans="1:13" ht="14.25" customHeight="1" x14ac:dyDescent="0.4">
      <c r="A743" s="6" t="s">
        <v>777</v>
      </c>
      <c r="B743" s="6" t="s">
        <v>58</v>
      </c>
      <c r="C743" s="6">
        <v>136</v>
      </c>
      <c r="D743" s="7" t="s">
        <v>13</v>
      </c>
      <c r="E743" s="11">
        <v>45190</v>
      </c>
      <c r="F743" s="10">
        <v>36</v>
      </c>
      <c r="G743" s="6">
        <v>2.8</v>
      </c>
      <c r="H743" s="6">
        <f>IF(MONTH(Data!$E743)&lt;=6, YEAR(Data!$E743), YEAR(Data!$E743)+1)</f>
        <v>2024</v>
      </c>
      <c r="I743" s="6" t="str">
        <f>TEXT(Data!$E743,"DDDD")</f>
        <v>Thursday</v>
      </c>
      <c r="J743" s="6" t="s">
        <v>25</v>
      </c>
      <c r="K743" s="6">
        <f>ROUND(Data!$G743,0)</f>
        <v>3</v>
      </c>
      <c r="L743" t="str" cm="1">
        <f t="array" ref="L743">_xlfn.IFS(C743&lt;=15,"Very Short",C743&lt;=30,"Short",C743&lt;=60,"Medium",C743&gt;60,"Long")</f>
        <v>Long</v>
      </c>
      <c r="M743" t="str" cm="1">
        <f t="array" ref="M743">_xlfn.IFS(F743&lt;=50,"Low",F743&lt;=100,"Medium",F743&lt;=150,"High",F743&gt;150,"Very High")</f>
        <v>Low</v>
      </c>
    </row>
    <row r="744" spans="1:13" ht="14.25" customHeight="1" x14ac:dyDescent="0.4">
      <c r="A744" s="6" t="s">
        <v>778</v>
      </c>
      <c r="B744" s="6" t="s">
        <v>16</v>
      </c>
      <c r="C744" s="6">
        <v>129</v>
      </c>
      <c r="D744" s="7" t="s">
        <v>24</v>
      </c>
      <c r="E744" s="11">
        <v>45191</v>
      </c>
      <c r="F744" s="10">
        <v>93</v>
      </c>
      <c r="G744" s="6">
        <v>4.7</v>
      </c>
      <c r="H744" s="6">
        <f>IF(MONTH(Data!$E744)&lt;=6, YEAR(Data!$E744), YEAR(Data!$E744)+1)</f>
        <v>2024</v>
      </c>
      <c r="I744" s="6" t="str">
        <f>TEXT(Data!$E744,"DDDD")</f>
        <v>Friday</v>
      </c>
      <c r="J744" s="6" t="s">
        <v>25</v>
      </c>
      <c r="K744" s="6">
        <f>ROUND(Data!$G744,0)</f>
        <v>5</v>
      </c>
      <c r="L744" t="str" cm="1">
        <f t="array" ref="L744">_xlfn.IFS(C744&lt;=15,"Very Short",C744&lt;=30,"Short",C744&lt;=60,"Medium",C744&gt;60,"Long")</f>
        <v>Long</v>
      </c>
      <c r="M744" t="str" cm="1">
        <f t="array" ref="M744">_xlfn.IFS(F744&lt;=50,"Low",F744&lt;=100,"Medium",F744&lt;=150,"High",F744&gt;150,"Very High")</f>
        <v>Medium</v>
      </c>
    </row>
    <row r="745" spans="1:13" ht="14.25" customHeight="1" x14ac:dyDescent="0.4">
      <c r="A745" s="6" t="s">
        <v>779</v>
      </c>
      <c r="B745" s="6" t="s">
        <v>34</v>
      </c>
      <c r="C745" s="6">
        <v>120</v>
      </c>
      <c r="D745" s="7" t="s">
        <v>13</v>
      </c>
      <c r="E745" s="11">
        <v>45191</v>
      </c>
      <c r="F745" s="10">
        <v>38</v>
      </c>
      <c r="G745" s="6">
        <v>4.2</v>
      </c>
      <c r="H745" s="6">
        <f>IF(MONTH(Data!$E745)&lt;=6, YEAR(Data!$E745), YEAR(Data!$E745)+1)</f>
        <v>2024</v>
      </c>
      <c r="I745" s="6" t="str">
        <f>TEXT(Data!$E745,"DDDD")</f>
        <v>Friday</v>
      </c>
      <c r="J745" s="6" t="s">
        <v>14</v>
      </c>
      <c r="K745" s="6">
        <f>ROUND(Data!$G745,0)</f>
        <v>4</v>
      </c>
      <c r="L745" t="str" cm="1">
        <f t="array" ref="L745">_xlfn.IFS(C745&lt;=15,"Very Short",C745&lt;=30,"Short",C745&lt;=60,"Medium",C745&gt;60,"Long")</f>
        <v>Long</v>
      </c>
      <c r="M745" t="str" cm="1">
        <f t="array" ref="M745">_xlfn.IFS(F745&lt;=50,"Low",F745&lt;=100,"Medium",F745&lt;=150,"High",F745&gt;150,"Very High")</f>
        <v>Low</v>
      </c>
    </row>
    <row r="746" spans="1:13" ht="14.25" customHeight="1" x14ac:dyDescent="0.4">
      <c r="A746" s="6" t="s">
        <v>780</v>
      </c>
      <c r="B746" s="6" t="s">
        <v>18</v>
      </c>
      <c r="C746" s="6">
        <v>108</v>
      </c>
      <c r="D746" s="7" t="s">
        <v>24</v>
      </c>
      <c r="E746" s="11">
        <v>45192</v>
      </c>
      <c r="F746" s="10">
        <v>66</v>
      </c>
      <c r="G746" s="6">
        <v>3.9</v>
      </c>
      <c r="H746" s="6">
        <f>IF(MONTH(Data!$E746)&lt;=6, YEAR(Data!$E746), YEAR(Data!$E746)+1)</f>
        <v>2024</v>
      </c>
      <c r="I746" s="6" t="str">
        <f>TEXT(Data!$E746,"DDDD")</f>
        <v>Saturday</v>
      </c>
      <c r="J746" s="6" t="s">
        <v>14</v>
      </c>
      <c r="K746" s="6">
        <f>ROUND(Data!$G746,0)</f>
        <v>4</v>
      </c>
      <c r="L746" t="str" cm="1">
        <f t="array" ref="L746">_xlfn.IFS(C746&lt;=15,"Very Short",C746&lt;=30,"Short",C746&lt;=60,"Medium",C746&gt;60,"Long")</f>
        <v>Long</v>
      </c>
      <c r="M746" t="str" cm="1">
        <f t="array" ref="M746">_xlfn.IFS(F746&lt;=50,"Low",F746&lt;=100,"Medium",F746&lt;=150,"High",F746&gt;150,"Very High")</f>
        <v>Medium</v>
      </c>
    </row>
    <row r="747" spans="1:13" ht="14.25" customHeight="1" x14ac:dyDescent="0.4">
      <c r="A747" s="6" t="s">
        <v>781</v>
      </c>
      <c r="B747" s="6" t="s">
        <v>29</v>
      </c>
      <c r="C747" s="6">
        <v>79</v>
      </c>
      <c r="D747" s="7" t="s">
        <v>13</v>
      </c>
      <c r="E747" s="11">
        <v>45192</v>
      </c>
      <c r="F747" s="10">
        <v>215</v>
      </c>
      <c r="G747" s="6">
        <v>4.5999999999999996</v>
      </c>
      <c r="H747" s="6">
        <f>IF(MONTH(Data!$E747)&lt;=6, YEAR(Data!$E747), YEAR(Data!$E747)+1)</f>
        <v>2024</v>
      </c>
      <c r="I747" s="6" t="str">
        <f>TEXT(Data!$E747,"DDDD")</f>
        <v>Saturday</v>
      </c>
      <c r="J747" s="6" t="s">
        <v>14</v>
      </c>
      <c r="K747" s="6">
        <f>ROUND(Data!$G747,0)</f>
        <v>5</v>
      </c>
      <c r="L747" t="str" cm="1">
        <f t="array" ref="L747">_xlfn.IFS(C747&lt;=15,"Very Short",C747&lt;=30,"Short",C747&lt;=60,"Medium",C747&gt;60,"Long")</f>
        <v>Long</v>
      </c>
      <c r="M747" t="str" cm="1">
        <f t="array" ref="M747">_xlfn.IFS(F747&lt;=50,"Low",F747&lt;=100,"Medium",F747&lt;=150,"High",F747&gt;150,"Very High")</f>
        <v>Very High</v>
      </c>
    </row>
    <row r="748" spans="1:13" ht="14.25" customHeight="1" x14ac:dyDescent="0.4">
      <c r="A748" s="6" t="s">
        <v>782</v>
      </c>
      <c r="B748" s="6" t="s">
        <v>29</v>
      </c>
      <c r="C748" s="6">
        <v>45</v>
      </c>
      <c r="D748" s="7" t="s">
        <v>24</v>
      </c>
      <c r="E748" s="11">
        <v>45192</v>
      </c>
      <c r="F748" s="10">
        <v>92</v>
      </c>
      <c r="G748" s="6">
        <v>4.3</v>
      </c>
      <c r="H748" s="6">
        <f>IF(MONTH(Data!$E748)&lt;=6, YEAR(Data!$E748), YEAR(Data!$E748)+1)</f>
        <v>2024</v>
      </c>
      <c r="I748" s="6" t="str">
        <f>TEXT(Data!$E748,"DDDD")</f>
        <v>Saturday</v>
      </c>
      <c r="J748" s="6" t="s">
        <v>27</v>
      </c>
      <c r="K748" s="6">
        <f>ROUND(Data!$G748,0)</f>
        <v>4</v>
      </c>
      <c r="L748" t="str" cm="1">
        <f t="array" ref="L748">_xlfn.IFS(C748&lt;=15,"Very Short",C748&lt;=30,"Short",C748&lt;=60,"Medium",C748&gt;60,"Long")</f>
        <v>Medium</v>
      </c>
      <c r="M748" t="str" cm="1">
        <f t="array" ref="M748">_xlfn.IFS(F748&lt;=50,"Low",F748&lt;=100,"Medium",F748&lt;=150,"High",F748&gt;150,"Very High")</f>
        <v>Medium</v>
      </c>
    </row>
    <row r="749" spans="1:13" ht="14.25" customHeight="1" x14ac:dyDescent="0.4">
      <c r="A749" s="6" t="s">
        <v>783</v>
      </c>
      <c r="B749" s="6" t="s">
        <v>23</v>
      </c>
      <c r="C749" s="6">
        <v>96</v>
      </c>
      <c r="D749" s="7" t="s">
        <v>13</v>
      </c>
      <c r="E749" s="11">
        <v>45192</v>
      </c>
      <c r="F749" s="10">
        <v>80</v>
      </c>
      <c r="G749" s="6">
        <v>3.6</v>
      </c>
      <c r="H749" s="6">
        <f>IF(MONTH(Data!$E749)&lt;=6, YEAR(Data!$E749), YEAR(Data!$E749)+1)</f>
        <v>2024</v>
      </c>
      <c r="I749" s="6" t="str">
        <f>TEXT(Data!$E749,"DDDD")</f>
        <v>Saturday</v>
      </c>
      <c r="J749" s="6" t="s">
        <v>14</v>
      </c>
      <c r="K749" s="6">
        <f>ROUND(Data!$G749,0)</f>
        <v>4</v>
      </c>
      <c r="L749" t="str" cm="1">
        <f t="array" ref="L749">_xlfn.IFS(C749&lt;=15,"Very Short",C749&lt;=30,"Short",C749&lt;=60,"Medium",C749&gt;60,"Long")</f>
        <v>Long</v>
      </c>
      <c r="M749" t="str" cm="1">
        <f t="array" ref="M749">_xlfn.IFS(F749&lt;=50,"Low",F749&lt;=100,"Medium",F749&lt;=150,"High",F749&gt;150,"Very High")</f>
        <v>Medium</v>
      </c>
    </row>
    <row r="750" spans="1:13" ht="14.25" customHeight="1" x14ac:dyDescent="0.4">
      <c r="A750" s="6" t="s">
        <v>784</v>
      </c>
      <c r="B750" s="6" t="s">
        <v>23</v>
      </c>
      <c r="C750" s="6">
        <v>81</v>
      </c>
      <c r="D750" s="7" t="s">
        <v>13</v>
      </c>
      <c r="E750" s="11">
        <v>45193</v>
      </c>
      <c r="F750" s="10">
        <v>123</v>
      </c>
      <c r="G750" s="6">
        <v>4.9000000000000004</v>
      </c>
      <c r="H750" s="6">
        <f>IF(MONTH(Data!$E750)&lt;=6, YEAR(Data!$E750), YEAR(Data!$E750)+1)</f>
        <v>2024</v>
      </c>
      <c r="I750" s="6" t="str">
        <f>TEXT(Data!$E750,"DDDD")</f>
        <v>Sunday</v>
      </c>
      <c r="J750" s="6" t="s">
        <v>14</v>
      </c>
      <c r="K750" s="6">
        <f>ROUND(Data!$G750,0)</f>
        <v>5</v>
      </c>
      <c r="L750" t="str" cm="1">
        <f t="array" ref="L750">_xlfn.IFS(C750&lt;=15,"Very Short",C750&lt;=30,"Short",C750&lt;=60,"Medium",C750&gt;60,"Long")</f>
        <v>Long</v>
      </c>
      <c r="M750" t="str" cm="1">
        <f t="array" ref="M750">_xlfn.IFS(F750&lt;=50,"Low",F750&lt;=100,"Medium",F750&lt;=150,"High",F750&gt;150,"Very High")</f>
        <v>High</v>
      </c>
    </row>
    <row r="751" spans="1:13" ht="14.25" customHeight="1" x14ac:dyDescent="0.4">
      <c r="A751" s="6" t="s">
        <v>785</v>
      </c>
      <c r="B751" s="6" t="s">
        <v>58</v>
      </c>
      <c r="C751" s="6">
        <v>95</v>
      </c>
      <c r="D751" s="7" t="s">
        <v>31</v>
      </c>
      <c r="E751" s="11">
        <v>45193</v>
      </c>
      <c r="F751" s="10">
        <v>23</v>
      </c>
      <c r="G751" s="6">
        <v>2.4</v>
      </c>
      <c r="H751" s="6">
        <f>IF(MONTH(Data!$E751)&lt;=6, YEAR(Data!$E751), YEAR(Data!$E751)+1)</f>
        <v>2024</v>
      </c>
      <c r="I751" s="6" t="str">
        <f>TEXT(Data!$E751,"DDDD")</f>
        <v>Sunday</v>
      </c>
      <c r="J751" s="6" t="s">
        <v>14</v>
      </c>
      <c r="K751" s="6">
        <f>ROUND(Data!$G751,0)</f>
        <v>2</v>
      </c>
      <c r="L751" t="str" cm="1">
        <f t="array" ref="L751">_xlfn.IFS(C751&lt;=15,"Very Short",C751&lt;=30,"Short",C751&lt;=60,"Medium",C751&gt;60,"Long")</f>
        <v>Long</v>
      </c>
      <c r="M751" t="str" cm="1">
        <f t="array" ref="M751">_xlfn.IFS(F751&lt;=50,"Low",F751&lt;=100,"Medium",F751&lt;=150,"High",F751&gt;150,"Very High")</f>
        <v>Low</v>
      </c>
    </row>
    <row r="752" spans="1:13" ht="14.25" customHeight="1" x14ac:dyDescent="0.4">
      <c r="A752" s="6" t="s">
        <v>786</v>
      </c>
      <c r="B752" s="6" t="s">
        <v>55</v>
      </c>
      <c r="C752" s="6">
        <v>159</v>
      </c>
      <c r="D752" s="7" t="s">
        <v>19</v>
      </c>
      <c r="E752" s="11">
        <v>45193</v>
      </c>
      <c r="F752" s="10">
        <v>63</v>
      </c>
      <c r="G752" s="6">
        <v>4.2</v>
      </c>
      <c r="H752" s="6">
        <f>IF(MONTH(Data!$E752)&lt;=6, YEAR(Data!$E752), YEAR(Data!$E752)+1)</f>
        <v>2024</v>
      </c>
      <c r="I752" s="6" t="str">
        <f>TEXT(Data!$E752,"DDDD")</f>
        <v>Sunday</v>
      </c>
      <c r="J752" s="6" t="s">
        <v>25</v>
      </c>
      <c r="K752" s="6">
        <f>ROUND(Data!$G752,0)</f>
        <v>4</v>
      </c>
      <c r="L752" t="str" cm="1">
        <f t="array" ref="L752">_xlfn.IFS(C752&lt;=15,"Very Short",C752&lt;=30,"Short",C752&lt;=60,"Medium",C752&gt;60,"Long")</f>
        <v>Long</v>
      </c>
      <c r="M752" t="str" cm="1">
        <f t="array" ref="M752">_xlfn.IFS(F752&lt;=50,"Low",F752&lt;=100,"Medium",F752&lt;=150,"High",F752&gt;150,"Very High")</f>
        <v>Medium</v>
      </c>
    </row>
    <row r="753" spans="1:13" ht="14.25" customHeight="1" x14ac:dyDescent="0.4">
      <c r="A753" s="6" t="s">
        <v>787</v>
      </c>
      <c r="B753" s="6" t="s">
        <v>88</v>
      </c>
      <c r="C753" s="6">
        <v>109</v>
      </c>
      <c r="D753" s="7" t="s">
        <v>35</v>
      </c>
      <c r="E753" s="11">
        <v>45193</v>
      </c>
      <c r="F753" s="10">
        <v>52</v>
      </c>
      <c r="G753" s="6">
        <v>3.9</v>
      </c>
      <c r="H753" s="6">
        <f>IF(MONTH(Data!$E753)&lt;=6, YEAR(Data!$E753), YEAR(Data!$E753)+1)</f>
        <v>2024</v>
      </c>
      <c r="I753" s="6" t="str">
        <f>TEXT(Data!$E753,"DDDD")</f>
        <v>Sunday</v>
      </c>
      <c r="J753" s="6" t="s">
        <v>14</v>
      </c>
      <c r="K753" s="6">
        <f>ROUND(Data!$G753,0)</f>
        <v>4</v>
      </c>
      <c r="L753" t="str" cm="1">
        <f t="array" ref="L753">_xlfn.IFS(C753&lt;=15,"Very Short",C753&lt;=30,"Short",C753&lt;=60,"Medium",C753&gt;60,"Long")</f>
        <v>Long</v>
      </c>
      <c r="M753" t="str" cm="1">
        <f t="array" ref="M753">_xlfn.IFS(F753&lt;=50,"Low",F753&lt;=100,"Medium",F753&lt;=150,"High",F753&gt;150,"Very High")</f>
        <v>Medium</v>
      </c>
    </row>
    <row r="754" spans="1:13" ht="14.25" customHeight="1" x14ac:dyDescent="0.4">
      <c r="A754" s="6" t="s">
        <v>788</v>
      </c>
      <c r="B754" s="6" t="s">
        <v>29</v>
      </c>
      <c r="C754" s="6">
        <v>107</v>
      </c>
      <c r="D754" s="7" t="s">
        <v>35</v>
      </c>
      <c r="E754" s="11">
        <v>45193</v>
      </c>
      <c r="F754" s="10">
        <v>60</v>
      </c>
      <c r="G754" s="6">
        <v>4.2</v>
      </c>
      <c r="H754" s="6">
        <f>IF(MONTH(Data!$E754)&lt;=6, YEAR(Data!$E754), YEAR(Data!$E754)+1)</f>
        <v>2024</v>
      </c>
      <c r="I754" s="6" t="str">
        <f>TEXT(Data!$E754,"DDDD")</f>
        <v>Sunday</v>
      </c>
      <c r="J754" s="6" t="s">
        <v>14</v>
      </c>
      <c r="K754" s="6">
        <f>ROUND(Data!$G754,0)</f>
        <v>4</v>
      </c>
      <c r="L754" t="str" cm="1">
        <f t="array" ref="L754">_xlfn.IFS(C754&lt;=15,"Very Short",C754&lt;=30,"Short",C754&lt;=60,"Medium",C754&gt;60,"Long")</f>
        <v>Long</v>
      </c>
      <c r="M754" t="str" cm="1">
        <f t="array" ref="M754">_xlfn.IFS(F754&lt;=50,"Low",F754&lt;=100,"Medium",F754&lt;=150,"High",F754&gt;150,"Very High")</f>
        <v>Medium</v>
      </c>
    </row>
    <row r="755" spans="1:13" ht="14.25" customHeight="1" x14ac:dyDescent="0.4">
      <c r="A755" s="6" t="s">
        <v>789</v>
      </c>
      <c r="B755" s="6" t="s">
        <v>23</v>
      </c>
      <c r="C755" s="6">
        <v>67</v>
      </c>
      <c r="D755" s="7" t="s">
        <v>24</v>
      </c>
      <c r="E755" s="11">
        <v>45194</v>
      </c>
      <c r="F755" s="10">
        <v>87</v>
      </c>
      <c r="G755" s="6">
        <v>3.9</v>
      </c>
      <c r="H755" s="6">
        <f>IF(MONTH(Data!$E755)&lt;=6, YEAR(Data!$E755), YEAR(Data!$E755)+1)</f>
        <v>2024</v>
      </c>
      <c r="I755" s="6" t="str">
        <f>TEXT(Data!$E755,"DDDD")</f>
        <v>Monday</v>
      </c>
      <c r="J755" s="6" t="s">
        <v>14</v>
      </c>
      <c r="K755" s="6">
        <f>ROUND(Data!$G755,0)</f>
        <v>4</v>
      </c>
      <c r="L755" t="str" cm="1">
        <f t="array" ref="L755">_xlfn.IFS(C755&lt;=15,"Very Short",C755&lt;=30,"Short",C755&lt;=60,"Medium",C755&gt;60,"Long")</f>
        <v>Long</v>
      </c>
      <c r="M755" t="str" cm="1">
        <f t="array" ref="M755">_xlfn.IFS(F755&lt;=50,"Low",F755&lt;=100,"Medium",F755&lt;=150,"High",F755&gt;150,"Very High")</f>
        <v>Medium</v>
      </c>
    </row>
    <row r="756" spans="1:13" ht="14.25" customHeight="1" x14ac:dyDescent="0.4">
      <c r="A756" s="6" t="s">
        <v>790</v>
      </c>
      <c r="B756" s="6" t="s">
        <v>40</v>
      </c>
      <c r="C756" s="6">
        <v>96</v>
      </c>
      <c r="D756" s="7" t="s">
        <v>13</v>
      </c>
      <c r="E756" s="11">
        <v>45195</v>
      </c>
      <c r="F756" s="10">
        <v>42</v>
      </c>
      <c r="G756" s="6">
        <v>4.5</v>
      </c>
      <c r="H756" s="6">
        <f>IF(MONTH(Data!$E756)&lt;=6, YEAR(Data!$E756), YEAR(Data!$E756)+1)</f>
        <v>2024</v>
      </c>
      <c r="I756" s="6" t="str">
        <f>TEXT(Data!$E756,"DDDD")</f>
        <v>Tuesday</v>
      </c>
      <c r="J756" s="6" t="s">
        <v>14</v>
      </c>
      <c r="K756" s="6">
        <f>ROUND(Data!$G756,0)</f>
        <v>5</v>
      </c>
      <c r="L756" t="str" cm="1">
        <f t="array" ref="L756">_xlfn.IFS(C756&lt;=15,"Very Short",C756&lt;=30,"Short",C756&lt;=60,"Medium",C756&gt;60,"Long")</f>
        <v>Long</v>
      </c>
      <c r="M756" t="str" cm="1">
        <f t="array" ref="M756">_xlfn.IFS(F756&lt;=50,"Low",F756&lt;=100,"Medium",F756&lt;=150,"High",F756&gt;150,"Very High")</f>
        <v>Low</v>
      </c>
    </row>
    <row r="757" spans="1:13" ht="14.25" customHeight="1" x14ac:dyDescent="0.4">
      <c r="A757" s="6" t="s">
        <v>791</v>
      </c>
      <c r="B757" s="6" t="s">
        <v>50</v>
      </c>
      <c r="C757" s="6">
        <v>142</v>
      </c>
      <c r="D757" s="7" t="s">
        <v>19</v>
      </c>
      <c r="E757" s="11">
        <v>45196</v>
      </c>
      <c r="F757" s="10">
        <v>37</v>
      </c>
      <c r="G757" s="6">
        <v>3.8</v>
      </c>
      <c r="H757" s="6">
        <f>IF(MONTH(Data!$E757)&lt;=6, YEAR(Data!$E757), YEAR(Data!$E757)+1)</f>
        <v>2024</v>
      </c>
      <c r="I757" s="6" t="str">
        <f>TEXT(Data!$E757,"DDDD")</f>
        <v>Wednesday</v>
      </c>
      <c r="J757" s="6" t="s">
        <v>25</v>
      </c>
      <c r="K757" s="6">
        <f>ROUND(Data!$G757,0)</f>
        <v>4</v>
      </c>
      <c r="L757" t="str" cm="1">
        <f t="array" ref="L757">_xlfn.IFS(C757&lt;=15,"Very Short",C757&lt;=30,"Short",C757&lt;=60,"Medium",C757&gt;60,"Long")</f>
        <v>Long</v>
      </c>
      <c r="M757" t="str" cm="1">
        <f t="array" ref="M757">_xlfn.IFS(F757&lt;=50,"Low",F757&lt;=100,"Medium",F757&lt;=150,"High",F757&gt;150,"Very High")</f>
        <v>Low</v>
      </c>
    </row>
    <row r="758" spans="1:13" ht="14.25" customHeight="1" x14ac:dyDescent="0.4">
      <c r="A758" s="6" t="s">
        <v>792</v>
      </c>
      <c r="B758" s="6" t="s">
        <v>50</v>
      </c>
      <c r="C758" s="6">
        <v>71</v>
      </c>
      <c r="D758" s="7" t="s">
        <v>31</v>
      </c>
      <c r="E758" s="11">
        <v>45196</v>
      </c>
      <c r="F758" s="10">
        <v>135</v>
      </c>
      <c r="G758" s="6">
        <v>3.9</v>
      </c>
      <c r="H758" s="6">
        <f>IF(MONTH(Data!$E758)&lt;=6, YEAR(Data!$E758), YEAR(Data!$E758)+1)</f>
        <v>2024</v>
      </c>
      <c r="I758" s="6" t="str">
        <f>TEXT(Data!$E758,"DDDD")</f>
        <v>Wednesday</v>
      </c>
      <c r="J758" s="6" t="s">
        <v>14</v>
      </c>
      <c r="K758" s="6">
        <f>ROUND(Data!$G758,0)</f>
        <v>4</v>
      </c>
      <c r="L758" t="str" cm="1">
        <f t="array" ref="L758">_xlfn.IFS(C758&lt;=15,"Very Short",C758&lt;=30,"Short",C758&lt;=60,"Medium",C758&gt;60,"Long")</f>
        <v>Long</v>
      </c>
      <c r="M758" t="str" cm="1">
        <f t="array" ref="M758">_xlfn.IFS(F758&lt;=50,"Low",F758&lt;=100,"Medium",F758&lt;=150,"High",F758&gt;150,"Very High")</f>
        <v>High</v>
      </c>
    </row>
    <row r="759" spans="1:13" ht="14.25" customHeight="1" x14ac:dyDescent="0.4">
      <c r="A759" s="6" t="s">
        <v>793</v>
      </c>
      <c r="B759" s="6" t="s">
        <v>40</v>
      </c>
      <c r="C759" s="6">
        <v>152</v>
      </c>
      <c r="D759" s="7" t="s">
        <v>31</v>
      </c>
      <c r="E759" s="11">
        <v>45196</v>
      </c>
      <c r="F759" s="10">
        <v>88</v>
      </c>
      <c r="G759" s="6">
        <v>4.7</v>
      </c>
      <c r="H759" s="6">
        <f>IF(MONTH(Data!$E759)&lt;=6, YEAR(Data!$E759), YEAR(Data!$E759)+1)</f>
        <v>2024</v>
      </c>
      <c r="I759" s="6" t="str">
        <f>TEXT(Data!$E759,"DDDD")</f>
        <v>Wednesday</v>
      </c>
      <c r="J759" s="6" t="s">
        <v>25</v>
      </c>
      <c r="K759" s="6">
        <f>ROUND(Data!$G759,0)</f>
        <v>5</v>
      </c>
      <c r="L759" t="str" cm="1">
        <f t="array" ref="L759">_xlfn.IFS(C759&lt;=15,"Very Short",C759&lt;=30,"Short",C759&lt;=60,"Medium",C759&gt;60,"Long")</f>
        <v>Long</v>
      </c>
      <c r="M759" t="str" cm="1">
        <f t="array" ref="M759">_xlfn.IFS(F759&lt;=50,"Low",F759&lt;=100,"Medium",F759&lt;=150,"High",F759&gt;150,"Very High")</f>
        <v>Medium</v>
      </c>
    </row>
    <row r="760" spans="1:13" ht="14.25" customHeight="1" x14ac:dyDescent="0.4">
      <c r="A760" s="6" t="s">
        <v>794</v>
      </c>
      <c r="B760" s="6" t="s">
        <v>68</v>
      </c>
      <c r="C760" s="6">
        <v>108</v>
      </c>
      <c r="D760" s="7" t="s">
        <v>19</v>
      </c>
      <c r="E760" s="11">
        <v>45196</v>
      </c>
      <c r="F760" s="10">
        <v>190</v>
      </c>
      <c r="G760" s="6">
        <v>3.2</v>
      </c>
      <c r="H760" s="6">
        <f>IF(MONTH(Data!$E760)&lt;=6, YEAR(Data!$E760), YEAR(Data!$E760)+1)</f>
        <v>2024</v>
      </c>
      <c r="I760" s="6" t="str">
        <f>TEXT(Data!$E760,"DDDD")</f>
        <v>Wednesday</v>
      </c>
      <c r="J760" s="6" t="s">
        <v>14</v>
      </c>
      <c r="K760" s="6">
        <f>ROUND(Data!$G760,0)</f>
        <v>3</v>
      </c>
      <c r="L760" t="str" cm="1">
        <f t="array" ref="L760">_xlfn.IFS(C760&lt;=15,"Very Short",C760&lt;=30,"Short",C760&lt;=60,"Medium",C760&gt;60,"Long")</f>
        <v>Long</v>
      </c>
      <c r="M760" t="str" cm="1">
        <f t="array" ref="M760">_xlfn.IFS(F760&lt;=50,"Low",F760&lt;=100,"Medium",F760&lt;=150,"High",F760&gt;150,"Very High")</f>
        <v>Very High</v>
      </c>
    </row>
    <row r="761" spans="1:13" ht="14.25" customHeight="1" x14ac:dyDescent="0.4">
      <c r="A761" s="6" t="s">
        <v>795</v>
      </c>
      <c r="B761" s="6" t="s">
        <v>68</v>
      </c>
      <c r="C761" s="6">
        <v>156</v>
      </c>
      <c r="D761" s="7" t="s">
        <v>31</v>
      </c>
      <c r="E761" s="11">
        <v>45196</v>
      </c>
      <c r="F761" s="10">
        <v>81</v>
      </c>
      <c r="G761" s="6">
        <v>5</v>
      </c>
      <c r="H761" s="6">
        <f>IF(MONTH(Data!$E761)&lt;=6, YEAR(Data!$E761), YEAR(Data!$E761)+1)</f>
        <v>2024</v>
      </c>
      <c r="I761" s="6" t="str">
        <f>TEXT(Data!$E761,"DDDD")</f>
        <v>Wednesday</v>
      </c>
      <c r="J761" s="6" t="s">
        <v>25</v>
      </c>
      <c r="K761" s="6">
        <f>ROUND(Data!$G761,0)</f>
        <v>5</v>
      </c>
      <c r="L761" t="str" cm="1">
        <f t="array" ref="L761">_xlfn.IFS(C761&lt;=15,"Very Short",C761&lt;=30,"Short",C761&lt;=60,"Medium",C761&gt;60,"Long")</f>
        <v>Long</v>
      </c>
      <c r="M761" t="str" cm="1">
        <f t="array" ref="M761">_xlfn.IFS(F761&lt;=50,"Low",F761&lt;=100,"Medium",F761&lt;=150,"High",F761&gt;150,"Very High")</f>
        <v>Medium</v>
      </c>
    </row>
    <row r="762" spans="1:13" ht="14.25" customHeight="1" x14ac:dyDescent="0.4">
      <c r="A762" s="6" t="s">
        <v>796</v>
      </c>
      <c r="B762" s="6" t="s">
        <v>50</v>
      </c>
      <c r="C762" s="6">
        <v>126</v>
      </c>
      <c r="D762" s="7" t="s">
        <v>19</v>
      </c>
      <c r="E762" s="11">
        <v>45196</v>
      </c>
      <c r="F762" s="10">
        <v>44</v>
      </c>
      <c r="G762" s="6">
        <v>3.7</v>
      </c>
      <c r="H762" s="6">
        <f>IF(MONTH(Data!$E762)&lt;=6, YEAR(Data!$E762), YEAR(Data!$E762)+1)</f>
        <v>2024</v>
      </c>
      <c r="I762" s="6" t="str">
        <f>TEXT(Data!$E762,"DDDD")</f>
        <v>Wednesday</v>
      </c>
      <c r="J762" s="6" t="s">
        <v>25</v>
      </c>
      <c r="K762" s="6">
        <f>ROUND(Data!$G762,0)</f>
        <v>4</v>
      </c>
      <c r="L762" t="str" cm="1">
        <f t="array" ref="L762">_xlfn.IFS(C762&lt;=15,"Very Short",C762&lt;=30,"Short",C762&lt;=60,"Medium",C762&gt;60,"Long")</f>
        <v>Long</v>
      </c>
      <c r="M762" t="str" cm="1">
        <f t="array" ref="M762">_xlfn.IFS(F762&lt;=50,"Low",F762&lt;=100,"Medium",F762&lt;=150,"High",F762&gt;150,"Very High")</f>
        <v>Low</v>
      </c>
    </row>
    <row r="763" spans="1:13" ht="14.25" customHeight="1" x14ac:dyDescent="0.4">
      <c r="A763" s="6" t="s">
        <v>797</v>
      </c>
      <c r="B763" s="6" t="s">
        <v>18</v>
      </c>
      <c r="C763" s="6">
        <v>135</v>
      </c>
      <c r="D763" s="7" t="s">
        <v>31</v>
      </c>
      <c r="E763" s="11">
        <v>45197</v>
      </c>
      <c r="F763" s="10">
        <v>92</v>
      </c>
      <c r="G763" s="6">
        <v>3.9</v>
      </c>
      <c r="H763" s="6">
        <f>IF(MONTH(Data!$E763)&lt;=6, YEAR(Data!$E763), YEAR(Data!$E763)+1)</f>
        <v>2024</v>
      </c>
      <c r="I763" s="6" t="str">
        <f>TEXT(Data!$E763,"DDDD")</f>
        <v>Thursday</v>
      </c>
      <c r="J763" s="6" t="s">
        <v>25</v>
      </c>
      <c r="K763" s="6">
        <f>ROUND(Data!$G763,0)</f>
        <v>4</v>
      </c>
      <c r="L763" t="str" cm="1">
        <f t="array" ref="L763">_xlfn.IFS(C763&lt;=15,"Very Short",C763&lt;=30,"Short",C763&lt;=60,"Medium",C763&gt;60,"Long")</f>
        <v>Long</v>
      </c>
      <c r="M763" t="str" cm="1">
        <f t="array" ref="M763">_xlfn.IFS(F763&lt;=50,"Low",F763&lt;=100,"Medium",F763&lt;=150,"High",F763&gt;150,"Very High")</f>
        <v>Medium</v>
      </c>
    </row>
    <row r="764" spans="1:13" ht="14.25" customHeight="1" x14ac:dyDescent="0.4">
      <c r="A764" s="6" t="s">
        <v>798</v>
      </c>
      <c r="B764" s="6" t="s">
        <v>50</v>
      </c>
      <c r="C764" s="6">
        <v>110</v>
      </c>
      <c r="D764" s="7" t="s">
        <v>13</v>
      </c>
      <c r="E764" s="11">
        <v>45198</v>
      </c>
      <c r="F764" s="10">
        <v>90</v>
      </c>
      <c r="G764" s="6">
        <v>3.1</v>
      </c>
      <c r="H764" s="6">
        <f>IF(MONTH(Data!$E764)&lt;=6, YEAR(Data!$E764), YEAR(Data!$E764)+1)</f>
        <v>2024</v>
      </c>
      <c r="I764" s="6" t="str">
        <f>TEXT(Data!$E764,"DDDD")</f>
        <v>Friday</v>
      </c>
      <c r="J764" s="6" t="s">
        <v>14</v>
      </c>
      <c r="K764" s="6">
        <f>ROUND(Data!$G764,0)</f>
        <v>3</v>
      </c>
      <c r="L764" t="str" cm="1">
        <f t="array" ref="L764">_xlfn.IFS(C764&lt;=15,"Very Short",C764&lt;=30,"Short",C764&lt;=60,"Medium",C764&gt;60,"Long")</f>
        <v>Long</v>
      </c>
      <c r="M764" t="str" cm="1">
        <f t="array" ref="M764">_xlfn.IFS(F764&lt;=50,"Low",F764&lt;=100,"Medium",F764&lt;=150,"High",F764&gt;150,"Very High")</f>
        <v>Medium</v>
      </c>
    </row>
    <row r="765" spans="1:13" ht="14.25" customHeight="1" x14ac:dyDescent="0.4">
      <c r="A765" s="6" t="s">
        <v>799</v>
      </c>
      <c r="B765" s="6" t="s">
        <v>55</v>
      </c>
      <c r="C765" s="6">
        <v>64</v>
      </c>
      <c r="D765" s="7" t="s">
        <v>31</v>
      </c>
      <c r="E765" s="11">
        <v>45198</v>
      </c>
      <c r="F765" s="10">
        <v>112</v>
      </c>
      <c r="G765" s="6">
        <v>2</v>
      </c>
      <c r="H765" s="6">
        <f>IF(MONTH(Data!$E765)&lt;=6, YEAR(Data!$E765), YEAR(Data!$E765)+1)</f>
        <v>2024</v>
      </c>
      <c r="I765" s="6" t="str">
        <f>TEXT(Data!$E765,"DDDD")</f>
        <v>Friday</v>
      </c>
      <c r="J765" s="6" t="s">
        <v>14</v>
      </c>
      <c r="K765" s="6">
        <f>ROUND(Data!$G765,0)</f>
        <v>2</v>
      </c>
      <c r="L765" t="str" cm="1">
        <f t="array" ref="L765">_xlfn.IFS(C765&lt;=15,"Very Short",C765&lt;=30,"Short",C765&lt;=60,"Medium",C765&gt;60,"Long")</f>
        <v>Long</v>
      </c>
      <c r="M765" t="str" cm="1">
        <f t="array" ref="M765">_xlfn.IFS(F765&lt;=50,"Low",F765&lt;=100,"Medium",F765&lt;=150,"High",F765&gt;150,"Very High")</f>
        <v>High</v>
      </c>
    </row>
    <row r="766" spans="1:13" ht="14.25" customHeight="1" x14ac:dyDescent="0.4">
      <c r="A766" s="6" t="s">
        <v>800</v>
      </c>
      <c r="B766" s="6" t="s">
        <v>46</v>
      </c>
      <c r="C766" s="6">
        <v>127</v>
      </c>
      <c r="D766" s="7" t="s">
        <v>19</v>
      </c>
      <c r="E766" s="11">
        <v>45198</v>
      </c>
      <c r="F766" s="10">
        <v>112</v>
      </c>
      <c r="G766" s="6">
        <v>4.5999999999999996</v>
      </c>
      <c r="H766" s="6">
        <f>IF(MONTH(Data!$E766)&lt;=6, YEAR(Data!$E766), YEAR(Data!$E766)+1)</f>
        <v>2024</v>
      </c>
      <c r="I766" s="6" t="str">
        <f>TEXT(Data!$E766,"DDDD")</f>
        <v>Friday</v>
      </c>
      <c r="J766" s="6" t="s">
        <v>25</v>
      </c>
      <c r="K766" s="6">
        <f>ROUND(Data!$G766,0)</f>
        <v>5</v>
      </c>
      <c r="L766" t="str" cm="1">
        <f t="array" ref="L766">_xlfn.IFS(C766&lt;=15,"Very Short",C766&lt;=30,"Short",C766&lt;=60,"Medium",C766&gt;60,"Long")</f>
        <v>Long</v>
      </c>
      <c r="M766" t="str" cm="1">
        <f t="array" ref="M766">_xlfn.IFS(F766&lt;=50,"Low",F766&lt;=100,"Medium",F766&lt;=150,"High",F766&gt;150,"Very High")</f>
        <v>High</v>
      </c>
    </row>
    <row r="767" spans="1:13" ht="14.25" customHeight="1" x14ac:dyDescent="0.4">
      <c r="A767" s="6" t="s">
        <v>801</v>
      </c>
      <c r="B767" s="6" t="s">
        <v>88</v>
      </c>
      <c r="C767" s="6">
        <v>124</v>
      </c>
      <c r="D767" s="7" t="s">
        <v>24</v>
      </c>
      <c r="E767" s="11">
        <v>45198</v>
      </c>
      <c r="F767" s="10">
        <v>48</v>
      </c>
      <c r="G767" s="6">
        <v>3.7</v>
      </c>
      <c r="H767" s="6">
        <f>IF(MONTH(Data!$E767)&lt;=6, YEAR(Data!$E767), YEAR(Data!$E767)+1)</f>
        <v>2024</v>
      </c>
      <c r="I767" s="6" t="str">
        <f>TEXT(Data!$E767,"DDDD")</f>
        <v>Friday</v>
      </c>
      <c r="J767" s="6" t="s">
        <v>25</v>
      </c>
      <c r="K767" s="6">
        <f>ROUND(Data!$G767,0)</f>
        <v>4</v>
      </c>
      <c r="L767" t="str" cm="1">
        <f t="array" ref="L767">_xlfn.IFS(C767&lt;=15,"Very Short",C767&lt;=30,"Short",C767&lt;=60,"Medium",C767&gt;60,"Long")</f>
        <v>Long</v>
      </c>
      <c r="M767" t="str" cm="1">
        <f t="array" ref="M767">_xlfn.IFS(F767&lt;=50,"Low",F767&lt;=100,"Medium",F767&lt;=150,"High",F767&gt;150,"Very High")</f>
        <v>Low</v>
      </c>
    </row>
    <row r="768" spans="1:13" ht="14.25" customHeight="1" x14ac:dyDescent="0.4">
      <c r="A768" s="6" t="s">
        <v>802</v>
      </c>
      <c r="B768" s="6" t="s">
        <v>55</v>
      </c>
      <c r="C768" s="6">
        <v>125</v>
      </c>
      <c r="D768" s="7" t="s">
        <v>19</v>
      </c>
      <c r="E768" s="11">
        <v>45198</v>
      </c>
      <c r="F768" s="10">
        <v>116</v>
      </c>
      <c r="G768" s="6">
        <v>4.4000000000000004</v>
      </c>
      <c r="H768" s="6">
        <f>IF(MONTH(Data!$E768)&lt;=6, YEAR(Data!$E768), YEAR(Data!$E768)+1)</f>
        <v>2024</v>
      </c>
      <c r="I768" s="6" t="str">
        <f>TEXT(Data!$E768,"DDDD")</f>
        <v>Friday</v>
      </c>
      <c r="J768" s="6" t="s">
        <v>25</v>
      </c>
      <c r="K768" s="6">
        <f>ROUND(Data!$G768,0)</f>
        <v>4</v>
      </c>
      <c r="L768" t="str" cm="1">
        <f t="array" ref="L768">_xlfn.IFS(C768&lt;=15,"Very Short",C768&lt;=30,"Short",C768&lt;=60,"Medium",C768&gt;60,"Long")</f>
        <v>Long</v>
      </c>
      <c r="M768" t="str" cm="1">
        <f t="array" ref="M768">_xlfn.IFS(F768&lt;=50,"Low",F768&lt;=100,"Medium",F768&lt;=150,"High",F768&gt;150,"Very High")</f>
        <v>High</v>
      </c>
    </row>
    <row r="769" spans="1:13" ht="14.25" customHeight="1" x14ac:dyDescent="0.4">
      <c r="A769" s="6" t="s">
        <v>803</v>
      </c>
      <c r="B769" s="6" t="s">
        <v>16</v>
      </c>
      <c r="C769" s="6">
        <v>70</v>
      </c>
      <c r="D769" s="7" t="s">
        <v>19</v>
      </c>
      <c r="E769" s="11">
        <v>45198</v>
      </c>
      <c r="F769" s="10">
        <v>29</v>
      </c>
      <c r="G769" s="6">
        <v>2.1</v>
      </c>
      <c r="H769" s="6">
        <f>IF(MONTH(Data!$E769)&lt;=6, YEAR(Data!$E769), YEAR(Data!$E769)+1)</f>
        <v>2024</v>
      </c>
      <c r="I769" s="6" t="str">
        <f>TEXT(Data!$E769,"DDDD")</f>
        <v>Friday</v>
      </c>
      <c r="J769" s="6" t="s">
        <v>14</v>
      </c>
      <c r="K769" s="6">
        <f>ROUND(Data!$G769,0)</f>
        <v>2</v>
      </c>
      <c r="L769" t="str" cm="1">
        <f t="array" ref="L769">_xlfn.IFS(C769&lt;=15,"Very Short",C769&lt;=30,"Short",C769&lt;=60,"Medium",C769&gt;60,"Long")</f>
        <v>Long</v>
      </c>
      <c r="M769" t="str" cm="1">
        <f t="array" ref="M769">_xlfn.IFS(F769&lt;=50,"Low",F769&lt;=100,"Medium",F769&lt;=150,"High",F769&gt;150,"Very High")</f>
        <v>Low</v>
      </c>
    </row>
    <row r="770" spans="1:13" ht="14.25" customHeight="1" x14ac:dyDescent="0.4">
      <c r="A770" s="6" t="s">
        <v>804</v>
      </c>
      <c r="B770" s="6" t="s">
        <v>46</v>
      </c>
      <c r="C770" s="6">
        <v>93</v>
      </c>
      <c r="D770" s="7" t="s">
        <v>31</v>
      </c>
      <c r="E770" s="11">
        <v>45199</v>
      </c>
      <c r="F770" s="10">
        <v>170</v>
      </c>
      <c r="G770" s="6">
        <v>2.2000000000000002</v>
      </c>
      <c r="H770" s="6">
        <f>IF(MONTH(Data!$E770)&lt;=6, YEAR(Data!$E770), YEAR(Data!$E770)+1)</f>
        <v>2024</v>
      </c>
      <c r="I770" s="6" t="str">
        <f>TEXT(Data!$E770,"DDDD")</f>
        <v>Saturday</v>
      </c>
      <c r="J770" s="6" t="s">
        <v>14</v>
      </c>
      <c r="K770" s="6">
        <f>ROUND(Data!$G770,0)</f>
        <v>2</v>
      </c>
      <c r="L770" t="str" cm="1">
        <f t="array" ref="L770">_xlfn.IFS(C770&lt;=15,"Very Short",C770&lt;=30,"Short",C770&lt;=60,"Medium",C770&gt;60,"Long")</f>
        <v>Long</v>
      </c>
      <c r="M770" t="str" cm="1">
        <f t="array" ref="M770">_xlfn.IFS(F770&lt;=50,"Low",F770&lt;=100,"Medium",F770&lt;=150,"High",F770&gt;150,"Very High")</f>
        <v>Very High</v>
      </c>
    </row>
    <row r="771" spans="1:13" ht="14.25" customHeight="1" x14ac:dyDescent="0.4">
      <c r="A771" s="6" t="s">
        <v>805</v>
      </c>
      <c r="B771" s="6" t="s">
        <v>16</v>
      </c>
      <c r="C771" s="6">
        <v>120</v>
      </c>
      <c r="D771" s="7" t="s">
        <v>35</v>
      </c>
      <c r="E771" s="11">
        <v>45199</v>
      </c>
      <c r="F771" s="10">
        <v>68</v>
      </c>
      <c r="G771" s="6">
        <v>3.4</v>
      </c>
      <c r="H771" s="6">
        <f>IF(MONTH(Data!$E771)&lt;=6, YEAR(Data!$E771), YEAR(Data!$E771)+1)</f>
        <v>2024</v>
      </c>
      <c r="I771" s="6" t="str">
        <f>TEXT(Data!$E771,"DDDD")</f>
        <v>Saturday</v>
      </c>
      <c r="J771" s="6" t="s">
        <v>14</v>
      </c>
      <c r="K771" s="6">
        <f>ROUND(Data!$G771,0)</f>
        <v>3</v>
      </c>
      <c r="L771" t="str" cm="1">
        <f t="array" ref="L771">_xlfn.IFS(C771&lt;=15,"Very Short",C771&lt;=30,"Short",C771&lt;=60,"Medium",C771&gt;60,"Long")</f>
        <v>Long</v>
      </c>
      <c r="M771" t="str" cm="1">
        <f t="array" ref="M771">_xlfn.IFS(F771&lt;=50,"Low",F771&lt;=100,"Medium",F771&lt;=150,"High",F771&gt;150,"Very High")</f>
        <v>Medium</v>
      </c>
    </row>
    <row r="772" spans="1:13" ht="14.25" customHeight="1" x14ac:dyDescent="0.4">
      <c r="A772" s="6" t="s">
        <v>806</v>
      </c>
      <c r="B772" s="6" t="s">
        <v>23</v>
      </c>
      <c r="C772" s="6">
        <v>96</v>
      </c>
      <c r="D772" s="7" t="s">
        <v>13</v>
      </c>
      <c r="E772" s="11">
        <v>45199</v>
      </c>
      <c r="F772" s="10">
        <v>195</v>
      </c>
      <c r="G772" s="6">
        <v>2.7</v>
      </c>
      <c r="H772" s="6">
        <f>IF(MONTH(Data!$E772)&lt;=6, YEAR(Data!$E772), YEAR(Data!$E772)+1)</f>
        <v>2024</v>
      </c>
      <c r="I772" s="6" t="str">
        <f>TEXT(Data!$E772,"DDDD")</f>
        <v>Saturday</v>
      </c>
      <c r="J772" s="6" t="s">
        <v>14</v>
      </c>
      <c r="K772" s="6">
        <f>ROUND(Data!$G772,0)</f>
        <v>3</v>
      </c>
      <c r="L772" t="str" cm="1">
        <f t="array" ref="L772">_xlfn.IFS(C772&lt;=15,"Very Short",C772&lt;=30,"Short",C772&lt;=60,"Medium",C772&gt;60,"Long")</f>
        <v>Long</v>
      </c>
      <c r="M772" t="str" cm="1">
        <f t="array" ref="M772">_xlfn.IFS(F772&lt;=50,"Low",F772&lt;=100,"Medium",F772&lt;=150,"High",F772&gt;150,"Very High")</f>
        <v>Very High</v>
      </c>
    </row>
    <row r="773" spans="1:13" ht="14.25" customHeight="1" x14ac:dyDescent="0.4">
      <c r="A773" s="6" t="s">
        <v>807</v>
      </c>
      <c r="B773" s="6" t="s">
        <v>21</v>
      </c>
      <c r="C773" s="6">
        <v>67</v>
      </c>
      <c r="D773" s="7" t="s">
        <v>13</v>
      </c>
      <c r="E773" s="11">
        <v>45199</v>
      </c>
      <c r="F773" s="10">
        <v>96</v>
      </c>
      <c r="G773" s="6">
        <v>3.7</v>
      </c>
      <c r="H773" s="6">
        <f>IF(MONTH(Data!$E773)&lt;=6, YEAR(Data!$E773), YEAR(Data!$E773)+1)</f>
        <v>2024</v>
      </c>
      <c r="I773" s="6" t="str">
        <f>TEXT(Data!$E773,"DDDD")</f>
        <v>Saturday</v>
      </c>
      <c r="J773" s="6" t="s">
        <v>14</v>
      </c>
      <c r="K773" s="6">
        <f>ROUND(Data!$G773,0)</f>
        <v>4</v>
      </c>
      <c r="L773" t="str" cm="1">
        <f t="array" ref="L773">_xlfn.IFS(C773&lt;=15,"Very Short",C773&lt;=30,"Short",C773&lt;=60,"Medium",C773&gt;60,"Long")</f>
        <v>Long</v>
      </c>
      <c r="M773" t="str" cm="1">
        <f t="array" ref="M773">_xlfn.IFS(F773&lt;=50,"Low",F773&lt;=100,"Medium",F773&lt;=150,"High",F773&gt;150,"Very High")</f>
        <v>Medium</v>
      </c>
    </row>
    <row r="774" spans="1:13" ht="14.25" customHeight="1" x14ac:dyDescent="0.4">
      <c r="A774" s="6" t="s">
        <v>808</v>
      </c>
      <c r="B774" s="6" t="s">
        <v>55</v>
      </c>
      <c r="C774" s="6">
        <v>119</v>
      </c>
      <c r="D774" s="7" t="s">
        <v>13</v>
      </c>
      <c r="E774" s="11">
        <v>45199</v>
      </c>
      <c r="F774" s="10">
        <v>96</v>
      </c>
      <c r="G774" s="6">
        <v>3.1</v>
      </c>
      <c r="H774" s="6">
        <f>IF(MONTH(Data!$E774)&lt;=6, YEAR(Data!$E774), YEAR(Data!$E774)+1)</f>
        <v>2024</v>
      </c>
      <c r="I774" s="6" t="str">
        <f>TEXT(Data!$E774,"DDDD")</f>
        <v>Saturday</v>
      </c>
      <c r="J774" s="6" t="s">
        <v>14</v>
      </c>
      <c r="K774" s="6">
        <f>ROUND(Data!$G774,0)</f>
        <v>3</v>
      </c>
      <c r="L774" t="str" cm="1">
        <f t="array" ref="L774">_xlfn.IFS(C774&lt;=15,"Very Short",C774&lt;=30,"Short",C774&lt;=60,"Medium",C774&gt;60,"Long")</f>
        <v>Long</v>
      </c>
      <c r="M774" t="str" cm="1">
        <f t="array" ref="M774">_xlfn.IFS(F774&lt;=50,"Low",F774&lt;=100,"Medium",F774&lt;=150,"High",F774&gt;150,"Very High")</f>
        <v>Medium</v>
      </c>
    </row>
    <row r="775" spans="1:13" ht="14.25" customHeight="1" x14ac:dyDescent="0.4">
      <c r="A775" s="6" t="s">
        <v>809</v>
      </c>
      <c r="B775" s="6" t="s">
        <v>88</v>
      </c>
      <c r="C775" s="6">
        <v>61</v>
      </c>
      <c r="D775" s="7" t="s">
        <v>24</v>
      </c>
      <c r="E775" s="11">
        <v>45199</v>
      </c>
      <c r="F775" s="10">
        <v>117</v>
      </c>
      <c r="G775" s="6">
        <v>4.0999999999999996</v>
      </c>
      <c r="H775" s="6">
        <f>IF(MONTH(Data!$E775)&lt;=6, YEAR(Data!$E775), YEAR(Data!$E775)+1)</f>
        <v>2024</v>
      </c>
      <c r="I775" s="6" t="str">
        <f>TEXT(Data!$E775,"DDDD")</f>
        <v>Saturday</v>
      </c>
      <c r="J775" s="6" t="s">
        <v>14</v>
      </c>
      <c r="K775" s="6">
        <f>ROUND(Data!$G775,0)</f>
        <v>4</v>
      </c>
      <c r="L775" t="str" cm="1">
        <f t="array" ref="L775">_xlfn.IFS(C775&lt;=15,"Very Short",C775&lt;=30,"Short",C775&lt;=60,"Medium",C775&gt;60,"Long")</f>
        <v>Long</v>
      </c>
      <c r="M775" t="str" cm="1">
        <f t="array" ref="M775">_xlfn.IFS(F775&lt;=50,"Low",F775&lt;=100,"Medium",F775&lt;=150,"High",F775&gt;150,"Very High")</f>
        <v>High</v>
      </c>
    </row>
    <row r="776" spans="1:13" ht="14.25" customHeight="1" x14ac:dyDescent="0.4">
      <c r="A776" s="6" t="s">
        <v>810</v>
      </c>
      <c r="B776" s="6" t="s">
        <v>23</v>
      </c>
      <c r="C776" s="6">
        <v>29</v>
      </c>
      <c r="D776" s="7" t="s">
        <v>31</v>
      </c>
      <c r="E776" s="11">
        <v>45199</v>
      </c>
      <c r="F776" s="10">
        <v>80</v>
      </c>
      <c r="G776" s="6">
        <v>4.8</v>
      </c>
      <c r="H776" s="6">
        <f>IF(MONTH(Data!$E776)&lt;=6, YEAR(Data!$E776), YEAR(Data!$E776)+1)</f>
        <v>2024</v>
      </c>
      <c r="I776" s="6" t="str">
        <f>TEXT(Data!$E776,"DDDD")</f>
        <v>Saturday</v>
      </c>
      <c r="J776" s="6" t="s">
        <v>47</v>
      </c>
      <c r="K776" s="6">
        <f>ROUND(Data!$G776,0)</f>
        <v>5</v>
      </c>
      <c r="L776" t="str" cm="1">
        <f t="array" ref="L776">_xlfn.IFS(C776&lt;=15,"Very Short",C776&lt;=30,"Short",C776&lt;=60,"Medium",C776&gt;60,"Long")</f>
        <v>Short</v>
      </c>
      <c r="M776" t="str" cm="1">
        <f t="array" ref="M776">_xlfn.IFS(F776&lt;=50,"Low",F776&lt;=100,"Medium",F776&lt;=150,"High",F776&gt;150,"Very High")</f>
        <v>Medium</v>
      </c>
    </row>
    <row r="777" spans="1:13" ht="14.25" customHeight="1" x14ac:dyDescent="0.4">
      <c r="A777" s="6" t="s">
        <v>811</v>
      </c>
      <c r="B777" s="6" t="s">
        <v>40</v>
      </c>
      <c r="C777" s="6">
        <v>134</v>
      </c>
      <c r="D777" s="7" t="s">
        <v>35</v>
      </c>
      <c r="E777" s="11">
        <v>45199</v>
      </c>
      <c r="F777" s="10">
        <v>117</v>
      </c>
      <c r="G777" s="6">
        <v>4</v>
      </c>
      <c r="H777" s="6">
        <f>IF(MONTH(Data!$E777)&lt;=6, YEAR(Data!$E777), YEAR(Data!$E777)+1)</f>
        <v>2024</v>
      </c>
      <c r="I777" s="6" t="str">
        <f>TEXT(Data!$E777,"DDDD")</f>
        <v>Saturday</v>
      </c>
      <c r="J777" s="6" t="s">
        <v>25</v>
      </c>
      <c r="K777" s="6">
        <f>ROUND(Data!$G777,0)</f>
        <v>4</v>
      </c>
      <c r="L777" t="str" cm="1">
        <f t="array" ref="L777">_xlfn.IFS(C777&lt;=15,"Very Short",C777&lt;=30,"Short",C777&lt;=60,"Medium",C777&gt;60,"Long")</f>
        <v>Long</v>
      </c>
      <c r="M777" t="str" cm="1">
        <f t="array" ref="M777">_xlfn.IFS(F777&lt;=50,"Low",F777&lt;=100,"Medium",F777&lt;=150,"High",F777&gt;150,"Very High")</f>
        <v>High</v>
      </c>
    </row>
    <row r="778" spans="1:13" ht="14.25" customHeight="1" x14ac:dyDescent="0.4">
      <c r="A778" s="6" t="s">
        <v>812</v>
      </c>
      <c r="B778" s="6" t="s">
        <v>50</v>
      </c>
      <c r="C778" s="6">
        <v>113</v>
      </c>
      <c r="D778" s="7" t="s">
        <v>13</v>
      </c>
      <c r="E778" s="11">
        <v>45200</v>
      </c>
      <c r="F778" s="10">
        <v>40</v>
      </c>
      <c r="G778" s="6">
        <v>3</v>
      </c>
      <c r="H778" s="6">
        <f>IF(MONTH(Data!$E778)&lt;=6, YEAR(Data!$E778), YEAR(Data!$E778)+1)</f>
        <v>2024</v>
      </c>
      <c r="I778" s="6" t="str">
        <f>TEXT(Data!$E778,"DDDD")</f>
        <v>Sunday</v>
      </c>
      <c r="J778" s="6" t="s">
        <v>14</v>
      </c>
      <c r="K778" s="6">
        <f>ROUND(Data!$G778,0)</f>
        <v>3</v>
      </c>
      <c r="L778" t="str" cm="1">
        <f t="array" ref="L778">_xlfn.IFS(C778&lt;=15,"Very Short",C778&lt;=30,"Short",C778&lt;=60,"Medium",C778&gt;60,"Long")</f>
        <v>Long</v>
      </c>
      <c r="M778" t="str" cm="1">
        <f t="array" ref="M778">_xlfn.IFS(F778&lt;=50,"Low",F778&lt;=100,"Medium",F778&lt;=150,"High",F778&gt;150,"Very High")</f>
        <v>Low</v>
      </c>
    </row>
    <row r="779" spans="1:13" ht="14.25" customHeight="1" x14ac:dyDescent="0.4">
      <c r="A779" s="6" t="s">
        <v>813</v>
      </c>
      <c r="B779" s="6" t="s">
        <v>68</v>
      </c>
      <c r="C779" s="6">
        <v>12</v>
      </c>
      <c r="D779" s="7" t="s">
        <v>35</v>
      </c>
      <c r="E779" s="11">
        <v>45200</v>
      </c>
      <c r="F779" s="10">
        <v>117</v>
      </c>
      <c r="G779" s="6">
        <v>4.8</v>
      </c>
      <c r="H779" s="6">
        <f>IF(MONTH(Data!$E779)&lt;=6, YEAR(Data!$E779), YEAR(Data!$E779)+1)</f>
        <v>2024</v>
      </c>
      <c r="I779" s="6" t="str">
        <f>TEXT(Data!$E779,"DDDD")</f>
        <v>Sunday</v>
      </c>
      <c r="J779" s="6" t="s">
        <v>47</v>
      </c>
      <c r="K779" s="6">
        <f>ROUND(Data!$G779,0)</f>
        <v>5</v>
      </c>
      <c r="L779" t="str" cm="1">
        <f t="array" ref="L779">_xlfn.IFS(C779&lt;=15,"Very Short",C779&lt;=30,"Short",C779&lt;=60,"Medium",C779&gt;60,"Long")</f>
        <v>Very Short</v>
      </c>
      <c r="M779" t="str" cm="1">
        <f t="array" ref="M779">_xlfn.IFS(F779&lt;=50,"Low",F779&lt;=100,"Medium",F779&lt;=150,"High",F779&gt;150,"Very High")</f>
        <v>High</v>
      </c>
    </row>
    <row r="780" spans="1:13" ht="14.25" customHeight="1" x14ac:dyDescent="0.4">
      <c r="A780" s="6" t="s">
        <v>814</v>
      </c>
      <c r="B780" s="6" t="s">
        <v>38</v>
      </c>
      <c r="C780" s="6">
        <v>78</v>
      </c>
      <c r="D780" s="7" t="s">
        <v>31</v>
      </c>
      <c r="E780" s="11">
        <v>45200</v>
      </c>
      <c r="F780" s="10">
        <v>135</v>
      </c>
      <c r="G780" s="6">
        <v>4.0999999999999996</v>
      </c>
      <c r="H780" s="6">
        <f>IF(MONTH(Data!$E780)&lt;=6, YEAR(Data!$E780), YEAR(Data!$E780)+1)</f>
        <v>2024</v>
      </c>
      <c r="I780" s="6" t="str">
        <f>TEXT(Data!$E780,"DDDD")</f>
        <v>Sunday</v>
      </c>
      <c r="J780" s="6" t="s">
        <v>14</v>
      </c>
      <c r="K780" s="6">
        <f>ROUND(Data!$G780,0)</f>
        <v>4</v>
      </c>
      <c r="L780" t="str" cm="1">
        <f t="array" ref="L780">_xlfn.IFS(C780&lt;=15,"Very Short",C780&lt;=30,"Short",C780&lt;=60,"Medium",C780&gt;60,"Long")</f>
        <v>Long</v>
      </c>
      <c r="M780" t="str" cm="1">
        <f t="array" ref="M780">_xlfn.IFS(F780&lt;=50,"Low",F780&lt;=100,"Medium",F780&lt;=150,"High",F780&gt;150,"Very High")</f>
        <v>High</v>
      </c>
    </row>
    <row r="781" spans="1:13" ht="14.25" customHeight="1" x14ac:dyDescent="0.4">
      <c r="A781" s="6" t="s">
        <v>815</v>
      </c>
      <c r="B781" s="6" t="s">
        <v>55</v>
      </c>
      <c r="C781" s="6">
        <v>82</v>
      </c>
      <c r="D781" s="7" t="s">
        <v>19</v>
      </c>
      <c r="E781" s="11">
        <v>45200</v>
      </c>
      <c r="F781" s="10">
        <v>99</v>
      </c>
      <c r="G781" s="6">
        <v>4.2</v>
      </c>
      <c r="H781" s="6">
        <f>IF(MONTH(Data!$E781)&lt;=6, YEAR(Data!$E781), YEAR(Data!$E781)+1)</f>
        <v>2024</v>
      </c>
      <c r="I781" s="6" t="str">
        <f>TEXT(Data!$E781,"DDDD")</f>
        <v>Sunday</v>
      </c>
      <c r="J781" s="6" t="s">
        <v>14</v>
      </c>
      <c r="K781" s="6">
        <f>ROUND(Data!$G781,0)</f>
        <v>4</v>
      </c>
      <c r="L781" t="str" cm="1">
        <f t="array" ref="L781">_xlfn.IFS(C781&lt;=15,"Very Short",C781&lt;=30,"Short",C781&lt;=60,"Medium",C781&gt;60,"Long")</f>
        <v>Long</v>
      </c>
      <c r="M781" t="str" cm="1">
        <f t="array" ref="M781">_xlfn.IFS(F781&lt;=50,"Low",F781&lt;=100,"Medium",F781&lt;=150,"High",F781&gt;150,"Very High")</f>
        <v>Medium</v>
      </c>
    </row>
    <row r="782" spans="1:13" ht="14.25" customHeight="1" x14ac:dyDescent="0.4">
      <c r="A782" s="6" t="s">
        <v>816</v>
      </c>
      <c r="B782" s="6" t="s">
        <v>34</v>
      </c>
      <c r="C782" s="6">
        <v>149</v>
      </c>
      <c r="D782" s="7" t="s">
        <v>24</v>
      </c>
      <c r="E782" s="11">
        <v>45200</v>
      </c>
      <c r="F782" s="10">
        <v>130</v>
      </c>
      <c r="G782" s="6">
        <v>3.3</v>
      </c>
      <c r="H782" s="6">
        <f>IF(MONTH(Data!$E782)&lt;=6, YEAR(Data!$E782), YEAR(Data!$E782)+1)</f>
        <v>2024</v>
      </c>
      <c r="I782" s="6" t="str">
        <f>TEXT(Data!$E782,"DDDD")</f>
        <v>Sunday</v>
      </c>
      <c r="J782" s="6" t="s">
        <v>25</v>
      </c>
      <c r="K782" s="6">
        <f>ROUND(Data!$G782,0)</f>
        <v>3</v>
      </c>
      <c r="L782" t="str" cm="1">
        <f t="array" ref="L782">_xlfn.IFS(C782&lt;=15,"Very Short",C782&lt;=30,"Short",C782&lt;=60,"Medium",C782&gt;60,"Long")</f>
        <v>Long</v>
      </c>
      <c r="M782" t="str" cm="1">
        <f t="array" ref="M782">_xlfn.IFS(F782&lt;=50,"Low",F782&lt;=100,"Medium",F782&lt;=150,"High",F782&gt;150,"Very High")</f>
        <v>High</v>
      </c>
    </row>
    <row r="783" spans="1:13" ht="14.25" customHeight="1" x14ac:dyDescent="0.4">
      <c r="A783" s="6" t="s">
        <v>817</v>
      </c>
      <c r="B783" s="6" t="s">
        <v>29</v>
      </c>
      <c r="C783" s="6">
        <v>56</v>
      </c>
      <c r="D783" s="7" t="s">
        <v>35</v>
      </c>
      <c r="E783" s="11">
        <v>45200</v>
      </c>
      <c r="F783" s="10">
        <v>96</v>
      </c>
      <c r="G783" s="6">
        <v>4.7</v>
      </c>
      <c r="H783" s="6">
        <f>IF(MONTH(Data!$E783)&lt;=6, YEAR(Data!$E783), YEAR(Data!$E783)+1)</f>
        <v>2024</v>
      </c>
      <c r="I783" s="6" t="str">
        <f>TEXT(Data!$E783,"DDDD")</f>
        <v>Sunday</v>
      </c>
      <c r="J783" s="6" t="s">
        <v>27</v>
      </c>
      <c r="K783" s="6">
        <f>ROUND(Data!$G783,0)</f>
        <v>5</v>
      </c>
      <c r="L783" t="str" cm="1">
        <f t="array" ref="L783">_xlfn.IFS(C783&lt;=15,"Very Short",C783&lt;=30,"Short",C783&lt;=60,"Medium",C783&gt;60,"Long")</f>
        <v>Medium</v>
      </c>
      <c r="M783" t="str" cm="1">
        <f t="array" ref="M783">_xlfn.IFS(F783&lt;=50,"Low",F783&lt;=100,"Medium",F783&lt;=150,"High",F783&gt;150,"Very High")</f>
        <v>Medium</v>
      </c>
    </row>
    <row r="784" spans="1:13" ht="14.25" customHeight="1" x14ac:dyDescent="0.4">
      <c r="A784" s="6" t="s">
        <v>818</v>
      </c>
      <c r="B784" s="6" t="s">
        <v>23</v>
      </c>
      <c r="C784" s="6">
        <v>80</v>
      </c>
      <c r="D784" s="7" t="s">
        <v>24</v>
      </c>
      <c r="E784" s="11">
        <v>45200</v>
      </c>
      <c r="F784" s="10">
        <v>128</v>
      </c>
      <c r="G784" s="6">
        <v>3.7</v>
      </c>
      <c r="H784" s="6">
        <f>IF(MONTH(Data!$E784)&lt;=6, YEAR(Data!$E784), YEAR(Data!$E784)+1)</f>
        <v>2024</v>
      </c>
      <c r="I784" s="6" t="str">
        <f>TEXT(Data!$E784,"DDDD")</f>
        <v>Sunday</v>
      </c>
      <c r="J784" s="6" t="s">
        <v>14</v>
      </c>
      <c r="K784" s="6">
        <f>ROUND(Data!$G784,0)</f>
        <v>4</v>
      </c>
      <c r="L784" t="str" cm="1">
        <f t="array" ref="L784">_xlfn.IFS(C784&lt;=15,"Very Short",C784&lt;=30,"Short",C784&lt;=60,"Medium",C784&gt;60,"Long")</f>
        <v>Long</v>
      </c>
      <c r="M784" t="str" cm="1">
        <f t="array" ref="M784">_xlfn.IFS(F784&lt;=50,"Low",F784&lt;=100,"Medium",F784&lt;=150,"High",F784&gt;150,"Very High")</f>
        <v>High</v>
      </c>
    </row>
    <row r="785" spans="1:13" ht="14.25" customHeight="1" x14ac:dyDescent="0.4">
      <c r="A785" s="6" t="s">
        <v>819</v>
      </c>
      <c r="B785" s="6" t="s">
        <v>88</v>
      </c>
      <c r="C785" s="6">
        <v>131</v>
      </c>
      <c r="D785" s="7" t="s">
        <v>13</v>
      </c>
      <c r="E785" s="11">
        <v>45200</v>
      </c>
      <c r="F785" s="10">
        <v>69</v>
      </c>
      <c r="G785" s="6">
        <v>4.7</v>
      </c>
      <c r="H785" s="6">
        <f>IF(MONTH(Data!$E785)&lt;=6, YEAR(Data!$E785), YEAR(Data!$E785)+1)</f>
        <v>2024</v>
      </c>
      <c r="I785" s="6" t="str">
        <f>TEXT(Data!$E785,"DDDD")</f>
        <v>Sunday</v>
      </c>
      <c r="J785" s="6" t="s">
        <v>25</v>
      </c>
      <c r="K785" s="6">
        <f>ROUND(Data!$G785,0)</f>
        <v>5</v>
      </c>
      <c r="L785" t="str" cm="1">
        <f t="array" ref="L785">_xlfn.IFS(C785&lt;=15,"Very Short",C785&lt;=30,"Short",C785&lt;=60,"Medium",C785&gt;60,"Long")</f>
        <v>Long</v>
      </c>
      <c r="M785" t="str" cm="1">
        <f t="array" ref="M785">_xlfn.IFS(F785&lt;=50,"Low",F785&lt;=100,"Medium",F785&lt;=150,"High",F785&gt;150,"Very High")</f>
        <v>Medium</v>
      </c>
    </row>
    <row r="786" spans="1:13" ht="14.25" customHeight="1" x14ac:dyDescent="0.4">
      <c r="A786" s="6" t="s">
        <v>820</v>
      </c>
      <c r="B786" s="6" t="s">
        <v>88</v>
      </c>
      <c r="C786" s="6">
        <v>109</v>
      </c>
      <c r="D786" s="7" t="s">
        <v>13</v>
      </c>
      <c r="E786" s="11">
        <v>45200</v>
      </c>
      <c r="F786" s="10">
        <v>44</v>
      </c>
      <c r="G786" s="6">
        <v>4.5999999999999996</v>
      </c>
      <c r="H786" s="6">
        <f>IF(MONTH(Data!$E786)&lt;=6, YEAR(Data!$E786), YEAR(Data!$E786)+1)</f>
        <v>2024</v>
      </c>
      <c r="I786" s="6" t="str">
        <f>TEXT(Data!$E786,"DDDD")</f>
        <v>Sunday</v>
      </c>
      <c r="J786" s="6" t="s">
        <v>14</v>
      </c>
      <c r="K786" s="6">
        <f>ROUND(Data!$G786,0)</f>
        <v>5</v>
      </c>
      <c r="L786" t="str" cm="1">
        <f t="array" ref="L786">_xlfn.IFS(C786&lt;=15,"Very Short",C786&lt;=30,"Short",C786&lt;=60,"Medium",C786&gt;60,"Long")</f>
        <v>Long</v>
      </c>
      <c r="M786" t="str" cm="1">
        <f t="array" ref="M786">_xlfn.IFS(F786&lt;=50,"Low",F786&lt;=100,"Medium",F786&lt;=150,"High",F786&gt;150,"Very High")</f>
        <v>Low</v>
      </c>
    </row>
    <row r="787" spans="1:13" ht="14.25" customHeight="1" x14ac:dyDescent="0.4">
      <c r="A787" s="6" t="s">
        <v>821</v>
      </c>
      <c r="B787" s="6" t="s">
        <v>29</v>
      </c>
      <c r="C787" s="6">
        <v>142</v>
      </c>
      <c r="D787" s="7" t="s">
        <v>13</v>
      </c>
      <c r="E787" s="11">
        <v>45200</v>
      </c>
      <c r="F787" s="10">
        <v>44</v>
      </c>
      <c r="G787" s="6">
        <v>4.8</v>
      </c>
      <c r="H787" s="6">
        <f>IF(MONTH(Data!$E787)&lt;=6, YEAR(Data!$E787), YEAR(Data!$E787)+1)</f>
        <v>2024</v>
      </c>
      <c r="I787" s="6" t="str">
        <f>TEXT(Data!$E787,"DDDD")</f>
        <v>Sunday</v>
      </c>
      <c r="J787" s="6" t="s">
        <v>25</v>
      </c>
      <c r="K787" s="6">
        <f>ROUND(Data!$G787,0)</f>
        <v>5</v>
      </c>
      <c r="L787" t="str" cm="1">
        <f t="array" ref="L787">_xlfn.IFS(C787&lt;=15,"Very Short",C787&lt;=30,"Short",C787&lt;=60,"Medium",C787&gt;60,"Long")</f>
        <v>Long</v>
      </c>
      <c r="M787" t="str" cm="1">
        <f t="array" ref="M787">_xlfn.IFS(F787&lt;=50,"Low",F787&lt;=100,"Medium",F787&lt;=150,"High",F787&gt;150,"Very High")</f>
        <v>Low</v>
      </c>
    </row>
    <row r="788" spans="1:13" ht="14.25" customHeight="1" x14ac:dyDescent="0.4">
      <c r="A788" s="6" t="s">
        <v>822</v>
      </c>
      <c r="B788" s="6" t="s">
        <v>46</v>
      </c>
      <c r="C788" s="6">
        <v>114</v>
      </c>
      <c r="D788" s="7" t="s">
        <v>35</v>
      </c>
      <c r="E788" s="11">
        <v>45201</v>
      </c>
      <c r="F788" s="10">
        <v>135</v>
      </c>
      <c r="G788" s="6">
        <v>2</v>
      </c>
      <c r="H788" s="6">
        <f>IF(MONTH(Data!$E788)&lt;=6, YEAR(Data!$E788), YEAR(Data!$E788)+1)</f>
        <v>2024</v>
      </c>
      <c r="I788" s="6" t="str">
        <f>TEXT(Data!$E788,"DDDD")</f>
        <v>Monday</v>
      </c>
      <c r="J788" s="6" t="s">
        <v>14</v>
      </c>
      <c r="K788" s="6">
        <f>ROUND(Data!$G788,0)</f>
        <v>2</v>
      </c>
      <c r="L788" t="str" cm="1">
        <f t="array" ref="L788">_xlfn.IFS(C788&lt;=15,"Very Short",C788&lt;=30,"Short",C788&lt;=60,"Medium",C788&gt;60,"Long")</f>
        <v>Long</v>
      </c>
      <c r="M788" t="str" cm="1">
        <f t="array" ref="M788">_xlfn.IFS(F788&lt;=50,"Low",F788&lt;=100,"Medium",F788&lt;=150,"High",F788&gt;150,"Very High")</f>
        <v>High</v>
      </c>
    </row>
    <row r="789" spans="1:13" ht="14.25" customHeight="1" x14ac:dyDescent="0.4">
      <c r="A789" s="6" t="s">
        <v>823</v>
      </c>
      <c r="B789" s="6" t="s">
        <v>21</v>
      </c>
      <c r="C789" s="6">
        <v>93</v>
      </c>
      <c r="D789" s="7" t="s">
        <v>24</v>
      </c>
      <c r="E789" s="11">
        <v>45201</v>
      </c>
      <c r="F789" s="10">
        <v>45</v>
      </c>
      <c r="G789" s="6">
        <v>3.9</v>
      </c>
      <c r="H789" s="6">
        <f>IF(MONTH(Data!$E789)&lt;=6, YEAR(Data!$E789), YEAR(Data!$E789)+1)</f>
        <v>2024</v>
      </c>
      <c r="I789" s="6" t="str">
        <f>TEXT(Data!$E789,"DDDD")</f>
        <v>Monday</v>
      </c>
      <c r="J789" s="6" t="s">
        <v>14</v>
      </c>
      <c r="K789" s="6">
        <f>ROUND(Data!$G789,0)</f>
        <v>4</v>
      </c>
      <c r="L789" t="str" cm="1">
        <f t="array" ref="L789">_xlfn.IFS(C789&lt;=15,"Very Short",C789&lt;=30,"Short",C789&lt;=60,"Medium",C789&gt;60,"Long")</f>
        <v>Long</v>
      </c>
      <c r="M789" t="str" cm="1">
        <f t="array" ref="M789">_xlfn.IFS(F789&lt;=50,"Low",F789&lt;=100,"Medium",F789&lt;=150,"High",F789&gt;150,"Very High")</f>
        <v>Low</v>
      </c>
    </row>
    <row r="790" spans="1:13" ht="14.25" customHeight="1" x14ac:dyDescent="0.4">
      <c r="A790" s="6" t="s">
        <v>824</v>
      </c>
      <c r="B790" s="6" t="s">
        <v>68</v>
      </c>
      <c r="C790" s="6">
        <v>43</v>
      </c>
      <c r="D790" s="7" t="s">
        <v>24</v>
      </c>
      <c r="E790" s="11">
        <v>45201</v>
      </c>
      <c r="F790" s="10">
        <v>87</v>
      </c>
      <c r="G790" s="6">
        <v>3</v>
      </c>
      <c r="H790" s="6">
        <f>IF(MONTH(Data!$E790)&lt;=6, YEAR(Data!$E790), YEAR(Data!$E790)+1)</f>
        <v>2024</v>
      </c>
      <c r="I790" s="6" t="str">
        <f>TEXT(Data!$E790,"DDDD")</f>
        <v>Monday</v>
      </c>
      <c r="J790" s="6" t="s">
        <v>27</v>
      </c>
      <c r="K790" s="6">
        <f>ROUND(Data!$G790,0)</f>
        <v>3</v>
      </c>
      <c r="L790" t="str" cm="1">
        <f t="array" ref="L790">_xlfn.IFS(C790&lt;=15,"Very Short",C790&lt;=30,"Short",C790&lt;=60,"Medium",C790&gt;60,"Long")</f>
        <v>Medium</v>
      </c>
      <c r="M790" t="str" cm="1">
        <f t="array" ref="M790">_xlfn.IFS(F790&lt;=50,"Low",F790&lt;=100,"Medium",F790&lt;=150,"High",F790&gt;150,"Very High")</f>
        <v>Medium</v>
      </c>
    </row>
    <row r="791" spans="1:13" ht="14.25" customHeight="1" x14ac:dyDescent="0.4">
      <c r="A791" s="6" t="s">
        <v>825</v>
      </c>
      <c r="B791" s="6" t="s">
        <v>40</v>
      </c>
      <c r="C791" s="6">
        <v>78</v>
      </c>
      <c r="D791" s="7" t="s">
        <v>31</v>
      </c>
      <c r="E791" s="11">
        <v>45202</v>
      </c>
      <c r="F791" s="10">
        <v>84</v>
      </c>
      <c r="G791" s="6">
        <v>4.5999999999999996</v>
      </c>
      <c r="H791" s="6">
        <f>IF(MONTH(Data!$E791)&lt;=6, YEAR(Data!$E791), YEAR(Data!$E791)+1)</f>
        <v>2024</v>
      </c>
      <c r="I791" s="6" t="str">
        <f>TEXT(Data!$E791,"DDDD")</f>
        <v>Tuesday</v>
      </c>
      <c r="J791" s="6" t="s">
        <v>14</v>
      </c>
      <c r="K791" s="6">
        <f>ROUND(Data!$G791,0)</f>
        <v>5</v>
      </c>
      <c r="L791" t="str" cm="1">
        <f t="array" ref="L791">_xlfn.IFS(C791&lt;=15,"Very Short",C791&lt;=30,"Short",C791&lt;=60,"Medium",C791&gt;60,"Long")</f>
        <v>Long</v>
      </c>
      <c r="M791" t="str" cm="1">
        <f t="array" ref="M791">_xlfn.IFS(F791&lt;=50,"Low",F791&lt;=100,"Medium",F791&lt;=150,"High",F791&gt;150,"Very High")</f>
        <v>Medium</v>
      </c>
    </row>
    <row r="792" spans="1:13" ht="14.25" customHeight="1" x14ac:dyDescent="0.4">
      <c r="A792" s="6" t="s">
        <v>826</v>
      </c>
      <c r="B792" s="6" t="s">
        <v>46</v>
      </c>
      <c r="C792" s="6">
        <v>89</v>
      </c>
      <c r="D792" s="7" t="s">
        <v>13</v>
      </c>
      <c r="E792" s="11">
        <v>45202</v>
      </c>
      <c r="F792" s="10">
        <v>81</v>
      </c>
      <c r="G792" s="6">
        <v>3.8</v>
      </c>
      <c r="H792" s="6">
        <f>IF(MONTH(Data!$E792)&lt;=6, YEAR(Data!$E792), YEAR(Data!$E792)+1)</f>
        <v>2024</v>
      </c>
      <c r="I792" s="6" t="str">
        <f>TEXT(Data!$E792,"DDDD")</f>
        <v>Tuesday</v>
      </c>
      <c r="J792" s="6" t="s">
        <v>14</v>
      </c>
      <c r="K792" s="6">
        <f>ROUND(Data!$G792,0)</f>
        <v>4</v>
      </c>
      <c r="L792" t="str" cm="1">
        <f t="array" ref="L792">_xlfn.IFS(C792&lt;=15,"Very Short",C792&lt;=30,"Short",C792&lt;=60,"Medium",C792&gt;60,"Long")</f>
        <v>Long</v>
      </c>
      <c r="M792" t="str" cm="1">
        <f t="array" ref="M792">_xlfn.IFS(F792&lt;=50,"Low",F792&lt;=100,"Medium",F792&lt;=150,"High",F792&gt;150,"Very High")</f>
        <v>Medium</v>
      </c>
    </row>
    <row r="793" spans="1:13" ht="14.25" customHeight="1" x14ac:dyDescent="0.4">
      <c r="A793" s="6" t="s">
        <v>827</v>
      </c>
      <c r="B793" s="6" t="s">
        <v>29</v>
      </c>
      <c r="C793" s="6">
        <v>82</v>
      </c>
      <c r="D793" s="7" t="s">
        <v>19</v>
      </c>
      <c r="E793" s="11">
        <v>45202</v>
      </c>
      <c r="F793" s="10">
        <v>130</v>
      </c>
      <c r="G793" s="6">
        <v>4.4000000000000004</v>
      </c>
      <c r="H793" s="6">
        <f>IF(MONTH(Data!$E793)&lt;=6, YEAR(Data!$E793), YEAR(Data!$E793)+1)</f>
        <v>2024</v>
      </c>
      <c r="I793" s="6" t="str">
        <f>TEXT(Data!$E793,"DDDD")</f>
        <v>Tuesday</v>
      </c>
      <c r="J793" s="6" t="s">
        <v>14</v>
      </c>
      <c r="K793" s="6">
        <f>ROUND(Data!$G793,0)</f>
        <v>4</v>
      </c>
      <c r="L793" t="str" cm="1">
        <f t="array" ref="L793">_xlfn.IFS(C793&lt;=15,"Very Short",C793&lt;=30,"Short",C793&lt;=60,"Medium",C793&gt;60,"Long")</f>
        <v>Long</v>
      </c>
      <c r="M793" t="str" cm="1">
        <f t="array" ref="M793">_xlfn.IFS(F793&lt;=50,"Low",F793&lt;=100,"Medium",F793&lt;=150,"High",F793&gt;150,"Very High")</f>
        <v>High</v>
      </c>
    </row>
    <row r="794" spans="1:13" ht="14.25" customHeight="1" x14ac:dyDescent="0.4">
      <c r="A794" s="6" t="s">
        <v>828</v>
      </c>
      <c r="B794" s="6" t="s">
        <v>23</v>
      </c>
      <c r="C794" s="6">
        <v>86</v>
      </c>
      <c r="D794" s="7" t="s">
        <v>13</v>
      </c>
      <c r="E794" s="11">
        <v>45203</v>
      </c>
      <c r="F794" s="10">
        <v>92</v>
      </c>
      <c r="G794" s="6">
        <v>2.4</v>
      </c>
      <c r="H794" s="6">
        <f>IF(MONTH(Data!$E794)&lt;=6, YEAR(Data!$E794), YEAR(Data!$E794)+1)</f>
        <v>2024</v>
      </c>
      <c r="I794" s="6" t="str">
        <f>TEXT(Data!$E794,"DDDD")</f>
        <v>Wednesday</v>
      </c>
      <c r="J794" s="6" t="s">
        <v>14</v>
      </c>
      <c r="K794" s="6">
        <f>ROUND(Data!$G794,0)</f>
        <v>2</v>
      </c>
      <c r="L794" t="str" cm="1">
        <f t="array" ref="L794">_xlfn.IFS(C794&lt;=15,"Very Short",C794&lt;=30,"Short",C794&lt;=60,"Medium",C794&gt;60,"Long")</f>
        <v>Long</v>
      </c>
      <c r="M794" t="str" cm="1">
        <f t="array" ref="M794">_xlfn.IFS(F794&lt;=50,"Low",F794&lt;=100,"Medium",F794&lt;=150,"High",F794&gt;150,"Very High")</f>
        <v>Medium</v>
      </c>
    </row>
    <row r="795" spans="1:13" ht="14.25" customHeight="1" x14ac:dyDescent="0.4">
      <c r="A795" s="6" t="s">
        <v>829</v>
      </c>
      <c r="B795" s="6" t="s">
        <v>58</v>
      </c>
      <c r="C795" s="6">
        <v>57</v>
      </c>
      <c r="D795" s="7" t="s">
        <v>31</v>
      </c>
      <c r="E795" s="11">
        <v>45203</v>
      </c>
      <c r="F795" s="10">
        <v>48</v>
      </c>
      <c r="G795" s="6">
        <v>4.5</v>
      </c>
      <c r="H795" s="6">
        <f>IF(MONTH(Data!$E795)&lt;=6, YEAR(Data!$E795), YEAR(Data!$E795)+1)</f>
        <v>2024</v>
      </c>
      <c r="I795" s="6" t="str">
        <f>TEXT(Data!$E795,"DDDD")</f>
        <v>Wednesday</v>
      </c>
      <c r="J795" s="6" t="s">
        <v>27</v>
      </c>
      <c r="K795" s="6">
        <f>ROUND(Data!$G795,0)</f>
        <v>5</v>
      </c>
      <c r="L795" t="str" cm="1">
        <f t="array" ref="L795">_xlfn.IFS(C795&lt;=15,"Very Short",C795&lt;=30,"Short",C795&lt;=60,"Medium",C795&gt;60,"Long")</f>
        <v>Medium</v>
      </c>
      <c r="M795" t="str" cm="1">
        <f t="array" ref="M795">_xlfn.IFS(F795&lt;=50,"Low",F795&lt;=100,"Medium",F795&lt;=150,"High",F795&gt;150,"Very High")</f>
        <v>Low</v>
      </c>
    </row>
    <row r="796" spans="1:13" ht="14.25" customHeight="1" x14ac:dyDescent="0.4">
      <c r="A796" s="6" t="s">
        <v>830</v>
      </c>
      <c r="B796" s="6" t="s">
        <v>21</v>
      </c>
      <c r="C796" s="6">
        <v>103</v>
      </c>
      <c r="D796" s="7" t="s">
        <v>35</v>
      </c>
      <c r="E796" s="11">
        <v>45203</v>
      </c>
      <c r="F796" s="10">
        <v>160</v>
      </c>
      <c r="G796" s="6">
        <v>4.5</v>
      </c>
      <c r="H796" s="6">
        <f>IF(MONTH(Data!$E796)&lt;=6, YEAR(Data!$E796), YEAR(Data!$E796)+1)</f>
        <v>2024</v>
      </c>
      <c r="I796" s="6" t="str">
        <f>TEXT(Data!$E796,"DDDD")</f>
        <v>Wednesday</v>
      </c>
      <c r="J796" s="6" t="s">
        <v>14</v>
      </c>
      <c r="K796" s="6">
        <f>ROUND(Data!$G796,0)</f>
        <v>5</v>
      </c>
      <c r="L796" t="str" cm="1">
        <f t="array" ref="L796">_xlfn.IFS(C796&lt;=15,"Very Short",C796&lt;=30,"Short",C796&lt;=60,"Medium",C796&gt;60,"Long")</f>
        <v>Long</v>
      </c>
      <c r="M796" t="str" cm="1">
        <f t="array" ref="M796">_xlfn.IFS(F796&lt;=50,"Low",F796&lt;=100,"Medium",F796&lt;=150,"High",F796&gt;150,"Very High")</f>
        <v>Very High</v>
      </c>
    </row>
    <row r="797" spans="1:13" ht="14.25" customHeight="1" x14ac:dyDescent="0.4">
      <c r="A797" s="6" t="s">
        <v>831</v>
      </c>
      <c r="B797" s="6" t="s">
        <v>38</v>
      </c>
      <c r="C797" s="6">
        <v>138</v>
      </c>
      <c r="D797" s="7" t="s">
        <v>31</v>
      </c>
      <c r="E797" s="11">
        <v>45204</v>
      </c>
      <c r="F797" s="10">
        <v>155</v>
      </c>
      <c r="G797" s="6">
        <v>2.7</v>
      </c>
      <c r="H797" s="6">
        <f>IF(MONTH(Data!$E797)&lt;=6, YEAR(Data!$E797), YEAR(Data!$E797)+1)</f>
        <v>2024</v>
      </c>
      <c r="I797" s="6" t="str">
        <f>TEXT(Data!$E797,"DDDD")</f>
        <v>Thursday</v>
      </c>
      <c r="J797" s="6" t="s">
        <v>25</v>
      </c>
      <c r="K797" s="6">
        <f>ROUND(Data!$G797,0)</f>
        <v>3</v>
      </c>
      <c r="L797" t="str" cm="1">
        <f t="array" ref="L797">_xlfn.IFS(C797&lt;=15,"Very Short",C797&lt;=30,"Short",C797&lt;=60,"Medium",C797&gt;60,"Long")</f>
        <v>Long</v>
      </c>
      <c r="M797" t="str" cm="1">
        <f t="array" ref="M797">_xlfn.IFS(F797&lt;=50,"Low",F797&lt;=100,"Medium",F797&lt;=150,"High",F797&gt;150,"Very High")</f>
        <v>Very High</v>
      </c>
    </row>
    <row r="798" spans="1:13" ht="14.25" customHeight="1" x14ac:dyDescent="0.4">
      <c r="A798" s="6" t="s">
        <v>832</v>
      </c>
      <c r="B798" s="6" t="s">
        <v>34</v>
      </c>
      <c r="C798" s="6">
        <v>88</v>
      </c>
      <c r="D798" s="7" t="s">
        <v>19</v>
      </c>
      <c r="E798" s="11">
        <v>45204</v>
      </c>
      <c r="F798" s="10">
        <v>100</v>
      </c>
      <c r="G798" s="6">
        <v>4.9000000000000004</v>
      </c>
      <c r="H798" s="6">
        <f>IF(MONTH(Data!$E798)&lt;=6, YEAR(Data!$E798), YEAR(Data!$E798)+1)</f>
        <v>2024</v>
      </c>
      <c r="I798" s="6" t="str">
        <f>TEXT(Data!$E798,"DDDD")</f>
        <v>Thursday</v>
      </c>
      <c r="J798" s="6" t="s">
        <v>14</v>
      </c>
      <c r="K798" s="6">
        <f>ROUND(Data!$G798,0)</f>
        <v>5</v>
      </c>
      <c r="L798" t="str" cm="1">
        <f t="array" ref="L798">_xlfn.IFS(C798&lt;=15,"Very Short",C798&lt;=30,"Short",C798&lt;=60,"Medium",C798&gt;60,"Long")</f>
        <v>Long</v>
      </c>
      <c r="M798" t="str" cm="1">
        <f t="array" ref="M798">_xlfn.IFS(F798&lt;=50,"Low",F798&lt;=100,"Medium",F798&lt;=150,"High",F798&gt;150,"Very High")</f>
        <v>Medium</v>
      </c>
    </row>
    <row r="799" spans="1:13" ht="14.25" customHeight="1" x14ac:dyDescent="0.4">
      <c r="A799" s="6" t="s">
        <v>833</v>
      </c>
      <c r="B799" s="6" t="s">
        <v>46</v>
      </c>
      <c r="C799" s="6">
        <v>118</v>
      </c>
      <c r="D799" s="7" t="s">
        <v>24</v>
      </c>
      <c r="E799" s="11">
        <v>45204</v>
      </c>
      <c r="F799" s="10">
        <v>56</v>
      </c>
      <c r="G799" s="6">
        <v>3.7</v>
      </c>
      <c r="H799" s="6">
        <f>IF(MONTH(Data!$E799)&lt;=6, YEAR(Data!$E799), YEAR(Data!$E799)+1)</f>
        <v>2024</v>
      </c>
      <c r="I799" s="6" t="str">
        <f>TEXT(Data!$E799,"DDDD")</f>
        <v>Thursday</v>
      </c>
      <c r="J799" s="6" t="s">
        <v>14</v>
      </c>
      <c r="K799" s="6">
        <f>ROUND(Data!$G799,0)</f>
        <v>4</v>
      </c>
      <c r="L799" t="str" cm="1">
        <f t="array" ref="L799">_xlfn.IFS(C799&lt;=15,"Very Short",C799&lt;=30,"Short",C799&lt;=60,"Medium",C799&gt;60,"Long")</f>
        <v>Long</v>
      </c>
      <c r="M799" t="str" cm="1">
        <f t="array" ref="M799">_xlfn.IFS(F799&lt;=50,"Low",F799&lt;=100,"Medium",F799&lt;=150,"High",F799&gt;150,"Very High")</f>
        <v>Medium</v>
      </c>
    </row>
    <row r="800" spans="1:13" ht="14.25" customHeight="1" x14ac:dyDescent="0.4">
      <c r="A800" s="6" t="s">
        <v>834</v>
      </c>
      <c r="B800" s="6" t="s">
        <v>23</v>
      </c>
      <c r="C800" s="6">
        <v>4</v>
      </c>
      <c r="D800" s="7" t="s">
        <v>13</v>
      </c>
      <c r="E800" s="11">
        <v>45204</v>
      </c>
      <c r="F800" s="10">
        <v>170</v>
      </c>
      <c r="G800" s="6">
        <v>3.9</v>
      </c>
      <c r="H800" s="6">
        <f>IF(MONTH(Data!$E800)&lt;=6, YEAR(Data!$E800), YEAR(Data!$E800)+1)</f>
        <v>2024</v>
      </c>
      <c r="I800" s="6" t="str">
        <f>TEXT(Data!$E800,"DDDD")</f>
        <v>Thursday</v>
      </c>
      <c r="J800" s="6" t="s">
        <v>176</v>
      </c>
      <c r="K800" s="6">
        <f>ROUND(Data!$G800,0)</f>
        <v>4</v>
      </c>
      <c r="L800" t="str" cm="1">
        <f t="array" ref="L800">_xlfn.IFS(C800&lt;=15,"Very Short",C800&lt;=30,"Short",C800&lt;=60,"Medium",C800&gt;60,"Long")</f>
        <v>Very Short</v>
      </c>
      <c r="M800" t="str" cm="1">
        <f t="array" ref="M800">_xlfn.IFS(F800&lt;=50,"Low",F800&lt;=100,"Medium",F800&lt;=150,"High",F800&gt;150,"Very High")</f>
        <v>Very High</v>
      </c>
    </row>
    <row r="801" spans="1:13" ht="14.25" customHeight="1" x14ac:dyDescent="0.4">
      <c r="A801" s="6" t="s">
        <v>835</v>
      </c>
      <c r="B801" s="6" t="s">
        <v>68</v>
      </c>
      <c r="C801" s="6">
        <v>78</v>
      </c>
      <c r="D801" s="7" t="s">
        <v>35</v>
      </c>
      <c r="E801" s="11">
        <v>45205</v>
      </c>
      <c r="F801" s="10">
        <v>74</v>
      </c>
      <c r="G801" s="6">
        <v>3.5</v>
      </c>
      <c r="H801" s="6">
        <f>IF(MONTH(Data!$E801)&lt;=6, YEAR(Data!$E801), YEAR(Data!$E801)+1)</f>
        <v>2024</v>
      </c>
      <c r="I801" s="6" t="str">
        <f>TEXT(Data!$E801,"DDDD")</f>
        <v>Friday</v>
      </c>
      <c r="J801" s="6" t="s">
        <v>14</v>
      </c>
      <c r="K801" s="6">
        <f>ROUND(Data!$G801,0)</f>
        <v>4</v>
      </c>
      <c r="L801" t="str" cm="1">
        <f t="array" ref="L801">_xlfn.IFS(C801&lt;=15,"Very Short",C801&lt;=30,"Short",C801&lt;=60,"Medium",C801&gt;60,"Long")</f>
        <v>Long</v>
      </c>
      <c r="M801" t="str" cm="1">
        <f t="array" ref="M801">_xlfn.IFS(F801&lt;=50,"Low",F801&lt;=100,"Medium",F801&lt;=150,"High",F801&gt;150,"Very High")</f>
        <v>Medium</v>
      </c>
    </row>
    <row r="802" spans="1:13" ht="14.25" customHeight="1" x14ac:dyDescent="0.4">
      <c r="A802" s="6" t="s">
        <v>836</v>
      </c>
      <c r="B802" s="6" t="s">
        <v>50</v>
      </c>
      <c r="C802" s="6">
        <v>69</v>
      </c>
      <c r="D802" s="7" t="s">
        <v>13</v>
      </c>
      <c r="E802" s="11">
        <v>45205</v>
      </c>
      <c r="F802" s="10">
        <v>99</v>
      </c>
      <c r="G802" s="6">
        <v>2.7</v>
      </c>
      <c r="H802" s="6">
        <f>IF(MONTH(Data!$E802)&lt;=6, YEAR(Data!$E802), YEAR(Data!$E802)+1)</f>
        <v>2024</v>
      </c>
      <c r="I802" s="6" t="str">
        <f>TEXT(Data!$E802,"DDDD")</f>
        <v>Friday</v>
      </c>
      <c r="J802" s="6" t="s">
        <v>14</v>
      </c>
      <c r="K802" s="6">
        <f>ROUND(Data!$G802,0)</f>
        <v>3</v>
      </c>
      <c r="L802" t="str" cm="1">
        <f t="array" ref="L802">_xlfn.IFS(C802&lt;=15,"Very Short",C802&lt;=30,"Short",C802&lt;=60,"Medium",C802&gt;60,"Long")</f>
        <v>Long</v>
      </c>
      <c r="M802" t="str" cm="1">
        <f t="array" ref="M802">_xlfn.IFS(F802&lt;=50,"Low",F802&lt;=100,"Medium",F802&lt;=150,"High",F802&gt;150,"Very High")</f>
        <v>Medium</v>
      </c>
    </row>
    <row r="803" spans="1:13" ht="14.25" customHeight="1" x14ac:dyDescent="0.4">
      <c r="A803" s="6" t="s">
        <v>837</v>
      </c>
      <c r="B803" s="6" t="s">
        <v>29</v>
      </c>
      <c r="C803" s="6">
        <v>90</v>
      </c>
      <c r="D803" s="7" t="s">
        <v>31</v>
      </c>
      <c r="E803" s="11">
        <v>45205</v>
      </c>
      <c r="F803" s="10">
        <v>84</v>
      </c>
      <c r="G803" s="6">
        <v>3.9</v>
      </c>
      <c r="H803" s="6">
        <f>IF(MONTH(Data!$E803)&lt;=6, YEAR(Data!$E803), YEAR(Data!$E803)+1)</f>
        <v>2024</v>
      </c>
      <c r="I803" s="6" t="str">
        <f>TEXT(Data!$E803,"DDDD")</f>
        <v>Friday</v>
      </c>
      <c r="J803" s="6" t="s">
        <v>14</v>
      </c>
      <c r="K803" s="6">
        <f>ROUND(Data!$G803,0)</f>
        <v>4</v>
      </c>
      <c r="L803" t="str" cm="1">
        <f t="array" ref="L803">_xlfn.IFS(C803&lt;=15,"Very Short",C803&lt;=30,"Short",C803&lt;=60,"Medium",C803&gt;60,"Long")</f>
        <v>Long</v>
      </c>
      <c r="M803" t="str" cm="1">
        <f t="array" ref="M803">_xlfn.IFS(F803&lt;=50,"Low",F803&lt;=100,"Medium",F803&lt;=150,"High",F803&gt;150,"Very High")</f>
        <v>Medium</v>
      </c>
    </row>
    <row r="804" spans="1:13" ht="14.25" customHeight="1" x14ac:dyDescent="0.4">
      <c r="A804" s="6" t="s">
        <v>838</v>
      </c>
      <c r="B804" s="6" t="s">
        <v>50</v>
      </c>
      <c r="C804" s="6">
        <v>134</v>
      </c>
      <c r="D804" s="7" t="s">
        <v>13</v>
      </c>
      <c r="E804" s="11">
        <v>45205</v>
      </c>
      <c r="F804" s="10">
        <v>35</v>
      </c>
      <c r="G804" s="6">
        <v>3.4</v>
      </c>
      <c r="H804" s="6">
        <f>IF(MONTH(Data!$E804)&lt;=6, YEAR(Data!$E804), YEAR(Data!$E804)+1)</f>
        <v>2024</v>
      </c>
      <c r="I804" s="6" t="str">
        <f>TEXT(Data!$E804,"DDDD")</f>
        <v>Friday</v>
      </c>
      <c r="J804" s="6" t="s">
        <v>25</v>
      </c>
      <c r="K804" s="6">
        <f>ROUND(Data!$G804,0)</f>
        <v>3</v>
      </c>
      <c r="L804" t="str" cm="1">
        <f t="array" ref="L804">_xlfn.IFS(C804&lt;=15,"Very Short",C804&lt;=30,"Short",C804&lt;=60,"Medium",C804&gt;60,"Long")</f>
        <v>Long</v>
      </c>
      <c r="M804" t="str" cm="1">
        <f t="array" ref="M804">_xlfn.IFS(F804&lt;=50,"Low",F804&lt;=100,"Medium",F804&lt;=150,"High",F804&gt;150,"Very High")</f>
        <v>Low</v>
      </c>
    </row>
    <row r="805" spans="1:13" ht="14.25" customHeight="1" x14ac:dyDescent="0.4">
      <c r="A805" s="6" t="s">
        <v>839</v>
      </c>
      <c r="B805" s="6" t="s">
        <v>16</v>
      </c>
      <c r="C805" s="6">
        <v>65</v>
      </c>
      <c r="D805" s="7" t="s">
        <v>24</v>
      </c>
      <c r="E805" s="11">
        <v>45205</v>
      </c>
      <c r="F805" s="10">
        <v>150</v>
      </c>
      <c r="G805" s="6">
        <v>5</v>
      </c>
      <c r="H805" s="6">
        <f>IF(MONTH(Data!$E805)&lt;=6, YEAR(Data!$E805), YEAR(Data!$E805)+1)</f>
        <v>2024</v>
      </c>
      <c r="I805" s="6" t="str">
        <f>TEXT(Data!$E805,"DDDD")</f>
        <v>Friday</v>
      </c>
      <c r="J805" s="6" t="s">
        <v>14</v>
      </c>
      <c r="K805" s="6">
        <f>ROUND(Data!$G805,0)</f>
        <v>5</v>
      </c>
      <c r="L805" t="str" cm="1">
        <f t="array" ref="L805">_xlfn.IFS(C805&lt;=15,"Very Short",C805&lt;=30,"Short",C805&lt;=60,"Medium",C805&gt;60,"Long")</f>
        <v>Long</v>
      </c>
      <c r="M805" t="str" cm="1">
        <f t="array" ref="M805">_xlfn.IFS(F805&lt;=50,"Low",F805&lt;=100,"Medium",F805&lt;=150,"High",F805&gt;150,"Very High")</f>
        <v>High</v>
      </c>
    </row>
    <row r="806" spans="1:13" ht="14.25" customHeight="1" x14ac:dyDescent="0.4">
      <c r="A806" s="6" t="s">
        <v>840</v>
      </c>
      <c r="B806" s="6" t="s">
        <v>18</v>
      </c>
      <c r="C806" s="6">
        <v>54</v>
      </c>
      <c r="D806" s="7" t="s">
        <v>35</v>
      </c>
      <c r="E806" s="11">
        <v>45206</v>
      </c>
      <c r="F806" s="10">
        <v>176</v>
      </c>
      <c r="G806" s="6">
        <v>4.4000000000000004</v>
      </c>
      <c r="H806" s="6">
        <f>IF(MONTH(Data!$E806)&lt;=6, YEAR(Data!$E806), YEAR(Data!$E806)+1)</f>
        <v>2024</v>
      </c>
      <c r="I806" s="6" t="str">
        <f>TEXT(Data!$E806,"DDDD")</f>
        <v>Saturday</v>
      </c>
      <c r="J806" s="6" t="s">
        <v>27</v>
      </c>
      <c r="K806" s="6">
        <f>ROUND(Data!$G806,0)</f>
        <v>4</v>
      </c>
      <c r="L806" t="str" cm="1">
        <f t="array" ref="L806">_xlfn.IFS(C806&lt;=15,"Very Short",C806&lt;=30,"Short",C806&lt;=60,"Medium",C806&gt;60,"Long")</f>
        <v>Medium</v>
      </c>
      <c r="M806" t="str" cm="1">
        <f t="array" ref="M806">_xlfn.IFS(F806&lt;=50,"Low",F806&lt;=100,"Medium",F806&lt;=150,"High",F806&gt;150,"Very High")</f>
        <v>Very High</v>
      </c>
    </row>
    <row r="807" spans="1:13" ht="14.25" customHeight="1" x14ac:dyDescent="0.4">
      <c r="A807" s="6" t="s">
        <v>841</v>
      </c>
      <c r="B807" s="6" t="s">
        <v>18</v>
      </c>
      <c r="C807" s="6">
        <v>90</v>
      </c>
      <c r="D807" s="7" t="s">
        <v>35</v>
      </c>
      <c r="E807" s="11">
        <v>45206</v>
      </c>
      <c r="F807" s="10">
        <v>84</v>
      </c>
      <c r="G807" s="6">
        <v>4.3</v>
      </c>
      <c r="H807" s="6">
        <f>IF(MONTH(Data!$E807)&lt;=6, YEAR(Data!$E807), YEAR(Data!$E807)+1)</f>
        <v>2024</v>
      </c>
      <c r="I807" s="6" t="str">
        <f>TEXT(Data!$E807,"DDDD")</f>
        <v>Saturday</v>
      </c>
      <c r="J807" s="6" t="s">
        <v>14</v>
      </c>
      <c r="K807" s="6">
        <f>ROUND(Data!$G807,0)</f>
        <v>4</v>
      </c>
      <c r="L807" t="str" cm="1">
        <f t="array" ref="L807">_xlfn.IFS(C807&lt;=15,"Very Short",C807&lt;=30,"Short",C807&lt;=60,"Medium",C807&gt;60,"Long")</f>
        <v>Long</v>
      </c>
      <c r="M807" t="str" cm="1">
        <f t="array" ref="M807">_xlfn.IFS(F807&lt;=50,"Low",F807&lt;=100,"Medium",F807&lt;=150,"High",F807&gt;150,"Very High")</f>
        <v>Medium</v>
      </c>
    </row>
    <row r="808" spans="1:13" ht="14.25" customHeight="1" x14ac:dyDescent="0.4">
      <c r="A808" s="6" t="s">
        <v>842</v>
      </c>
      <c r="B808" s="6" t="s">
        <v>29</v>
      </c>
      <c r="C808" s="6">
        <v>66</v>
      </c>
      <c r="D808" s="7" t="s">
        <v>35</v>
      </c>
      <c r="E808" s="11">
        <v>45206</v>
      </c>
      <c r="F808" s="10">
        <v>136</v>
      </c>
      <c r="G808" s="6">
        <v>4.7</v>
      </c>
      <c r="H808" s="6">
        <f>IF(MONTH(Data!$E808)&lt;=6, YEAR(Data!$E808), YEAR(Data!$E808)+1)</f>
        <v>2024</v>
      </c>
      <c r="I808" s="6" t="str">
        <f>TEXT(Data!$E808,"DDDD")</f>
        <v>Saturday</v>
      </c>
      <c r="J808" s="6" t="s">
        <v>14</v>
      </c>
      <c r="K808" s="6">
        <f>ROUND(Data!$G808,0)</f>
        <v>5</v>
      </c>
      <c r="L808" t="str" cm="1">
        <f t="array" ref="L808">_xlfn.IFS(C808&lt;=15,"Very Short",C808&lt;=30,"Short",C808&lt;=60,"Medium",C808&gt;60,"Long")</f>
        <v>Long</v>
      </c>
      <c r="M808" t="str" cm="1">
        <f t="array" ref="M808">_xlfn.IFS(F808&lt;=50,"Low",F808&lt;=100,"Medium",F808&lt;=150,"High",F808&gt;150,"Very High")</f>
        <v>High</v>
      </c>
    </row>
    <row r="809" spans="1:13" ht="14.25" customHeight="1" x14ac:dyDescent="0.4">
      <c r="A809" s="6" t="s">
        <v>843</v>
      </c>
      <c r="B809" s="6" t="s">
        <v>23</v>
      </c>
      <c r="C809" s="6">
        <v>150</v>
      </c>
      <c r="D809" s="7" t="s">
        <v>35</v>
      </c>
      <c r="E809" s="11">
        <v>45207</v>
      </c>
      <c r="F809" s="10">
        <v>70</v>
      </c>
      <c r="G809" s="6">
        <v>4.0999999999999996</v>
      </c>
      <c r="H809" s="6">
        <f>IF(MONTH(Data!$E809)&lt;=6, YEAR(Data!$E809), YEAR(Data!$E809)+1)</f>
        <v>2024</v>
      </c>
      <c r="I809" s="6" t="str">
        <f>TEXT(Data!$E809,"DDDD")</f>
        <v>Sunday</v>
      </c>
      <c r="J809" s="6" t="s">
        <v>25</v>
      </c>
      <c r="K809" s="6">
        <f>ROUND(Data!$G809,0)</f>
        <v>4</v>
      </c>
      <c r="L809" t="str" cm="1">
        <f t="array" ref="L809">_xlfn.IFS(C809&lt;=15,"Very Short",C809&lt;=30,"Short",C809&lt;=60,"Medium",C809&gt;60,"Long")</f>
        <v>Long</v>
      </c>
      <c r="M809" t="str" cm="1">
        <f t="array" ref="M809">_xlfn.IFS(F809&lt;=50,"Low",F809&lt;=100,"Medium",F809&lt;=150,"High",F809&gt;150,"Very High")</f>
        <v>Medium</v>
      </c>
    </row>
    <row r="810" spans="1:13" ht="14.25" customHeight="1" x14ac:dyDescent="0.4">
      <c r="A810" s="6" t="s">
        <v>844</v>
      </c>
      <c r="B810" s="6" t="s">
        <v>40</v>
      </c>
      <c r="C810" s="6">
        <v>18</v>
      </c>
      <c r="D810" s="7" t="s">
        <v>24</v>
      </c>
      <c r="E810" s="11">
        <v>45207</v>
      </c>
      <c r="F810" s="10">
        <v>96</v>
      </c>
      <c r="G810" s="6">
        <v>4.8</v>
      </c>
      <c r="H810" s="6">
        <f>IF(MONTH(Data!$E810)&lt;=6, YEAR(Data!$E810), YEAR(Data!$E810)+1)</f>
        <v>2024</v>
      </c>
      <c r="I810" s="6" t="str">
        <f>TEXT(Data!$E810,"DDDD")</f>
        <v>Sunday</v>
      </c>
      <c r="J810" s="6" t="s">
        <v>47</v>
      </c>
      <c r="K810" s="6">
        <f>ROUND(Data!$G810,0)</f>
        <v>5</v>
      </c>
      <c r="L810" t="str" cm="1">
        <f t="array" ref="L810">_xlfn.IFS(C810&lt;=15,"Very Short",C810&lt;=30,"Short",C810&lt;=60,"Medium",C810&gt;60,"Long")</f>
        <v>Short</v>
      </c>
      <c r="M810" t="str" cm="1">
        <f t="array" ref="M810">_xlfn.IFS(F810&lt;=50,"Low",F810&lt;=100,"Medium",F810&lt;=150,"High",F810&gt;150,"Very High")</f>
        <v>Medium</v>
      </c>
    </row>
    <row r="811" spans="1:13" ht="14.25" customHeight="1" x14ac:dyDescent="0.4">
      <c r="A811" s="6" t="s">
        <v>845</v>
      </c>
      <c r="B811" s="6" t="s">
        <v>18</v>
      </c>
      <c r="C811" s="6">
        <v>87</v>
      </c>
      <c r="D811" s="7" t="s">
        <v>24</v>
      </c>
      <c r="E811" s="11">
        <v>45207</v>
      </c>
      <c r="F811" s="10">
        <v>23</v>
      </c>
      <c r="G811" s="6">
        <v>4.2</v>
      </c>
      <c r="H811" s="6">
        <f>IF(MONTH(Data!$E811)&lt;=6, YEAR(Data!$E811), YEAR(Data!$E811)+1)</f>
        <v>2024</v>
      </c>
      <c r="I811" s="6" t="str">
        <f>TEXT(Data!$E811,"DDDD")</f>
        <v>Sunday</v>
      </c>
      <c r="J811" s="6" t="s">
        <v>14</v>
      </c>
      <c r="K811" s="6">
        <f>ROUND(Data!$G811,0)</f>
        <v>4</v>
      </c>
      <c r="L811" t="str" cm="1">
        <f t="array" ref="L811">_xlfn.IFS(C811&lt;=15,"Very Short",C811&lt;=30,"Short",C811&lt;=60,"Medium",C811&gt;60,"Long")</f>
        <v>Long</v>
      </c>
      <c r="M811" t="str" cm="1">
        <f t="array" ref="M811">_xlfn.IFS(F811&lt;=50,"Low",F811&lt;=100,"Medium",F811&lt;=150,"High",F811&gt;150,"Very High")</f>
        <v>Low</v>
      </c>
    </row>
    <row r="812" spans="1:13" ht="14.25" customHeight="1" x14ac:dyDescent="0.4">
      <c r="A812" s="6" t="s">
        <v>846</v>
      </c>
      <c r="B812" s="6" t="s">
        <v>38</v>
      </c>
      <c r="C812" s="6">
        <v>94</v>
      </c>
      <c r="D812" s="7" t="s">
        <v>35</v>
      </c>
      <c r="E812" s="11">
        <v>45208</v>
      </c>
      <c r="F812" s="10">
        <v>120</v>
      </c>
      <c r="G812" s="6">
        <v>3.4</v>
      </c>
      <c r="H812" s="6">
        <f>IF(MONTH(Data!$E812)&lt;=6, YEAR(Data!$E812), YEAR(Data!$E812)+1)</f>
        <v>2024</v>
      </c>
      <c r="I812" s="6" t="str">
        <f>TEXT(Data!$E812,"DDDD")</f>
        <v>Monday</v>
      </c>
      <c r="J812" s="6" t="s">
        <v>14</v>
      </c>
      <c r="K812" s="6">
        <f>ROUND(Data!$G812,0)</f>
        <v>3</v>
      </c>
      <c r="L812" t="str" cm="1">
        <f t="array" ref="L812">_xlfn.IFS(C812&lt;=15,"Very Short",C812&lt;=30,"Short",C812&lt;=60,"Medium",C812&gt;60,"Long")</f>
        <v>Long</v>
      </c>
      <c r="M812" t="str" cm="1">
        <f t="array" ref="M812">_xlfn.IFS(F812&lt;=50,"Low",F812&lt;=100,"Medium",F812&lt;=150,"High",F812&gt;150,"Very High")</f>
        <v>High</v>
      </c>
    </row>
    <row r="813" spans="1:13" ht="14.25" customHeight="1" x14ac:dyDescent="0.4">
      <c r="A813" s="6" t="s">
        <v>847</v>
      </c>
      <c r="B813" s="6" t="s">
        <v>58</v>
      </c>
      <c r="C813" s="6">
        <v>56</v>
      </c>
      <c r="D813" s="7" t="s">
        <v>35</v>
      </c>
      <c r="E813" s="11">
        <v>45208</v>
      </c>
      <c r="F813" s="10">
        <v>205</v>
      </c>
      <c r="G813" s="6">
        <v>3.3</v>
      </c>
      <c r="H813" s="6">
        <f>IF(MONTH(Data!$E813)&lt;=6, YEAR(Data!$E813), YEAR(Data!$E813)+1)</f>
        <v>2024</v>
      </c>
      <c r="I813" s="6" t="str">
        <f>TEXT(Data!$E813,"DDDD")</f>
        <v>Monday</v>
      </c>
      <c r="J813" s="6" t="s">
        <v>27</v>
      </c>
      <c r="K813" s="6">
        <f>ROUND(Data!$G813,0)</f>
        <v>3</v>
      </c>
      <c r="L813" t="str" cm="1">
        <f t="array" ref="L813">_xlfn.IFS(C813&lt;=15,"Very Short",C813&lt;=30,"Short",C813&lt;=60,"Medium",C813&gt;60,"Long")</f>
        <v>Medium</v>
      </c>
      <c r="M813" t="str" cm="1">
        <f t="array" ref="M813">_xlfn.IFS(F813&lt;=50,"Low",F813&lt;=100,"Medium",F813&lt;=150,"High",F813&gt;150,"Very High")</f>
        <v>Very High</v>
      </c>
    </row>
    <row r="814" spans="1:13" ht="14.25" customHeight="1" x14ac:dyDescent="0.4">
      <c r="A814" s="6" t="s">
        <v>848</v>
      </c>
      <c r="B814" s="6" t="s">
        <v>46</v>
      </c>
      <c r="C814" s="6">
        <v>41</v>
      </c>
      <c r="D814" s="7" t="s">
        <v>19</v>
      </c>
      <c r="E814" s="11">
        <v>45209</v>
      </c>
      <c r="F814" s="10">
        <v>42</v>
      </c>
      <c r="G814" s="6">
        <v>3.8</v>
      </c>
      <c r="H814" s="6">
        <f>IF(MONTH(Data!$E814)&lt;=6, YEAR(Data!$E814), YEAR(Data!$E814)+1)</f>
        <v>2024</v>
      </c>
      <c r="I814" s="6" t="str">
        <f>TEXT(Data!$E814,"DDDD")</f>
        <v>Tuesday</v>
      </c>
      <c r="J814" s="6" t="s">
        <v>27</v>
      </c>
      <c r="K814" s="6">
        <f>ROUND(Data!$G814,0)</f>
        <v>4</v>
      </c>
      <c r="L814" t="str" cm="1">
        <f t="array" ref="L814">_xlfn.IFS(C814&lt;=15,"Very Short",C814&lt;=30,"Short",C814&lt;=60,"Medium",C814&gt;60,"Long")</f>
        <v>Medium</v>
      </c>
      <c r="M814" t="str" cm="1">
        <f t="array" ref="M814">_xlfn.IFS(F814&lt;=50,"Low",F814&lt;=100,"Medium",F814&lt;=150,"High",F814&gt;150,"Very High")</f>
        <v>Low</v>
      </c>
    </row>
    <row r="815" spans="1:13" ht="14.25" customHeight="1" x14ac:dyDescent="0.4">
      <c r="A815" s="6" t="s">
        <v>849</v>
      </c>
      <c r="B815" s="6" t="s">
        <v>23</v>
      </c>
      <c r="C815" s="6">
        <v>119</v>
      </c>
      <c r="D815" s="7" t="s">
        <v>31</v>
      </c>
      <c r="E815" s="11">
        <v>45209</v>
      </c>
      <c r="F815" s="10">
        <v>111</v>
      </c>
      <c r="G815" s="6">
        <v>3.9</v>
      </c>
      <c r="H815" s="6">
        <f>IF(MONTH(Data!$E815)&lt;=6, YEAR(Data!$E815), YEAR(Data!$E815)+1)</f>
        <v>2024</v>
      </c>
      <c r="I815" s="6" t="str">
        <f>TEXT(Data!$E815,"DDDD")</f>
        <v>Tuesday</v>
      </c>
      <c r="J815" s="6" t="s">
        <v>14</v>
      </c>
      <c r="K815" s="6">
        <f>ROUND(Data!$G815,0)</f>
        <v>4</v>
      </c>
      <c r="L815" t="str" cm="1">
        <f t="array" ref="L815">_xlfn.IFS(C815&lt;=15,"Very Short",C815&lt;=30,"Short",C815&lt;=60,"Medium",C815&gt;60,"Long")</f>
        <v>Long</v>
      </c>
      <c r="M815" t="str" cm="1">
        <f t="array" ref="M815">_xlfn.IFS(F815&lt;=50,"Low",F815&lt;=100,"Medium",F815&lt;=150,"High",F815&gt;150,"Very High")</f>
        <v>High</v>
      </c>
    </row>
    <row r="816" spans="1:13" ht="14.25" customHeight="1" x14ac:dyDescent="0.4">
      <c r="A816" s="6" t="s">
        <v>850</v>
      </c>
      <c r="B816" s="6" t="s">
        <v>21</v>
      </c>
      <c r="C816" s="6">
        <v>108</v>
      </c>
      <c r="D816" s="7" t="s">
        <v>35</v>
      </c>
      <c r="E816" s="11">
        <v>45209</v>
      </c>
      <c r="F816" s="10">
        <v>68</v>
      </c>
      <c r="G816" s="6">
        <v>2.5</v>
      </c>
      <c r="H816" s="6">
        <f>IF(MONTH(Data!$E816)&lt;=6, YEAR(Data!$E816), YEAR(Data!$E816)+1)</f>
        <v>2024</v>
      </c>
      <c r="I816" s="6" t="str">
        <f>TEXT(Data!$E816,"DDDD")</f>
        <v>Tuesday</v>
      </c>
      <c r="J816" s="6" t="s">
        <v>14</v>
      </c>
      <c r="K816" s="6">
        <f>ROUND(Data!$G816,0)</f>
        <v>3</v>
      </c>
      <c r="L816" t="str" cm="1">
        <f t="array" ref="L816">_xlfn.IFS(C816&lt;=15,"Very Short",C816&lt;=30,"Short",C816&lt;=60,"Medium",C816&gt;60,"Long")</f>
        <v>Long</v>
      </c>
      <c r="M816" t="str" cm="1">
        <f t="array" ref="M816">_xlfn.IFS(F816&lt;=50,"Low",F816&lt;=100,"Medium",F816&lt;=150,"High",F816&gt;150,"Very High")</f>
        <v>Medium</v>
      </c>
    </row>
    <row r="817" spans="1:13" ht="14.25" customHeight="1" x14ac:dyDescent="0.4">
      <c r="A817" s="6" t="s">
        <v>851</v>
      </c>
      <c r="B817" s="6" t="s">
        <v>68</v>
      </c>
      <c r="C817" s="6">
        <v>63</v>
      </c>
      <c r="D817" s="7" t="s">
        <v>13</v>
      </c>
      <c r="E817" s="11">
        <v>45209</v>
      </c>
      <c r="F817" s="10">
        <v>172</v>
      </c>
      <c r="G817" s="6">
        <v>4.9000000000000004</v>
      </c>
      <c r="H817" s="6">
        <f>IF(MONTH(Data!$E817)&lt;=6, YEAR(Data!$E817), YEAR(Data!$E817)+1)</f>
        <v>2024</v>
      </c>
      <c r="I817" s="6" t="str">
        <f>TEXT(Data!$E817,"DDDD")</f>
        <v>Tuesday</v>
      </c>
      <c r="J817" s="6" t="s">
        <v>14</v>
      </c>
      <c r="K817" s="6">
        <f>ROUND(Data!$G817,0)</f>
        <v>5</v>
      </c>
      <c r="L817" t="str" cm="1">
        <f t="array" ref="L817">_xlfn.IFS(C817&lt;=15,"Very Short",C817&lt;=30,"Short",C817&lt;=60,"Medium",C817&gt;60,"Long")</f>
        <v>Long</v>
      </c>
      <c r="M817" t="str" cm="1">
        <f t="array" ref="M817">_xlfn.IFS(F817&lt;=50,"Low",F817&lt;=100,"Medium",F817&lt;=150,"High",F817&gt;150,"Very High")</f>
        <v>Very High</v>
      </c>
    </row>
    <row r="818" spans="1:13" ht="14.25" customHeight="1" x14ac:dyDescent="0.4">
      <c r="A818" s="6" t="s">
        <v>852</v>
      </c>
      <c r="B818" s="6" t="s">
        <v>55</v>
      </c>
      <c r="C818" s="6">
        <v>59</v>
      </c>
      <c r="D818" s="7" t="s">
        <v>35</v>
      </c>
      <c r="E818" s="11">
        <v>45209</v>
      </c>
      <c r="F818" s="10">
        <v>152</v>
      </c>
      <c r="G818" s="6">
        <v>4.8</v>
      </c>
      <c r="H818" s="6">
        <f>IF(MONTH(Data!$E818)&lt;=6, YEAR(Data!$E818), YEAR(Data!$E818)+1)</f>
        <v>2024</v>
      </c>
      <c r="I818" s="6" t="str">
        <f>TEXT(Data!$E818,"DDDD")</f>
        <v>Tuesday</v>
      </c>
      <c r="J818" s="6" t="s">
        <v>27</v>
      </c>
      <c r="K818" s="6">
        <f>ROUND(Data!$G818,0)</f>
        <v>5</v>
      </c>
      <c r="L818" t="str" cm="1">
        <f t="array" ref="L818">_xlfn.IFS(C818&lt;=15,"Very Short",C818&lt;=30,"Short",C818&lt;=60,"Medium",C818&gt;60,"Long")</f>
        <v>Medium</v>
      </c>
      <c r="M818" t="str" cm="1">
        <f t="array" ref="M818">_xlfn.IFS(F818&lt;=50,"Low",F818&lt;=100,"Medium",F818&lt;=150,"High",F818&gt;150,"Very High")</f>
        <v>Very High</v>
      </c>
    </row>
    <row r="819" spans="1:13" ht="14.25" customHeight="1" x14ac:dyDescent="0.4">
      <c r="A819" s="6" t="s">
        <v>853</v>
      </c>
      <c r="B819" s="6" t="s">
        <v>55</v>
      </c>
      <c r="C819" s="6">
        <v>90</v>
      </c>
      <c r="D819" s="7" t="s">
        <v>19</v>
      </c>
      <c r="E819" s="11">
        <v>45209</v>
      </c>
      <c r="F819" s="10">
        <v>48</v>
      </c>
      <c r="G819" s="6">
        <v>4.7</v>
      </c>
      <c r="H819" s="6">
        <f>IF(MONTH(Data!$E819)&lt;=6, YEAR(Data!$E819), YEAR(Data!$E819)+1)</f>
        <v>2024</v>
      </c>
      <c r="I819" s="6" t="str">
        <f>TEXT(Data!$E819,"DDDD")</f>
        <v>Tuesday</v>
      </c>
      <c r="J819" s="6" t="s">
        <v>14</v>
      </c>
      <c r="K819" s="6">
        <f>ROUND(Data!$G819,0)</f>
        <v>5</v>
      </c>
      <c r="L819" t="str" cm="1">
        <f t="array" ref="L819">_xlfn.IFS(C819&lt;=15,"Very Short",C819&lt;=30,"Short",C819&lt;=60,"Medium",C819&gt;60,"Long")</f>
        <v>Long</v>
      </c>
      <c r="M819" t="str" cm="1">
        <f t="array" ref="M819">_xlfn.IFS(F819&lt;=50,"Low",F819&lt;=100,"Medium",F819&lt;=150,"High",F819&gt;150,"Very High")</f>
        <v>Low</v>
      </c>
    </row>
    <row r="820" spans="1:13" ht="14.25" customHeight="1" x14ac:dyDescent="0.4">
      <c r="A820" s="6" t="s">
        <v>854</v>
      </c>
      <c r="B820" s="6" t="s">
        <v>34</v>
      </c>
      <c r="C820" s="6">
        <v>55</v>
      </c>
      <c r="D820" s="7" t="s">
        <v>19</v>
      </c>
      <c r="E820" s="11">
        <v>45209</v>
      </c>
      <c r="F820" s="10">
        <v>25</v>
      </c>
      <c r="G820" s="6">
        <v>4.7</v>
      </c>
      <c r="H820" s="6">
        <f>IF(MONTH(Data!$E820)&lt;=6, YEAR(Data!$E820), YEAR(Data!$E820)+1)</f>
        <v>2024</v>
      </c>
      <c r="I820" s="6" t="str">
        <f>TEXT(Data!$E820,"DDDD")</f>
        <v>Tuesday</v>
      </c>
      <c r="J820" s="6" t="s">
        <v>27</v>
      </c>
      <c r="K820" s="6">
        <f>ROUND(Data!$G820,0)</f>
        <v>5</v>
      </c>
      <c r="L820" t="str" cm="1">
        <f t="array" ref="L820">_xlfn.IFS(C820&lt;=15,"Very Short",C820&lt;=30,"Short",C820&lt;=60,"Medium",C820&gt;60,"Long")</f>
        <v>Medium</v>
      </c>
      <c r="M820" t="str" cm="1">
        <f t="array" ref="M820">_xlfn.IFS(F820&lt;=50,"Low",F820&lt;=100,"Medium",F820&lt;=150,"High",F820&gt;150,"Very High")</f>
        <v>Low</v>
      </c>
    </row>
    <row r="821" spans="1:13" ht="14.25" customHeight="1" x14ac:dyDescent="0.4">
      <c r="A821" s="6" t="s">
        <v>855</v>
      </c>
      <c r="B821" s="6" t="s">
        <v>21</v>
      </c>
      <c r="C821" s="6">
        <v>84</v>
      </c>
      <c r="D821" s="7" t="s">
        <v>31</v>
      </c>
      <c r="E821" s="11">
        <v>45210</v>
      </c>
      <c r="F821" s="10">
        <v>54</v>
      </c>
      <c r="G821" s="6">
        <v>3.3</v>
      </c>
      <c r="H821" s="6">
        <f>IF(MONTH(Data!$E821)&lt;=6, YEAR(Data!$E821), YEAR(Data!$E821)+1)</f>
        <v>2024</v>
      </c>
      <c r="I821" s="6" t="str">
        <f>TEXT(Data!$E821,"DDDD")</f>
        <v>Wednesday</v>
      </c>
      <c r="J821" s="6" t="s">
        <v>14</v>
      </c>
      <c r="K821" s="6">
        <f>ROUND(Data!$G821,0)</f>
        <v>3</v>
      </c>
      <c r="L821" t="str" cm="1">
        <f t="array" ref="L821">_xlfn.IFS(C821&lt;=15,"Very Short",C821&lt;=30,"Short",C821&lt;=60,"Medium",C821&gt;60,"Long")</f>
        <v>Long</v>
      </c>
      <c r="M821" t="str" cm="1">
        <f t="array" ref="M821">_xlfn.IFS(F821&lt;=50,"Low",F821&lt;=100,"Medium",F821&lt;=150,"High",F821&gt;150,"Very High")</f>
        <v>Medium</v>
      </c>
    </row>
    <row r="822" spans="1:13" ht="14.25" customHeight="1" x14ac:dyDescent="0.4">
      <c r="A822" s="6" t="s">
        <v>856</v>
      </c>
      <c r="B822" s="6" t="s">
        <v>21</v>
      </c>
      <c r="C822" s="6">
        <v>150</v>
      </c>
      <c r="D822" s="7" t="s">
        <v>24</v>
      </c>
      <c r="E822" s="11">
        <v>45210</v>
      </c>
      <c r="F822" s="10">
        <v>108</v>
      </c>
      <c r="G822" s="6">
        <v>4.7</v>
      </c>
      <c r="H822" s="6">
        <f>IF(MONTH(Data!$E822)&lt;=6, YEAR(Data!$E822), YEAR(Data!$E822)+1)</f>
        <v>2024</v>
      </c>
      <c r="I822" s="6" t="str">
        <f>TEXT(Data!$E822,"DDDD")</f>
        <v>Wednesday</v>
      </c>
      <c r="J822" s="6" t="s">
        <v>25</v>
      </c>
      <c r="K822" s="6">
        <f>ROUND(Data!$G822,0)</f>
        <v>5</v>
      </c>
      <c r="L822" t="str" cm="1">
        <f t="array" ref="L822">_xlfn.IFS(C822&lt;=15,"Very Short",C822&lt;=30,"Short",C822&lt;=60,"Medium",C822&gt;60,"Long")</f>
        <v>Long</v>
      </c>
      <c r="M822" t="str" cm="1">
        <f t="array" ref="M822">_xlfn.IFS(F822&lt;=50,"Low",F822&lt;=100,"Medium",F822&lt;=150,"High",F822&gt;150,"Very High")</f>
        <v>High</v>
      </c>
    </row>
    <row r="823" spans="1:13" ht="14.25" customHeight="1" x14ac:dyDescent="0.4">
      <c r="A823" s="6" t="s">
        <v>857</v>
      </c>
      <c r="B823" s="6" t="s">
        <v>88</v>
      </c>
      <c r="C823" s="6">
        <v>69</v>
      </c>
      <c r="D823" s="7" t="s">
        <v>35</v>
      </c>
      <c r="E823" s="11">
        <v>45210</v>
      </c>
      <c r="F823" s="10">
        <v>36</v>
      </c>
      <c r="G823" s="6">
        <v>4.5</v>
      </c>
      <c r="H823" s="6">
        <f>IF(MONTH(Data!$E823)&lt;=6, YEAR(Data!$E823), YEAR(Data!$E823)+1)</f>
        <v>2024</v>
      </c>
      <c r="I823" s="6" t="str">
        <f>TEXT(Data!$E823,"DDDD")</f>
        <v>Wednesday</v>
      </c>
      <c r="J823" s="6" t="s">
        <v>14</v>
      </c>
      <c r="K823" s="6">
        <f>ROUND(Data!$G823,0)</f>
        <v>5</v>
      </c>
      <c r="L823" t="str" cm="1">
        <f t="array" ref="L823">_xlfn.IFS(C823&lt;=15,"Very Short",C823&lt;=30,"Short",C823&lt;=60,"Medium",C823&gt;60,"Long")</f>
        <v>Long</v>
      </c>
      <c r="M823" t="str" cm="1">
        <f t="array" ref="M823">_xlfn.IFS(F823&lt;=50,"Low",F823&lt;=100,"Medium",F823&lt;=150,"High",F823&gt;150,"Very High")</f>
        <v>Low</v>
      </c>
    </row>
    <row r="824" spans="1:13" ht="14.25" customHeight="1" x14ac:dyDescent="0.4">
      <c r="A824" s="6" t="s">
        <v>858</v>
      </c>
      <c r="B824" s="6" t="s">
        <v>12</v>
      </c>
      <c r="C824" s="6">
        <v>120</v>
      </c>
      <c r="D824" s="7" t="s">
        <v>19</v>
      </c>
      <c r="E824" s="11">
        <v>45211</v>
      </c>
      <c r="F824" s="10">
        <v>140</v>
      </c>
      <c r="G824" s="6">
        <v>4.5999999999999996</v>
      </c>
      <c r="H824" s="6">
        <f>IF(MONTH(Data!$E824)&lt;=6, YEAR(Data!$E824), YEAR(Data!$E824)+1)</f>
        <v>2024</v>
      </c>
      <c r="I824" s="6" t="str">
        <f>TEXT(Data!$E824,"DDDD")</f>
        <v>Thursday</v>
      </c>
      <c r="J824" s="6" t="s">
        <v>14</v>
      </c>
      <c r="K824" s="6">
        <f>ROUND(Data!$G824,0)</f>
        <v>5</v>
      </c>
      <c r="L824" t="str" cm="1">
        <f t="array" ref="L824">_xlfn.IFS(C824&lt;=15,"Very Short",C824&lt;=30,"Short",C824&lt;=60,"Medium",C824&gt;60,"Long")</f>
        <v>Long</v>
      </c>
      <c r="M824" t="str" cm="1">
        <f t="array" ref="M824">_xlfn.IFS(F824&lt;=50,"Low",F824&lt;=100,"Medium",F824&lt;=150,"High",F824&gt;150,"Very High")</f>
        <v>High</v>
      </c>
    </row>
    <row r="825" spans="1:13" ht="14.25" customHeight="1" x14ac:dyDescent="0.4">
      <c r="A825" s="6" t="s">
        <v>859</v>
      </c>
      <c r="B825" s="6" t="s">
        <v>18</v>
      </c>
      <c r="C825" s="6">
        <v>126</v>
      </c>
      <c r="D825" s="7" t="s">
        <v>31</v>
      </c>
      <c r="E825" s="11">
        <v>45211</v>
      </c>
      <c r="F825" s="10">
        <v>50</v>
      </c>
      <c r="G825" s="6">
        <v>4.8</v>
      </c>
      <c r="H825" s="6">
        <f>IF(MONTH(Data!$E825)&lt;=6, YEAR(Data!$E825), YEAR(Data!$E825)+1)</f>
        <v>2024</v>
      </c>
      <c r="I825" s="6" t="str">
        <f>TEXT(Data!$E825,"DDDD")</f>
        <v>Thursday</v>
      </c>
      <c r="J825" s="6" t="s">
        <v>25</v>
      </c>
      <c r="K825" s="6">
        <f>ROUND(Data!$G825,0)</f>
        <v>5</v>
      </c>
      <c r="L825" t="str" cm="1">
        <f t="array" ref="L825">_xlfn.IFS(C825&lt;=15,"Very Short",C825&lt;=30,"Short",C825&lt;=60,"Medium",C825&gt;60,"Long")</f>
        <v>Long</v>
      </c>
      <c r="M825" t="str" cm="1">
        <f t="array" ref="M825">_xlfn.IFS(F825&lt;=50,"Low",F825&lt;=100,"Medium",F825&lt;=150,"High",F825&gt;150,"Very High")</f>
        <v>Low</v>
      </c>
    </row>
    <row r="826" spans="1:13" ht="14.25" customHeight="1" x14ac:dyDescent="0.4">
      <c r="A826" s="6" t="s">
        <v>860</v>
      </c>
      <c r="B826" s="6" t="s">
        <v>88</v>
      </c>
      <c r="C826" s="6">
        <v>120</v>
      </c>
      <c r="D826" s="7" t="s">
        <v>13</v>
      </c>
      <c r="E826" s="11">
        <v>45211</v>
      </c>
      <c r="F826" s="10">
        <v>195</v>
      </c>
      <c r="G826" s="6">
        <v>4.3</v>
      </c>
      <c r="H826" s="6">
        <f>IF(MONTH(Data!$E826)&lt;=6, YEAR(Data!$E826), YEAR(Data!$E826)+1)</f>
        <v>2024</v>
      </c>
      <c r="I826" s="6" t="str">
        <f>TEXT(Data!$E826,"DDDD")</f>
        <v>Thursday</v>
      </c>
      <c r="J826" s="6" t="s">
        <v>14</v>
      </c>
      <c r="K826" s="6">
        <f>ROUND(Data!$G826,0)</f>
        <v>4</v>
      </c>
      <c r="L826" t="str" cm="1">
        <f t="array" ref="L826">_xlfn.IFS(C826&lt;=15,"Very Short",C826&lt;=30,"Short",C826&lt;=60,"Medium",C826&gt;60,"Long")</f>
        <v>Long</v>
      </c>
      <c r="M826" t="str" cm="1">
        <f t="array" ref="M826">_xlfn.IFS(F826&lt;=50,"Low",F826&lt;=100,"Medium",F826&lt;=150,"High",F826&gt;150,"Very High")</f>
        <v>Very High</v>
      </c>
    </row>
    <row r="827" spans="1:13" ht="14.25" customHeight="1" x14ac:dyDescent="0.4">
      <c r="A827" s="6" t="s">
        <v>861</v>
      </c>
      <c r="B827" s="6" t="s">
        <v>18</v>
      </c>
      <c r="C827" s="6">
        <v>139</v>
      </c>
      <c r="D827" s="7" t="s">
        <v>19</v>
      </c>
      <c r="E827" s="11">
        <v>45212</v>
      </c>
      <c r="F827" s="10">
        <v>48</v>
      </c>
      <c r="G827" s="6">
        <v>4.7</v>
      </c>
      <c r="H827" s="6">
        <f>IF(MONTH(Data!$E827)&lt;=6, YEAR(Data!$E827), YEAR(Data!$E827)+1)</f>
        <v>2024</v>
      </c>
      <c r="I827" s="6" t="str">
        <f>TEXT(Data!$E827,"DDDD")</f>
        <v>Friday</v>
      </c>
      <c r="J827" s="6" t="s">
        <v>25</v>
      </c>
      <c r="K827" s="6">
        <f>ROUND(Data!$G827,0)</f>
        <v>5</v>
      </c>
      <c r="L827" t="str" cm="1">
        <f t="array" ref="L827">_xlfn.IFS(C827&lt;=15,"Very Short",C827&lt;=30,"Short",C827&lt;=60,"Medium",C827&gt;60,"Long")</f>
        <v>Long</v>
      </c>
      <c r="M827" t="str" cm="1">
        <f t="array" ref="M827">_xlfn.IFS(F827&lt;=50,"Low",F827&lt;=100,"Medium",F827&lt;=150,"High",F827&gt;150,"Very High")</f>
        <v>Low</v>
      </c>
    </row>
    <row r="828" spans="1:13" ht="14.25" customHeight="1" x14ac:dyDescent="0.4">
      <c r="A828" s="6" t="s">
        <v>862</v>
      </c>
      <c r="B828" s="6" t="s">
        <v>34</v>
      </c>
      <c r="C828" s="6">
        <v>124</v>
      </c>
      <c r="D828" s="7" t="s">
        <v>35</v>
      </c>
      <c r="E828" s="11">
        <v>45213</v>
      </c>
      <c r="F828" s="10">
        <v>29</v>
      </c>
      <c r="G828" s="6">
        <v>4.8</v>
      </c>
      <c r="H828" s="6">
        <f>IF(MONTH(Data!$E828)&lt;=6, YEAR(Data!$E828), YEAR(Data!$E828)+1)</f>
        <v>2024</v>
      </c>
      <c r="I828" s="6" t="str">
        <f>TEXT(Data!$E828,"DDDD")</f>
        <v>Saturday</v>
      </c>
      <c r="J828" s="6" t="s">
        <v>25</v>
      </c>
      <c r="K828" s="6">
        <f>ROUND(Data!$G828,0)</f>
        <v>5</v>
      </c>
      <c r="L828" t="str" cm="1">
        <f t="array" ref="L828">_xlfn.IFS(C828&lt;=15,"Very Short",C828&lt;=30,"Short",C828&lt;=60,"Medium",C828&gt;60,"Long")</f>
        <v>Long</v>
      </c>
      <c r="M828" t="str" cm="1">
        <f t="array" ref="M828">_xlfn.IFS(F828&lt;=50,"Low",F828&lt;=100,"Medium",F828&lt;=150,"High",F828&gt;150,"Very High")</f>
        <v>Low</v>
      </c>
    </row>
    <row r="829" spans="1:13" ht="14.25" customHeight="1" x14ac:dyDescent="0.4">
      <c r="A829" s="6" t="s">
        <v>863</v>
      </c>
      <c r="B829" s="6" t="s">
        <v>12</v>
      </c>
      <c r="C829" s="6">
        <v>108</v>
      </c>
      <c r="D829" s="7" t="s">
        <v>13</v>
      </c>
      <c r="E829" s="11">
        <v>45213</v>
      </c>
      <c r="F829" s="10">
        <v>44</v>
      </c>
      <c r="G829" s="6">
        <v>4.7</v>
      </c>
      <c r="H829" s="6">
        <f>IF(MONTH(Data!$E829)&lt;=6, YEAR(Data!$E829), YEAR(Data!$E829)+1)</f>
        <v>2024</v>
      </c>
      <c r="I829" s="6" t="str">
        <f>TEXT(Data!$E829,"DDDD")</f>
        <v>Saturday</v>
      </c>
      <c r="J829" s="6" t="s">
        <v>14</v>
      </c>
      <c r="K829" s="6">
        <f>ROUND(Data!$G829,0)</f>
        <v>5</v>
      </c>
      <c r="L829" t="str" cm="1">
        <f t="array" ref="L829">_xlfn.IFS(C829&lt;=15,"Very Short",C829&lt;=30,"Short",C829&lt;=60,"Medium",C829&gt;60,"Long")</f>
        <v>Long</v>
      </c>
      <c r="M829" t="str" cm="1">
        <f t="array" ref="M829">_xlfn.IFS(F829&lt;=50,"Low",F829&lt;=100,"Medium",F829&lt;=150,"High",F829&gt;150,"Very High")</f>
        <v>Low</v>
      </c>
    </row>
    <row r="830" spans="1:13" ht="14.25" customHeight="1" x14ac:dyDescent="0.4">
      <c r="A830" s="6" t="s">
        <v>864</v>
      </c>
      <c r="B830" s="6" t="s">
        <v>16</v>
      </c>
      <c r="C830" s="6">
        <v>132</v>
      </c>
      <c r="D830" s="7" t="s">
        <v>24</v>
      </c>
      <c r="E830" s="11">
        <v>45213</v>
      </c>
      <c r="F830" s="10">
        <v>140</v>
      </c>
      <c r="G830" s="6">
        <v>4.3</v>
      </c>
      <c r="H830" s="6">
        <f>IF(MONTH(Data!$E830)&lt;=6, YEAR(Data!$E830), YEAR(Data!$E830)+1)</f>
        <v>2024</v>
      </c>
      <c r="I830" s="6" t="str">
        <f>TEXT(Data!$E830,"DDDD")</f>
        <v>Saturday</v>
      </c>
      <c r="J830" s="6" t="s">
        <v>25</v>
      </c>
      <c r="K830" s="6">
        <f>ROUND(Data!$G830,0)</f>
        <v>4</v>
      </c>
      <c r="L830" t="str" cm="1">
        <f t="array" ref="L830">_xlfn.IFS(C830&lt;=15,"Very Short",C830&lt;=30,"Short",C830&lt;=60,"Medium",C830&gt;60,"Long")</f>
        <v>Long</v>
      </c>
      <c r="M830" t="str" cm="1">
        <f t="array" ref="M830">_xlfn.IFS(F830&lt;=50,"Low",F830&lt;=100,"Medium",F830&lt;=150,"High",F830&gt;150,"Very High")</f>
        <v>High</v>
      </c>
    </row>
    <row r="831" spans="1:13" ht="14.25" customHeight="1" x14ac:dyDescent="0.4">
      <c r="A831" s="6" t="s">
        <v>865</v>
      </c>
      <c r="B831" s="6" t="s">
        <v>68</v>
      </c>
      <c r="C831" s="6">
        <v>67</v>
      </c>
      <c r="D831" s="7" t="s">
        <v>24</v>
      </c>
      <c r="E831" s="11">
        <v>45213</v>
      </c>
      <c r="F831" s="10">
        <v>105</v>
      </c>
      <c r="G831" s="6">
        <v>3.8</v>
      </c>
      <c r="H831" s="6">
        <f>IF(MONTH(Data!$E831)&lt;=6, YEAR(Data!$E831), YEAR(Data!$E831)+1)</f>
        <v>2024</v>
      </c>
      <c r="I831" s="6" t="str">
        <f>TEXT(Data!$E831,"DDDD")</f>
        <v>Saturday</v>
      </c>
      <c r="J831" s="6" t="s">
        <v>14</v>
      </c>
      <c r="K831" s="6">
        <f>ROUND(Data!$G831,0)</f>
        <v>4</v>
      </c>
      <c r="L831" t="str" cm="1">
        <f t="array" ref="L831">_xlfn.IFS(C831&lt;=15,"Very Short",C831&lt;=30,"Short",C831&lt;=60,"Medium",C831&gt;60,"Long")</f>
        <v>Long</v>
      </c>
      <c r="M831" t="str" cm="1">
        <f t="array" ref="M831">_xlfn.IFS(F831&lt;=50,"Low",F831&lt;=100,"Medium",F831&lt;=150,"High",F831&gt;150,"Very High")</f>
        <v>High</v>
      </c>
    </row>
    <row r="832" spans="1:13" ht="14.25" customHeight="1" x14ac:dyDescent="0.4">
      <c r="A832" s="6" t="s">
        <v>866</v>
      </c>
      <c r="B832" s="6" t="s">
        <v>29</v>
      </c>
      <c r="C832" s="6">
        <v>125</v>
      </c>
      <c r="D832" s="7" t="s">
        <v>24</v>
      </c>
      <c r="E832" s="11">
        <v>45213</v>
      </c>
      <c r="F832" s="10">
        <v>82</v>
      </c>
      <c r="G832" s="6">
        <v>4.5999999999999996</v>
      </c>
      <c r="H832" s="6">
        <f>IF(MONTH(Data!$E832)&lt;=6, YEAR(Data!$E832), YEAR(Data!$E832)+1)</f>
        <v>2024</v>
      </c>
      <c r="I832" s="6" t="str">
        <f>TEXT(Data!$E832,"DDDD")</f>
        <v>Saturday</v>
      </c>
      <c r="J832" s="6" t="s">
        <v>25</v>
      </c>
      <c r="K832" s="6">
        <f>ROUND(Data!$G832,0)</f>
        <v>5</v>
      </c>
      <c r="L832" t="str" cm="1">
        <f t="array" ref="L832">_xlfn.IFS(C832&lt;=15,"Very Short",C832&lt;=30,"Short",C832&lt;=60,"Medium",C832&gt;60,"Long")</f>
        <v>Long</v>
      </c>
      <c r="M832" t="str" cm="1">
        <f t="array" ref="M832">_xlfn.IFS(F832&lt;=50,"Low",F832&lt;=100,"Medium",F832&lt;=150,"High",F832&gt;150,"Very High")</f>
        <v>Medium</v>
      </c>
    </row>
    <row r="833" spans="1:13" ht="14.25" customHeight="1" x14ac:dyDescent="0.4">
      <c r="A833" s="6" t="s">
        <v>867</v>
      </c>
      <c r="B833" s="6" t="s">
        <v>12</v>
      </c>
      <c r="C833" s="6">
        <v>23</v>
      </c>
      <c r="D833" s="7" t="s">
        <v>13</v>
      </c>
      <c r="E833" s="11">
        <v>45213</v>
      </c>
      <c r="F833" s="10">
        <v>24</v>
      </c>
      <c r="G833" s="6">
        <v>2.9</v>
      </c>
      <c r="H833" s="6">
        <f>IF(MONTH(Data!$E833)&lt;=6, YEAR(Data!$E833), YEAR(Data!$E833)+1)</f>
        <v>2024</v>
      </c>
      <c r="I833" s="6" t="str">
        <f>TEXT(Data!$E833,"DDDD")</f>
        <v>Saturday</v>
      </c>
      <c r="J833" s="6" t="s">
        <v>47</v>
      </c>
      <c r="K833" s="6">
        <f>ROUND(Data!$G833,0)</f>
        <v>3</v>
      </c>
      <c r="L833" t="str" cm="1">
        <f t="array" ref="L833">_xlfn.IFS(C833&lt;=15,"Very Short",C833&lt;=30,"Short",C833&lt;=60,"Medium",C833&gt;60,"Long")</f>
        <v>Short</v>
      </c>
      <c r="M833" t="str" cm="1">
        <f t="array" ref="M833">_xlfn.IFS(F833&lt;=50,"Low",F833&lt;=100,"Medium",F833&lt;=150,"High",F833&gt;150,"Very High")</f>
        <v>Low</v>
      </c>
    </row>
    <row r="834" spans="1:13" ht="14.25" customHeight="1" x14ac:dyDescent="0.4">
      <c r="A834" s="6" t="s">
        <v>868</v>
      </c>
      <c r="B834" s="6" t="s">
        <v>23</v>
      </c>
      <c r="C834" s="6">
        <v>131</v>
      </c>
      <c r="D834" s="7" t="s">
        <v>35</v>
      </c>
      <c r="E834" s="11">
        <v>45214</v>
      </c>
      <c r="F834" s="10">
        <v>205</v>
      </c>
      <c r="G834" s="6">
        <v>4.8</v>
      </c>
      <c r="H834" s="6">
        <f>IF(MONTH(Data!$E834)&lt;=6, YEAR(Data!$E834), YEAR(Data!$E834)+1)</f>
        <v>2024</v>
      </c>
      <c r="I834" s="6" t="str">
        <f>TEXT(Data!$E834,"DDDD")</f>
        <v>Sunday</v>
      </c>
      <c r="J834" s="6" t="s">
        <v>25</v>
      </c>
      <c r="K834" s="6">
        <f>ROUND(Data!$G834,0)</f>
        <v>5</v>
      </c>
      <c r="L834" t="str" cm="1">
        <f t="array" ref="L834">_xlfn.IFS(C834&lt;=15,"Very Short",C834&lt;=30,"Short",C834&lt;=60,"Medium",C834&gt;60,"Long")</f>
        <v>Long</v>
      </c>
      <c r="M834" t="str" cm="1">
        <f t="array" ref="M834">_xlfn.IFS(F834&lt;=50,"Low",F834&lt;=100,"Medium",F834&lt;=150,"High",F834&gt;150,"Very High")</f>
        <v>Very High</v>
      </c>
    </row>
    <row r="835" spans="1:13" ht="14.25" customHeight="1" x14ac:dyDescent="0.4">
      <c r="A835" s="6" t="s">
        <v>869</v>
      </c>
      <c r="B835" s="6" t="s">
        <v>16</v>
      </c>
      <c r="C835" s="6">
        <v>56</v>
      </c>
      <c r="D835" s="7" t="s">
        <v>19</v>
      </c>
      <c r="E835" s="11">
        <v>45214</v>
      </c>
      <c r="F835" s="10">
        <v>225</v>
      </c>
      <c r="G835" s="6">
        <v>4.9000000000000004</v>
      </c>
      <c r="H835" s="6">
        <f>IF(MONTH(Data!$E835)&lt;=6, YEAR(Data!$E835), YEAR(Data!$E835)+1)</f>
        <v>2024</v>
      </c>
      <c r="I835" s="6" t="str">
        <f>TEXT(Data!$E835,"DDDD")</f>
        <v>Sunday</v>
      </c>
      <c r="J835" s="6" t="s">
        <v>27</v>
      </c>
      <c r="K835" s="6">
        <f>ROUND(Data!$G835,0)</f>
        <v>5</v>
      </c>
      <c r="L835" t="str" cm="1">
        <f t="array" ref="L835">_xlfn.IFS(C835&lt;=15,"Very Short",C835&lt;=30,"Short",C835&lt;=60,"Medium",C835&gt;60,"Long")</f>
        <v>Medium</v>
      </c>
      <c r="M835" t="str" cm="1">
        <f t="array" ref="M835">_xlfn.IFS(F835&lt;=50,"Low",F835&lt;=100,"Medium",F835&lt;=150,"High",F835&gt;150,"Very High")</f>
        <v>Very High</v>
      </c>
    </row>
    <row r="836" spans="1:13" ht="14.25" customHeight="1" x14ac:dyDescent="0.4">
      <c r="A836" s="6" t="s">
        <v>870</v>
      </c>
      <c r="B836" s="6" t="s">
        <v>23</v>
      </c>
      <c r="C836" s="6">
        <v>70</v>
      </c>
      <c r="D836" s="7" t="s">
        <v>35</v>
      </c>
      <c r="E836" s="11">
        <v>45214</v>
      </c>
      <c r="F836" s="10">
        <v>50</v>
      </c>
      <c r="G836" s="6">
        <v>3.4</v>
      </c>
      <c r="H836" s="6">
        <f>IF(MONTH(Data!$E836)&lt;=6, YEAR(Data!$E836), YEAR(Data!$E836)+1)</f>
        <v>2024</v>
      </c>
      <c r="I836" s="6" t="str">
        <f>TEXT(Data!$E836,"DDDD")</f>
        <v>Sunday</v>
      </c>
      <c r="J836" s="6" t="s">
        <v>14</v>
      </c>
      <c r="K836" s="6">
        <f>ROUND(Data!$G836,0)</f>
        <v>3</v>
      </c>
      <c r="L836" t="str" cm="1">
        <f t="array" ref="L836">_xlfn.IFS(C836&lt;=15,"Very Short",C836&lt;=30,"Short",C836&lt;=60,"Medium",C836&gt;60,"Long")</f>
        <v>Long</v>
      </c>
      <c r="M836" t="str" cm="1">
        <f t="array" ref="M836">_xlfn.IFS(F836&lt;=50,"Low",F836&lt;=100,"Medium",F836&lt;=150,"High",F836&gt;150,"Very High")</f>
        <v>Low</v>
      </c>
    </row>
    <row r="837" spans="1:13" ht="14.25" customHeight="1" x14ac:dyDescent="0.4">
      <c r="A837" s="6" t="s">
        <v>871</v>
      </c>
      <c r="B837" s="6" t="s">
        <v>23</v>
      </c>
      <c r="C837" s="6">
        <v>55</v>
      </c>
      <c r="D837" s="7" t="s">
        <v>24</v>
      </c>
      <c r="E837" s="11">
        <v>45214</v>
      </c>
      <c r="F837" s="10">
        <v>80</v>
      </c>
      <c r="G837" s="6">
        <v>4.3</v>
      </c>
      <c r="H837" s="6">
        <f>IF(MONTH(Data!$E837)&lt;=6, YEAR(Data!$E837), YEAR(Data!$E837)+1)</f>
        <v>2024</v>
      </c>
      <c r="I837" s="6" t="str">
        <f>TEXT(Data!$E837,"DDDD")</f>
        <v>Sunday</v>
      </c>
      <c r="J837" s="6" t="s">
        <v>27</v>
      </c>
      <c r="K837" s="6">
        <f>ROUND(Data!$G837,0)</f>
        <v>4</v>
      </c>
      <c r="L837" t="str" cm="1">
        <f t="array" ref="L837">_xlfn.IFS(C837&lt;=15,"Very Short",C837&lt;=30,"Short",C837&lt;=60,"Medium",C837&gt;60,"Long")</f>
        <v>Medium</v>
      </c>
      <c r="M837" t="str" cm="1">
        <f t="array" ref="M837">_xlfn.IFS(F837&lt;=50,"Low",F837&lt;=100,"Medium",F837&lt;=150,"High",F837&gt;150,"Very High")</f>
        <v>Medium</v>
      </c>
    </row>
    <row r="838" spans="1:13" ht="14.25" customHeight="1" x14ac:dyDescent="0.4">
      <c r="A838" s="6" t="s">
        <v>872</v>
      </c>
      <c r="B838" s="6" t="s">
        <v>29</v>
      </c>
      <c r="C838" s="6">
        <v>77</v>
      </c>
      <c r="D838" s="7" t="s">
        <v>19</v>
      </c>
      <c r="E838" s="11">
        <v>45214</v>
      </c>
      <c r="F838" s="10">
        <v>78</v>
      </c>
      <c r="G838" s="6">
        <v>3.9</v>
      </c>
      <c r="H838" s="6">
        <f>IF(MONTH(Data!$E838)&lt;=6, YEAR(Data!$E838), YEAR(Data!$E838)+1)</f>
        <v>2024</v>
      </c>
      <c r="I838" s="6" t="str">
        <f>TEXT(Data!$E838,"DDDD")</f>
        <v>Sunday</v>
      </c>
      <c r="J838" s="6" t="s">
        <v>14</v>
      </c>
      <c r="K838" s="6">
        <f>ROUND(Data!$G838,0)</f>
        <v>4</v>
      </c>
      <c r="L838" t="str" cm="1">
        <f t="array" ref="L838">_xlfn.IFS(C838&lt;=15,"Very Short",C838&lt;=30,"Short",C838&lt;=60,"Medium",C838&gt;60,"Long")</f>
        <v>Long</v>
      </c>
      <c r="M838" t="str" cm="1">
        <f t="array" ref="M838">_xlfn.IFS(F838&lt;=50,"Low",F838&lt;=100,"Medium",F838&lt;=150,"High",F838&gt;150,"Very High")</f>
        <v>Medium</v>
      </c>
    </row>
    <row r="839" spans="1:13" ht="14.25" customHeight="1" x14ac:dyDescent="0.4">
      <c r="A839" s="6" t="s">
        <v>873</v>
      </c>
      <c r="B839" s="6" t="s">
        <v>21</v>
      </c>
      <c r="C839" s="6">
        <v>133</v>
      </c>
      <c r="D839" s="7" t="s">
        <v>35</v>
      </c>
      <c r="E839" s="11">
        <v>45215</v>
      </c>
      <c r="F839" s="10">
        <v>40</v>
      </c>
      <c r="G839" s="6">
        <v>3.9</v>
      </c>
      <c r="H839" s="6">
        <f>IF(MONTH(Data!$E839)&lt;=6, YEAR(Data!$E839), YEAR(Data!$E839)+1)</f>
        <v>2024</v>
      </c>
      <c r="I839" s="6" t="str">
        <f>TEXT(Data!$E839,"DDDD")</f>
        <v>Monday</v>
      </c>
      <c r="J839" s="6" t="s">
        <v>25</v>
      </c>
      <c r="K839" s="6">
        <f>ROUND(Data!$G839,0)</f>
        <v>4</v>
      </c>
      <c r="L839" t="str" cm="1">
        <f t="array" ref="L839">_xlfn.IFS(C839&lt;=15,"Very Short",C839&lt;=30,"Short",C839&lt;=60,"Medium",C839&gt;60,"Long")</f>
        <v>Long</v>
      </c>
      <c r="M839" t="str" cm="1">
        <f t="array" ref="M839">_xlfn.IFS(F839&lt;=50,"Low",F839&lt;=100,"Medium",F839&lt;=150,"High",F839&gt;150,"Very High")</f>
        <v>Low</v>
      </c>
    </row>
    <row r="840" spans="1:13" ht="14.25" customHeight="1" x14ac:dyDescent="0.4">
      <c r="A840" s="6" t="s">
        <v>874</v>
      </c>
      <c r="B840" s="6" t="s">
        <v>29</v>
      </c>
      <c r="C840" s="6">
        <v>77</v>
      </c>
      <c r="D840" s="7" t="s">
        <v>19</v>
      </c>
      <c r="E840" s="11">
        <v>45215</v>
      </c>
      <c r="F840" s="10">
        <v>176</v>
      </c>
      <c r="G840" s="6">
        <v>1.5</v>
      </c>
      <c r="H840" s="6">
        <f>IF(MONTH(Data!$E840)&lt;=6, YEAR(Data!$E840), YEAR(Data!$E840)+1)</f>
        <v>2024</v>
      </c>
      <c r="I840" s="6" t="str">
        <f>TEXT(Data!$E840,"DDDD")</f>
        <v>Monday</v>
      </c>
      <c r="J840" s="6" t="s">
        <v>14</v>
      </c>
      <c r="K840" s="6">
        <f>ROUND(Data!$G840,0)</f>
        <v>2</v>
      </c>
      <c r="L840" t="str" cm="1">
        <f t="array" ref="L840">_xlfn.IFS(C840&lt;=15,"Very Short",C840&lt;=30,"Short",C840&lt;=60,"Medium",C840&gt;60,"Long")</f>
        <v>Long</v>
      </c>
      <c r="M840" t="str" cm="1">
        <f t="array" ref="M840">_xlfn.IFS(F840&lt;=50,"Low",F840&lt;=100,"Medium",F840&lt;=150,"High",F840&gt;150,"Very High")</f>
        <v>Very High</v>
      </c>
    </row>
    <row r="841" spans="1:13" ht="14.25" customHeight="1" x14ac:dyDescent="0.4">
      <c r="A841" s="6" t="s">
        <v>875</v>
      </c>
      <c r="B841" s="6" t="s">
        <v>55</v>
      </c>
      <c r="C841" s="6">
        <v>103</v>
      </c>
      <c r="D841" s="7" t="s">
        <v>35</v>
      </c>
      <c r="E841" s="11">
        <v>45215</v>
      </c>
      <c r="F841" s="10">
        <v>78</v>
      </c>
      <c r="G841" s="6">
        <v>3</v>
      </c>
      <c r="H841" s="6">
        <f>IF(MONTH(Data!$E841)&lt;=6, YEAR(Data!$E841), YEAR(Data!$E841)+1)</f>
        <v>2024</v>
      </c>
      <c r="I841" s="6" t="str">
        <f>TEXT(Data!$E841,"DDDD")</f>
        <v>Monday</v>
      </c>
      <c r="J841" s="6" t="s">
        <v>14</v>
      </c>
      <c r="K841" s="6">
        <f>ROUND(Data!$G841,0)</f>
        <v>3</v>
      </c>
      <c r="L841" t="str" cm="1">
        <f t="array" ref="L841">_xlfn.IFS(C841&lt;=15,"Very Short",C841&lt;=30,"Short",C841&lt;=60,"Medium",C841&gt;60,"Long")</f>
        <v>Long</v>
      </c>
      <c r="M841" t="str" cm="1">
        <f t="array" ref="M841">_xlfn.IFS(F841&lt;=50,"Low",F841&lt;=100,"Medium",F841&lt;=150,"High",F841&gt;150,"Very High")</f>
        <v>Medium</v>
      </c>
    </row>
    <row r="842" spans="1:13" ht="14.25" customHeight="1" x14ac:dyDescent="0.4">
      <c r="A842" s="6" t="s">
        <v>876</v>
      </c>
      <c r="B842" s="6" t="s">
        <v>88</v>
      </c>
      <c r="C842" s="6">
        <v>32</v>
      </c>
      <c r="D842" s="7" t="s">
        <v>19</v>
      </c>
      <c r="E842" s="11">
        <v>45215</v>
      </c>
      <c r="F842" s="10">
        <v>42</v>
      </c>
      <c r="G842" s="6">
        <v>4.2</v>
      </c>
      <c r="H842" s="6">
        <f>IF(MONTH(Data!$E842)&lt;=6, YEAR(Data!$E842), YEAR(Data!$E842)+1)</f>
        <v>2024</v>
      </c>
      <c r="I842" s="6" t="str">
        <f>TEXT(Data!$E842,"DDDD")</f>
        <v>Monday</v>
      </c>
      <c r="J842" s="6" t="s">
        <v>27</v>
      </c>
      <c r="K842" s="6">
        <f>ROUND(Data!$G842,0)</f>
        <v>4</v>
      </c>
      <c r="L842" t="str" cm="1">
        <f t="array" ref="L842">_xlfn.IFS(C842&lt;=15,"Very Short",C842&lt;=30,"Short",C842&lt;=60,"Medium",C842&gt;60,"Long")</f>
        <v>Medium</v>
      </c>
      <c r="M842" t="str" cm="1">
        <f t="array" ref="M842">_xlfn.IFS(F842&lt;=50,"Low",F842&lt;=100,"Medium",F842&lt;=150,"High",F842&gt;150,"Very High")</f>
        <v>Low</v>
      </c>
    </row>
    <row r="843" spans="1:13" ht="14.25" customHeight="1" x14ac:dyDescent="0.4">
      <c r="A843" s="6" t="s">
        <v>877</v>
      </c>
      <c r="B843" s="6" t="s">
        <v>21</v>
      </c>
      <c r="C843" s="6">
        <v>30</v>
      </c>
      <c r="D843" s="7" t="s">
        <v>35</v>
      </c>
      <c r="E843" s="11">
        <v>45215</v>
      </c>
      <c r="F843" s="10">
        <v>38</v>
      </c>
      <c r="G843" s="6">
        <v>3.7</v>
      </c>
      <c r="H843" s="6">
        <f>IF(MONTH(Data!$E843)&lt;=6, YEAR(Data!$E843), YEAR(Data!$E843)+1)</f>
        <v>2024</v>
      </c>
      <c r="I843" s="6" t="str">
        <f>TEXT(Data!$E843,"DDDD")</f>
        <v>Monday</v>
      </c>
      <c r="J843" s="6" t="s">
        <v>47</v>
      </c>
      <c r="K843" s="6">
        <f>ROUND(Data!$G843,0)</f>
        <v>4</v>
      </c>
      <c r="L843" t="str" cm="1">
        <f t="array" ref="L843">_xlfn.IFS(C843&lt;=15,"Very Short",C843&lt;=30,"Short",C843&lt;=60,"Medium",C843&gt;60,"Long")</f>
        <v>Short</v>
      </c>
      <c r="M843" t="str" cm="1">
        <f t="array" ref="M843">_xlfn.IFS(F843&lt;=50,"Low",F843&lt;=100,"Medium",F843&lt;=150,"High",F843&gt;150,"Very High")</f>
        <v>Low</v>
      </c>
    </row>
    <row r="844" spans="1:13" ht="14.25" customHeight="1" x14ac:dyDescent="0.4">
      <c r="A844" s="6" t="s">
        <v>878</v>
      </c>
      <c r="B844" s="6" t="s">
        <v>18</v>
      </c>
      <c r="C844" s="6">
        <v>87</v>
      </c>
      <c r="D844" s="7" t="s">
        <v>31</v>
      </c>
      <c r="E844" s="11">
        <v>45215</v>
      </c>
      <c r="F844" s="10">
        <v>27</v>
      </c>
      <c r="G844" s="6">
        <v>4.2</v>
      </c>
      <c r="H844" s="6">
        <f>IF(MONTH(Data!$E844)&lt;=6, YEAR(Data!$E844), YEAR(Data!$E844)+1)</f>
        <v>2024</v>
      </c>
      <c r="I844" s="6" t="str">
        <f>TEXT(Data!$E844,"DDDD")</f>
        <v>Monday</v>
      </c>
      <c r="J844" s="6" t="s">
        <v>14</v>
      </c>
      <c r="K844" s="6">
        <f>ROUND(Data!$G844,0)</f>
        <v>4</v>
      </c>
      <c r="L844" t="str" cm="1">
        <f t="array" ref="L844">_xlfn.IFS(C844&lt;=15,"Very Short",C844&lt;=30,"Short",C844&lt;=60,"Medium",C844&gt;60,"Long")</f>
        <v>Long</v>
      </c>
      <c r="M844" t="str" cm="1">
        <f t="array" ref="M844">_xlfn.IFS(F844&lt;=50,"Low",F844&lt;=100,"Medium",F844&lt;=150,"High",F844&gt;150,"Very High")</f>
        <v>Low</v>
      </c>
    </row>
    <row r="845" spans="1:13" ht="14.25" customHeight="1" x14ac:dyDescent="0.4">
      <c r="A845" s="6" t="s">
        <v>879</v>
      </c>
      <c r="B845" s="6" t="s">
        <v>29</v>
      </c>
      <c r="C845" s="6">
        <v>137</v>
      </c>
      <c r="D845" s="7" t="s">
        <v>13</v>
      </c>
      <c r="E845" s="11">
        <v>45216</v>
      </c>
      <c r="F845" s="10">
        <v>45</v>
      </c>
      <c r="G845" s="6">
        <v>4.4000000000000004</v>
      </c>
      <c r="H845" s="6">
        <f>IF(MONTH(Data!$E845)&lt;=6, YEAR(Data!$E845), YEAR(Data!$E845)+1)</f>
        <v>2024</v>
      </c>
      <c r="I845" s="6" t="str">
        <f>TEXT(Data!$E845,"DDDD")</f>
        <v>Tuesday</v>
      </c>
      <c r="J845" s="6" t="s">
        <v>25</v>
      </c>
      <c r="K845" s="6">
        <f>ROUND(Data!$G845,0)</f>
        <v>4</v>
      </c>
      <c r="L845" t="str" cm="1">
        <f t="array" ref="L845">_xlfn.IFS(C845&lt;=15,"Very Short",C845&lt;=30,"Short",C845&lt;=60,"Medium",C845&gt;60,"Long")</f>
        <v>Long</v>
      </c>
      <c r="M845" t="str" cm="1">
        <f t="array" ref="M845">_xlfn.IFS(F845&lt;=50,"Low",F845&lt;=100,"Medium",F845&lt;=150,"High",F845&gt;150,"Very High")</f>
        <v>Low</v>
      </c>
    </row>
    <row r="846" spans="1:13" ht="14.25" customHeight="1" x14ac:dyDescent="0.4">
      <c r="A846" s="6" t="s">
        <v>880</v>
      </c>
      <c r="B846" s="6" t="s">
        <v>38</v>
      </c>
      <c r="C846" s="6">
        <v>96</v>
      </c>
      <c r="D846" s="7" t="s">
        <v>35</v>
      </c>
      <c r="E846" s="11">
        <v>45216</v>
      </c>
      <c r="F846" s="10">
        <v>215</v>
      </c>
      <c r="G846" s="6">
        <v>4</v>
      </c>
      <c r="H846" s="6">
        <f>IF(MONTH(Data!$E846)&lt;=6, YEAR(Data!$E846), YEAR(Data!$E846)+1)</f>
        <v>2024</v>
      </c>
      <c r="I846" s="6" t="str">
        <f>TEXT(Data!$E846,"DDDD")</f>
        <v>Tuesday</v>
      </c>
      <c r="J846" s="6" t="s">
        <v>14</v>
      </c>
      <c r="K846" s="6">
        <f>ROUND(Data!$G846,0)</f>
        <v>4</v>
      </c>
      <c r="L846" t="str" cm="1">
        <f t="array" ref="L846">_xlfn.IFS(C846&lt;=15,"Very Short",C846&lt;=30,"Short",C846&lt;=60,"Medium",C846&gt;60,"Long")</f>
        <v>Long</v>
      </c>
      <c r="M846" t="str" cm="1">
        <f t="array" ref="M846">_xlfn.IFS(F846&lt;=50,"Low",F846&lt;=100,"Medium",F846&lt;=150,"High",F846&gt;150,"Very High")</f>
        <v>Very High</v>
      </c>
    </row>
    <row r="847" spans="1:13" ht="14.25" customHeight="1" x14ac:dyDescent="0.4">
      <c r="A847" s="6" t="s">
        <v>881</v>
      </c>
      <c r="B847" s="6" t="s">
        <v>34</v>
      </c>
      <c r="C847" s="6">
        <v>155</v>
      </c>
      <c r="D847" s="7" t="s">
        <v>35</v>
      </c>
      <c r="E847" s="11">
        <v>45217</v>
      </c>
      <c r="F847" s="10">
        <v>72</v>
      </c>
      <c r="G847" s="6">
        <v>4.7</v>
      </c>
      <c r="H847" s="6">
        <f>IF(MONTH(Data!$E847)&lt;=6, YEAR(Data!$E847), YEAR(Data!$E847)+1)</f>
        <v>2024</v>
      </c>
      <c r="I847" s="6" t="str">
        <f>TEXT(Data!$E847,"DDDD")</f>
        <v>Wednesday</v>
      </c>
      <c r="J847" s="6" t="s">
        <v>25</v>
      </c>
      <c r="K847" s="6">
        <f>ROUND(Data!$G847,0)</f>
        <v>5</v>
      </c>
      <c r="L847" t="str" cm="1">
        <f t="array" ref="L847">_xlfn.IFS(C847&lt;=15,"Very Short",C847&lt;=30,"Short",C847&lt;=60,"Medium",C847&gt;60,"Long")</f>
        <v>Long</v>
      </c>
      <c r="M847" t="str" cm="1">
        <f t="array" ref="M847">_xlfn.IFS(F847&lt;=50,"Low",F847&lt;=100,"Medium",F847&lt;=150,"High",F847&gt;150,"Very High")</f>
        <v>Medium</v>
      </c>
    </row>
    <row r="848" spans="1:13" ht="14.25" customHeight="1" x14ac:dyDescent="0.4">
      <c r="A848" s="6" t="s">
        <v>882</v>
      </c>
      <c r="B848" s="6" t="s">
        <v>21</v>
      </c>
      <c r="C848" s="6">
        <v>173</v>
      </c>
      <c r="D848" s="7" t="s">
        <v>24</v>
      </c>
      <c r="E848" s="11">
        <v>45217</v>
      </c>
      <c r="F848" s="10">
        <v>160</v>
      </c>
      <c r="G848" s="6">
        <v>2.8</v>
      </c>
      <c r="H848" s="6">
        <f>IF(MONTH(Data!$E848)&lt;=6, YEAR(Data!$E848), YEAR(Data!$E848)+1)</f>
        <v>2024</v>
      </c>
      <c r="I848" s="6" t="str">
        <f>TEXT(Data!$E848,"DDDD")</f>
        <v>Wednesday</v>
      </c>
      <c r="J848" s="6" t="s">
        <v>25</v>
      </c>
      <c r="K848" s="6">
        <f>ROUND(Data!$G848,0)</f>
        <v>3</v>
      </c>
      <c r="L848" t="str" cm="1">
        <f t="array" ref="L848">_xlfn.IFS(C848&lt;=15,"Very Short",C848&lt;=30,"Short",C848&lt;=60,"Medium",C848&gt;60,"Long")</f>
        <v>Long</v>
      </c>
      <c r="M848" t="str" cm="1">
        <f t="array" ref="M848">_xlfn.IFS(F848&lt;=50,"Low",F848&lt;=100,"Medium",F848&lt;=150,"High",F848&gt;150,"Very High")</f>
        <v>Very High</v>
      </c>
    </row>
    <row r="849" spans="1:13" ht="14.25" customHeight="1" x14ac:dyDescent="0.4">
      <c r="A849" s="6" t="s">
        <v>883</v>
      </c>
      <c r="B849" s="6" t="s">
        <v>34</v>
      </c>
      <c r="C849" s="6">
        <v>127</v>
      </c>
      <c r="D849" s="7" t="s">
        <v>35</v>
      </c>
      <c r="E849" s="11">
        <v>45217</v>
      </c>
      <c r="F849" s="10">
        <v>165</v>
      </c>
      <c r="G849" s="6">
        <v>2.5</v>
      </c>
      <c r="H849" s="6">
        <f>IF(MONTH(Data!$E849)&lt;=6, YEAR(Data!$E849), YEAR(Data!$E849)+1)</f>
        <v>2024</v>
      </c>
      <c r="I849" s="6" t="str">
        <f>TEXT(Data!$E849,"DDDD")</f>
        <v>Wednesday</v>
      </c>
      <c r="J849" s="6" t="s">
        <v>25</v>
      </c>
      <c r="K849" s="6">
        <f>ROUND(Data!$G849,0)</f>
        <v>3</v>
      </c>
      <c r="L849" t="str" cm="1">
        <f t="array" ref="L849">_xlfn.IFS(C849&lt;=15,"Very Short",C849&lt;=30,"Short",C849&lt;=60,"Medium",C849&gt;60,"Long")</f>
        <v>Long</v>
      </c>
      <c r="M849" t="str" cm="1">
        <f t="array" ref="M849">_xlfn.IFS(F849&lt;=50,"Low",F849&lt;=100,"Medium",F849&lt;=150,"High",F849&gt;150,"Very High")</f>
        <v>Very High</v>
      </c>
    </row>
    <row r="850" spans="1:13" ht="14.25" customHeight="1" x14ac:dyDescent="0.4">
      <c r="A850" s="6" t="s">
        <v>884</v>
      </c>
      <c r="B850" s="6" t="s">
        <v>16</v>
      </c>
      <c r="C850" s="6">
        <v>117</v>
      </c>
      <c r="D850" s="7" t="s">
        <v>24</v>
      </c>
      <c r="E850" s="11">
        <v>45217</v>
      </c>
      <c r="F850" s="10">
        <v>120</v>
      </c>
      <c r="G850" s="6">
        <v>3.4</v>
      </c>
      <c r="H850" s="6">
        <f>IF(MONTH(Data!$E850)&lt;=6, YEAR(Data!$E850), YEAR(Data!$E850)+1)</f>
        <v>2024</v>
      </c>
      <c r="I850" s="6" t="str">
        <f>TEXT(Data!$E850,"DDDD")</f>
        <v>Wednesday</v>
      </c>
      <c r="J850" s="6" t="s">
        <v>14</v>
      </c>
      <c r="K850" s="6">
        <f>ROUND(Data!$G850,0)</f>
        <v>3</v>
      </c>
      <c r="L850" t="str" cm="1">
        <f t="array" ref="L850">_xlfn.IFS(C850&lt;=15,"Very Short",C850&lt;=30,"Short",C850&lt;=60,"Medium",C850&gt;60,"Long")</f>
        <v>Long</v>
      </c>
      <c r="M850" t="str" cm="1">
        <f t="array" ref="M850">_xlfn.IFS(F850&lt;=50,"Low",F850&lt;=100,"Medium",F850&lt;=150,"High",F850&gt;150,"Very High")</f>
        <v>High</v>
      </c>
    </row>
    <row r="851" spans="1:13" ht="14.25" customHeight="1" x14ac:dyDescent="0.4">
      <c r="A851" s="6" t="s">
        <v>885</v>
      </c>
      <c r="B851" s="6" t="s">
        <v>12</v>
      </c>
      <c r="C851" s="6">
        <v>133</v>
      </c>
      <c r="D851" s="7" t="s">
        <v>19</v>
      </c>
      <c r="E851" s="11">
        <v>45217</v>
      </c>
      <c r="F851" s="10">
        <v>117</v>
      </c>
      <c r="G851" s="6">
        <v>4.8</v>
      </c>
      <c r="H851" s="6">
        <f>IF(MONTH(Data!$E851)&lt;=6, YEAR(Data!$E851), YEAR(Data!$E851)+1)</f>
        <v>2024</v>
      </c>
      <c r="I851" s="6" t="str">
        <f>TEXT(Data!$E851,"DDDD")</f>
        <v>Wednesday</v>
      </c>
      <c r="J851" s="6" t="s">
        <v>25</v>
      </c>
      <c r="K851" s="6">
        <f>ROUND(Data!$G851,0)</f>
        <v>5</v>
      </c>
      <c r="L851" t="str" cm="1">
        <f t="array" ref="L851">_xlfn.IFS(C851&lt;=15,"Very Short",C851&lt;=30,"Short",C851&lt;=60,"Medium",C851&gt;60,"Long")</f>
        <v>Long</v>
      </c>
      <c r="M851" t="str" cm="1">
        <f t="array" ref="M851">_xlfn.IFS(F851&lt;=50,"Low",F851&lt;=100,"Medium",F851&lt;=150,"High",F851&gt;150,"Very High")</f>
        <v>High</v>
      </c>
    </row>
    <row r="852" spans="1:13" ht="14.25" customHeight="1" x14ac:dyDescent="0.4">
      <c r="A852" s="6" t="s">
        <v>886</v>
      </c>
      <c r="B852" s="6" t="s">
        <v>40</v>
      </c>
      <c r="C852" s="6">
        <v>166</v>
      </c>
      <c r="D852" s="7" t="s">
        <v>31</v>
      </c>
      <c r="E852" s="11">
        <v>45218</v>
      </c>
      <c r="F852" s="10">
        <v>29</v>
      </c>
      <c r="G852" s="6">
        <v>4.3</v>
      </c>
      <c r="H852" s="6">
        <f>IF(MONTH(Data!$E852)&lt;=6, YEAR(Data!$E852), YEAR(Data!$E852)+1)</f>
        <v>2024</v>
      </c>
      <c r="I852" s="6" t="str">
        <f>TEXT(Data!$E852,"DDDD")</f>
        <v>Thursday</v>
      </c>
      <c r="J852" s="6" t="s">
        <v>25</v>
      </c>
      <c r="K852" s="6">
        <f>ROUND(Data!$G852,0)</f>
        <v>4</v>
      </c>
      <c r="L852" t="str" cm="1">
        <f t="array" ref="L852">_xlfn.IFS(C852&lt;=15,"Very Short",C852&lt;=30,"Short",C852&lt;=60,"Medium",C852&gt;60,"Long")</f>
        <v>Long</v>
      </c>
      <c r="M852" t="str" cm="1">
        <f t="array" ref="M852">_xlfn.IFS(F852&lt;=50,"Low",F852&lt;=100,"Medium",F852&lt;=150,"High",F852&gt;150,"Very High")</f>
        <v>Low</v>
      </c>
    </row>
    <row r="853" spans="1:13" ht="14.25" customHeight="1" x14ac:dyDescent="0.4">
      <c r="A853" s="6" t="s">
        <v>887</v>
      </c>
      <c r="B853" s="6" t="s">
        <v>12</v>
      </c>
      <c r="C853" s="6">
        <v>50</v>
      </c>
      <c r="D853" s="7" t="s">
        <v>24</v>
      </c>
      <c r="E853" s="11">
        <v>45218</v>
      </c>
      <c r="F853" s="10">
        <v>64</v>
      </c>
      <c r="G853" s="6">
        <v>4.5</v>
      </c>
      <c r="H853" s="6">
        <f>IF(MONTH(Data!$E853)&lt;=6, YEAR(Data!$E853), YEAR(Data!$E853)+1)</f>
        <v>2024</v>
      </c>
      <c r="I853" s="6" t="str">
        <f>TEXT(Data!$E853,"DDDD")</f>
        <v>Thursday</v>
      </c>
      <c r="J853" s="6" t="s">
        <v>27</v>
      </c>
      <c r="K853" s="6">
        <f>ROUND(Data!$G853,0)</f>
        <v>5</v>
      </c>
      <c r="L853" t="str" cm="1">
        <f t="array" ref="L853">_xlfn.IFS(C853&lt;=15,"Very Short",C853&lt;=30,"Short",C853&lt;=60,"Medium",C853&gt;60,"Long")</f>
        <v>Medium</v>
      </c>
      <c r="M853" t="str" cm="1">
        <f t="array" ref="M853">_xlfn.IFS(F853&lt;=50,"Low",F853&lt;=100,"Medium",F853&lt;=150,"High",F853&gt;150,"Very High")</f>
        <v>Medium</v>
      </c>
    </row>
    <row r="854" spans="1:13" ht="14.25" customHeight="1" x14ac:dyDescent="0.4">
      <c r="A854" s="6" t="s">
        <v>888</v>
      </c>
      <c r="B854" s="6" t="s">
        <v>55</v>
      </c>
      <c r="C854" s="6">
        <v>43</v>
      </c>
      <c r="D854" s="7" t="s">
        <v>19</v>
      </c>
      <c r="E854" s="11">
        <v>45218</v>
      </c>
      <c r="F854" s="10">
        <v>84</v>
      </c>
      <c r="G854" s="6">
        <v>3.6</v>
      </c>
      <c r="H854" s="6">
        <f>IF(MONTH(Data!$E854)&lt;=6, YEAR(Data!$E854), YEAR(Data!$E854)+1)</f>
        <v>2024</v>
      </c>
      <c r="I854" s="6" t="str">
        <f>TEXT(Data!$E854,"DDDD")</f>
        <v>Thursday</v>
      </c>
      <c r="J854" s="6" t="s">
        <v>27</v>
      </c>
      <c r="K854" s="6">
        <f>ROUND(Data!$G854,0)</f>
        <v>4</v>
      </c>
      <c r="L854" t="str" cm="1">
        <f t="array" ref="L854">_xlfn.IFS(C854&lt;=15,"Very Short",C854&lt;=30,"Short",C854&lt;=60,"Medium",C854&gt;60,"Long")</f>
        <v>Medium</v>
      </c>
      <c r="M854" t="str" cm="1">
        <f t="array" ref="M854">_xlfn.IFS(F854&lt;=50,"Low",F854&lt;=100,"Medium",F854&lt;=150,"High",F854&gt;150,"Very High")</f>
        <v>Medium</v>
      </c>
    </row>
    <row r="855" spans="1:13" ht="14.25" customHeight="1" x14ac:dyDescent="0.4">
      <c r="A855" s="6" t="s">
        <v>889</v>
      </c>
      <c r="B855" s="6" t="s">
        <v>38</v>
      </c>
      <c r="C855" s="6">
        <v>124</v>
      </c>
      <c r="D855" s="7" t="s">
        <v>35</v>
      </c>
      <c r="E855" s="11">
        <v>45218</v>
      </c>
      <c r="F855" s="10">
        <v>42</v>
      </c>
      <c r="G855" s="6">
        <v>3.7</v>
      </c>
      <c r="H855" s="6">
        <f>IF(MONTH(Data!$E855)&lt;=6, YEAR(Data!$E855), YEAR(Data!$E855)+1)</f>
        <v>2024</v>
      </c>
      <c r="I855" s="6" t="str">
        <f>TEXT(Data!$E855,"DDDD")</f>
        <v>Thursday</v>
      </c>
      <c r="J855" s="6" t="s">
        <v>25</v>
      </c>
      <c r="K855" s="6">
        <f>ROUND(Data!$G855,0)</f>
        <v>4</v>
      </c>
      <c r="L855" t="str" cm="1">
        <f t="array" ref="L855">_xlfn.IFS(C855&lt;=15,"Very Short",C855&lt;=30,"Short",C855&lt;=60,"Medium",C855&gt;60,"Long")</f>
        <v>Long</v>
      </c>
      <c r="M855" t="str" cm="1">
        <f t="array" ref="M855">_xlfn.IFS(F855&lt;=50,"Low",F855&lt;=100,"Medium",F855&lt;=150,"High",F855&gt;150,"Very High")</f>
        <v>Low</v>
      </c>
    </row>
    <row r="856" spans="1:13" ht="14.25" customHeight="1" x14ac:dyDescent="0.4">
      <c r="A856" s="6" t="s">
        <v>890</v>
      </c>
      <c r="B856" s="6" t="s">
        <v>21</v>
      </c>
      <c r="C856" s="6">
        <v>94</v>
      </c>
      <c r="D856" s="7" t="s">
        <v>35</v>
      </c>
      <c r="E856" s="11">
        <v>45218</v>
      </c>
      <c r="F856" s="10">
        <v>120</v>
      </c>
      <c r="G856" s="6">
        <v>3.5</v>
      </c>
      <c r="H856" s="6">
        <f>IF(MONTH(Data!$E856)&lt;=6, YEAR(Data!$E856), YEAR(Data!$E856)+1)</f>
        <v>2024</v>
      </c>
      <c r="I856" s="6" t="str">
        <f>TEXT(Data!$E856,"DDDD")</f>
        <v>Thursday</v>
      </c>
      <c r="J856" s="6" t="s">
        <v>14</v>
      </c>
      <c r="K856" s="6">
        <f>ROUND(Data!$G856,0)</f>
        <v>4</v>
      </c>
      <c r="L856" t="str" cm="1">
        <f t="array" ref="L856">_xlfn.IFS(C856&lt;=15,"Very Short",C856&lt;=30,"Short",C856&lt;=60,"Medium",C856&gt;60,"Long")</f>
        <v>Long</v>
      </c>
      <c r="M856" t="str" cm="1">
        <f t="array" ref="M856">_xlfn.IFS(F856&lt;=50,"Low",F856&lt;=100,"Medium",F856&lt;=150,"High",F856&gt;150,"Very High")</f>
        <v>High</v>
      </c>
    </row>
    <row r="857" spans="1:13" ht="14.25" customHeight="1" x14ac:dyDescent="0.4">
      <c r="A857" s="6" t="s">
        <v>891</v>
      </c>
      <c r="B857" s="6" t="s">
        <v>55</v>
      </c>
      <c r="C857" s="6">
        <v>126</v>
      </c>
      <c r="D857" s="7" t="s">
        <v>31</v>
      </c>
      <c r="E857" s="11">
        <v>45219</v>
      </c>
      <c r="F857" s="10">
        <v>80</v>
      </c>
      <c r="G857" s="6">
        <v>4.7</v>
      </c>
      <c r="H857" s="6">
        <f>IF(MONTH(Data!$E857)&lt;=6, YEAR(Data!$E857), YEAR(Data!$E857)+1)</f>
        <v>2024</v>
      </c>
      <c r="I857" s="6" t="str">
        <f>TEXT(Data!$E857,"DDDD")</f>
        <v>Friday</v>
      </c>
      <c r="J857" s="6" t="s">
        <v>25</v>
      </c>
      <c r="K857" s="6">
        <f>ROUND(Data!$G857,0)</f>
        <v>5</v>
      </c>
      <c r="L857" t="str" cm="1">
        <f t="array" ref="L857">_xlfn.IFS(C857&lt;=15,"Very Short",C857&lt;=30,"Short",C857&lt;=60,"Medium",C857&gt;60,"Long")</f>
        <v>Long</v>
      </c>
      <c r="M857" t="str" cm="1">
        <f t="array" ref="M857">_xlfn.IFS(F857&lt;=50,"Low",F857&lt;=100,"Medium",F857&lt;=150,"High",F857&gt;150,"Very High")</f>
        <v>Medium</v>
      </c>
    </row>
    <row r="858" spans="1:13" ht="14.25" customHeight="1" x14ac:dyDescent="0.4">
      <c r="A858" s="6" t="s">
        <v>892</v>
      </c>
      <c r="B858" s="6" t="s">
        <v>40</v>
      </c>
      <c r="C858" s="6">
        <v>105</v>
      </c>
      <c r="D858" s="7" t="s">
        <v>24</v>
      </c>
      <c r="E858" s="11">
        <v>45219</v>
      </c>
      <c r="F858" s="10">
        <v>185</v>
      </c>
      <c r="G858" s="6">
        <v>3.5</v>
      </c>
      <c r="H858" s="6">
        <f>IF(MONTH(Data!$E858)&lt;=6, YEAR(Data!$E858), YEAR(Data!$E858)+1)</f>
        <v>2024</v>
      </c>
      <c r="I858" s="6" t="str">
        <f>TEXT(Data!$E858,"DDDD")</f>
        <v>Friday</v>
      </c>
      <c r="J858" s="6" t="s">
        <v>14</v>
      </c>
      <c r="K858" s="6">
        <f>ROUND(Data!$G858,0)</f>
        <v>4</v>
      </c>
      <c r="L858" t="str" cm="1">
        <f t="array" ref="L858">_xlfn.IFS(C858&lt;=15,"Very Short",C858&lt;=30,"Short",C858&lt;=60,"Medium",C858&gt;60,"Long")</f>
        <v>Long</v>
      </c>
      <c r="M858" t="str" cm="1">
        <f t="array" ref="M858">_xlfn.IFS(F858&lt;=50,"Low",F858&lt;=100,"Medium",F858&lt;=150,"High",F858&gt;150,"Very High")</f>
        <v>Very High</v>
      </c>
    </row>
    <row r="859" spans="1:13" ht="14.25" customHeight="1" x14ac:dyDescent="0.4">
      <c r="A859" s="6" t="s">
        <v>893</v>
      </c>
      <c r="B859" s="6" t="s">
        <v>23</v>
      </c>
      <c r="C859" s="6">
        <v>60</v>
      </c>
      <c r="D859" s="7" t="s">
        <v>13</v>
      </c>
      <c r="E859" s="11">
        <v>45220</v>
      </c>
      <c r="F859" s="10">
        <v>135</v>
      </c>
      <c r="G859" s="6">
        <v>3.9</v>
      </c>
      <c r="H859" s="6">
        <f>IF(MONTH(Data!$E859)&lt;=6, YEAR(Data!$E859), YEAR(Data!$E859)+1)</f>
        <v>2024</v>
      </c>
      <c r="I859" s="6" t="str">
        <f>TEXT(Data!$E859,"DDDD")</f>
        <v>Saturday</v>
      </c>
      <c r="J859" s="6" t="s">
        <v>27</v>
      </c>
      <c r="K859" s="6">
        <f>ROUND(Data!$G859,0)</f>
        <v>4</v>
      </c>
      <c r="L859" t="str" cm="1">
        <f t="array" ref="L859">_xlfn.IFS(C859&lt;=15,"Very Short",C859&lt;=30,"Short",C859&lt;=60,"Medium",C859&gt;60,"Long")</f>
        <v>Medium</v>
      </c>
      <c r="M859" t="str" cm="1">
        <f t="array" ref="M859">_xlfn.IFS(F859&lt;=50,"Low",F859&lt;=100,"Medium",F859&lt;=150,"High",F859&gt;150,"Very High")</f>
        <v>High</v>
      </c>
    </row>
    <row r="860" spans="1:13" ht="14.25" customHeight="1" x14ac:dyDescent="0.4">
      <c r="A860" s="6" t="s">
        <v>894</v>
      </c>
      <c r="B860" s="6" t="s">
        <v>23</v>
      </c>
      <c r="C860" s="6">
        <v>72</v>
      </c>
      <c r="D860" s="7" t="s">
        <v>24</v>
      </c>
      <c r="E860" s="11">
        <v>45220</v>
      </c>
      <c r="F860" s="10">
        <v>20</v>
      </c>
      <c r="G860" s="6">
        <v>4.8</v>
      </c>
      <c r="H860" s="6">
        <f>IF(MONTH(Data!$E860)&lt;=6, YEAR(Data!$E860), YEAR(Data!$E860)+1)</f>
        <v>2024</v>
      </c>
      <c r="I860" s="6" t="str">
        <f>TEXT(Data!$E860,"DDDD")</f>
        <v>Saturday</v>
      </c>
      <c r="J860" s="6" t="s">
        <v>14</v>
      </c>
      <c r="K860" s="6">
        <f>ROUND(Data!$G860,0)</f>
        <v>5</v>
      </c>
      <c r="L860" t="str" cm="1">
        <f t="array" ref="L860">_xlfn.IFS(C860&lt;=15,"Very Short",C860&lt;=30,"Short",C860&lt;=60,"Medium",C860&gt;60,"Long")</f>
        <v>Long</v>
      </c>
      <c r="M860" t="str" cm="1">
        <f t="array" ref="M860">_xlfn.IFS(F860&lt;=50,"Low",F860&lt;=100,"Medium",F860&lt;=150,"High",F860&gt;150,"Very High")</f>
        <v>Low</v>
      </c>
    </row>
    <row r="861" spans="1:13" ht="14.25" customHeight="1" x14ac:dyDescent="0.4">
      <c r="A861" s="6" t="s">
        <v>895</v>
      </c>
      <c r="B861" s="6" t="s">
        <v>58</v>
      </c>
      <c r="C861" s="6">
        <v>40</v>
      </c>
      <c r="D861" s="7" t="s">
        <v>24</v>
      </c>
      <c r="E861" s="11">
        <v>45220</v>
      </c>
      <c r="F861" s="10">
        <v>31</v>
      </c>
      <c r="G861" s="6">
        <v>4</v>
      </c>
      <c r="H861" s="6">
        <f>IF(MONTH(Data!$E861)&lt;=6, YEAR(Data!$E861), YEAR(Data!$E861)+1)</f>
        <v>2024</v>
      </c>
      <c r="I861" s="6" t="str">
        <f>TEXT(Data!$E861,"DDDD")</f>
        <v>Saturday</v>
      </c>
      <c r="J861" s="6" t="s">
        <v>27</v>
      </c>
      <c r="K861" s="6">
        <f>ROUND(Data!$G861,0)</f>
        <v>4</v>
      </c>
      <c r="L861" t="str" cm="1">
        <f t="array" ref="L861">_xlfn.IFS(C861&lt;=15,"Very Short",C861&lt;=30,"Short",C861&lt;=60,"Medium",C861&gt;60,"Long")</f>
        <v>Medium</v>
      </c>
      <c r="M861" t="str" cm="1">
        <f t="array" ref="M861">_xlfn.IFS(F861&lt;=50,"Low",F861&lt;=100,"Medium",F861&lt;=150,"High",F861&gt;150,"Very High")</f>
        <v>Low</v>
      </c>
    </row>
    <row r="862" spans="1:13" ht="14.25" customHeight="1" x14ac:dyDescent="0.4">
      <c r="A862" s="6" t="s">
        <v>896</v>
      </c>
      <c r="B862" s="6" t="s">
        <v>88</v>
      </c>
      <c r="C862" s="6">
        <v>54</v>
      </c>
      <c r="D862" s="7" t="s">
        <v>31</v>
      </c>
      <c r="E862" s="11">
        <v>45221</v>
      </c>
      <c r="F862" s="10">
        <v>120</v>
      </c>
      <c r="G862" s="6">
        <v>4.7</v>
      </c>
      <c r="H862" s="6">
        <f>IF(MONTH(Data!$E862)&lt;=6, YEAR(Data!$E862), YEAR(Data!$E862)+1)</f>
        <v>2024</v>
      </c>
      <c r="I862" s="6" t="str">
        <f>TEXT(Data!$E862,"DDDD")</f>
        <v>Sunday</v>
      </c>
      <c r="J862" s="6" t="s">
        <v>27</v>
      </c>
      <c r="K862" s="6">
        <f>ROUND(Data!$G862,0)</f>
        <v>5</v>
      </c>
      <c r="L862" t="str" cm="1">
        <f t="array" ref="L862">_xlfn.IFS(C862&lt;=15,"Very Short",C862&lt;=30,"Short",C862&lt;=60,"Medium",C862&gt;60,"Long")</f>
        <v>Medium</v>
      </c>
      <c r="M862" t="str" cm="1">
        <f t="array" ref="M862">_xlfn.IFS(F862&lt;=50,"Low",F862&lt;=100,"Medium",F862&lt;=150,"High",F862&gt;150,"Very High")</f>
        <v>High</v>
      </c>
    </row>
    <row r="863" spans="1:13" ht="14.25" customHeight="1" x14ac:dyDescent="0.4">
      <c r="A863" s="6" t="s">
        <v>897</v>
      </c>
      <c r="B863" s="6" t="s">
        <v>16</v>
      </c>
      <c r="C863" s="6">
        <v>81</v>
      </c>
      <c r="D863" s="7" t="s">
        <v>19</v>
      </c>
      <c r="E863" s="11">
        <v>45221</v>
      </c>
      <c r="F863" s="10">
        <v>117</v>
      </c>
      <c r="G863" s="6">
        <v>3.6</v>
      </c>
      <c r="H863" s="6">
        <f>IF(MONTH(Data!$E863)&lt;=6, YEAR(Data!$E863), YEAR(Data!$E863)+1)</f>
        <v>2024</v>
      </c>
      <c r="I863" s="6" t="str">
        <f>TEXT(Data!$E863,"DDDD")</f>
        <v>Sunday</v>
      </c>
      <c r="J863" s="6" t="s">
        <v>14</v>
      </c>
      <c r="K863" s="6">
        <f>ROUND(Data!$G863,0)</f>
        <v>4</v>
      </c>
      <c r="L863" t="str" cm="1">
        <f t="array" ref="L863">_xlfn.IFS(C863&lt;=15,"Very Short",C863&lt;=30,"Short",C863&lt;=60,"Medium",C863&gt;60,"Long")</f>
        <v>Long</v>
      </c>
      <c r="M863" t="str" cm="1">
        <f t="array" ref="M863">_xlfn.IFS(F863&lt;=50,"Low",F863&lt;=100,"Medium",F863&lt;=150,"High",F863&gt;150,"Very High")</f>
        <v>High</v>
      </c>
    </row>
    <row r="864" spans="1:13" ht="14.25" customHeight="1" x14ac:dyDescent="0.4">
      <c r="A864" s="6" t="s">
        <v>898</v>
      </c>
      <c r="B864" s="6" t="s">
        <v>88</v>
      </c>
      <c r="C864" s="6">
        <v>76</v>
      </c>
      <c r="D864" s="7" t="s">
        <v>35</v>
      </c>
      <c r="E864" s="11">
        <v>45221</v>
      </c>
      <c r="F864" s="10">
        <v>80</v>
      </c>
      <c r="G864" s="6">
        <v>4.5</v>
      </c>
      <c r="H864" s="6">
        <f>IF(MONTH(Data!$E864)&lt;=6, YEAR(Data!$E864), YEAR(Data!$E864)+1)</f>
        <v>2024</v>
      </c>
      <c r="I864" s="6" t="str">
        <f>TEXT(Data!$E864,"DDDD")</f>
        <v>Sunday</v>
      </c>
      <c r="J864" s="6" t="s">
        <v>14</v>
      </c>
      <c r="K864" s="6">
        <f>ROUND(Data!$G864,0)</f>
        <v>5</v>
      </c>
      <c r="L864" t="str" cm="1">
        <f t="array" ref="L864">_xlfn.IFS(C864&lt;=15,"Very Short",C864&lt;=30,"Short",C864&lt;=60,"Medium",C864&gt;60,"Long")</f>
        <v>Long</v>
      </c>
      <c r="M864" t="str" cm="1">
        <f t="array" ref="M864">_xlfn.IFS(F864&lt;=50,"Low",F864&lt;=100,"Medium",F864&lt;=150,"High",F864&gt;150,"Very High")</f>
        <v>Medium</v>
      </c>
    </row>
    <row r="865" spans="1:13" ht="14.25" customHeight="1" x14ac:dyDescent="0.4">
      <c r="A865" s="6" t="s">
        <v>899</v>
      </c>
      <c r="B865" s="6" t="s">
        <v>88</v>
      </c>
      <c r="C865" s="6">
        <v>37</v>
      </c>
      <c r="D865" s="7" t="s">
        <v>13</v>
      </c>
      <c r="E865" s="11">
        <v>45222</v>
      </c>
      <c r="F865" s="10">
        <v>117</v>
      </c>
      <c r="G865" s="6">
        <v>4</v>
      </c>
      <c r="H865" s="6">
        <f>IF(MONTH(Data!$E865)&lt;=6, YEAR(Data!$E865), YEAR(Data!$E865)+1)</f>
        <v>2024</v>
      </c>
      <c r="I865" s="6" t="str">
        <f>TEXT(Data!$E865,"DDDD")</f>
        <v>Monday</v>
      </c>
      <c r="J865" s="6" t="s">
        <v>27</v>
      </c>
      <c r="K865" s="6">
        <f>ROUND(Data!$G865,0)</f>
        <v>4</v>
      </c>
      <c r="L865" t="str" cm="1">
        <f t="array" ref="L865">_xlfn.IFS(C865&lt;=15,"Very Short",C865&lt;=30,"Short",C865&lt;=60,"Medium",C865&gt;60,"Long")</f>
        <v>Medium</v>
      </c>
      <c r="M865" t="str" cm="1">
        <f t="array" ref="M865">_xlfn.IFS(F865&lt;=50,"Low",F865&lt;=100,"Medium",F865&lt;=150,"High",F865&gt;150,"Very High")</f>
        <v>High</v>
      </c>
    </row>
    <row r="866" spans="1:13" ht="14.25" customHeight="1" x14ac:dyDescent="0.4">
      <c r="A866" s="6" t="s">
        <v>900</v>
      </c>
      <c r="B866" s="6" t="s">
        <v>40</v>
      </c>
      <c r="C866" s="6">
        <v>96</v>
      </c>
      <c r="D866" s="7" t="s">
        <v>31</v>
      </c>
      <c r="E866" s="11">
        <v>45222</v>
      </c>
      <c r="F866" s="10">
        <v>60</v>
      </c>
      <c r="G866" s="6">
        <v>4.5</v>
      </c>
      <c r="H866" s="6">
        <f>IF(MONTH(Data!$E866)&lt;=6, YEAR(Data!$E866), YEAR(Data!$E866)+1)</f>
        <v>2024</v>
      </c>
      <c r="I866" s="6" t="str">
        <f>TEXT(Data!$E866,"DDDD")</f>
        <v>Monday</v>
      </c>
      <c r="J866" s="6" t="s">
        <v>14</v>
      </c>
      <c r="K866" s="6">
        <f>ROUND(Data!$G866,0)</f>
        <v>5</v>
      </c>
      <c r="L866" t="str" cm="1">
        <f t="array" ref="L866">_xlfn.IFS(C866&lt;=15,"Very Short",C866&lt;=30,"Short",C866&lt;=60,"Medium",C866&gt;60,"Long")</f>
        <v>Long</v>
      </c>
      <c r="M866" t="str" cm="1">
        <f t="array" ref="M866">_xlfn.IFS(F866&lt;=50,"Low",F866&lt;=100,"Medium",F866&lt;=150,"High",F866&gt;150,"Very High")</f>
        <v>Medium</v>
      </c>
    </row>
    <row r="867" spans="1:13" ht="14.25" customHeight="1" x14ac:dyDescent="0.4">
      <c r="A867" s="6" t="s">
        <v>901</v>
      </c>
      <c r="B867" s="6" t="s">
        <v>23</v>
      </c>
      <c r="C867" s="6">
        <v>19</v>
      </c>
      <c r="D867" s="7" t="s">
        <v>35</v>
      </c>
      <c r="E867" s="11">
        <v>45223</v>
      </c>
      <c r="F867" s="10">
        <v>58</v>
      </c>
      <c r="G867" s="6">
        <v>3.9</v>
      </c>
      <c r="H867" s="6">
        <f>IF(MONTH(Data!$E867)&lt;=6, YEAR(Data!$E867), YEAR(Data!$E867)+1)</f>
        <v>2024</v>
      </c>
      <c r="I867" s="6" t="str">
        <f>TEXT(Data!$E867,"DDDD")</f>
        <v>Tuesday</v>
      </c>
      <c r="J867" s="6" t="s">
        <v>47</v>
      </c>
      <c r="K867" s="6">
        <f>ROUND(Data!$G867,0)</f>
        <v>4</v>
      </c>
      <c r="L867" t="str" cm="1">
        <f t="array" ref="L867">_xlfn.IFS(C867&lt;=15,"Very Short",C867&lt;=30,"Short",C867&lt;=60,"Medium",C867&gt;60,"Long")</f>
        <v>Short</v>
      </c>
      <c r="M867" t="str" cm="1">
        <f t="array" ref="M867">_xlfn.IFS(F867&lt;=50,"Low",F867&lt;=100,"Medium",F867&lt;=150,"High",F867&gt;150,"Very High")</f>
        <v>Medium</v>
      </c>
    </row>
    <row r="868" spans="1:13" ht="14.25" customHeight="1" x14ac:dyDescent="0.4">
      <c r="A868" s="6" t="s">
        <v>902</v>
      </c>
      <c r="B868" s="6" t="s">
        <v>58</v>
      </c>
      <c r="C868" s="6">
        <v>72</v>
      </c>
      <c r="D868" s="7" t="s">
        <v>13</v>
      </c>
      <c r="E868" s="11">
        <v>45223</v>
      </c>
      <c r="F868" s="10">
        <v>41</v>
      </c>
      <c r="G868" s="6">
        <v>4.3</v>
      </c>
      <c r="H868" s="6">
        <f>IF(MONTH(Data!$E868)&lt;=6, YEAR(Data!$E868), YEAR(Data!$E868)+1)</f>
        <v>2024</v>
      </c>
      <c r="I868" s="6" t="str">
        <f>TEXT(Data!$E868,"DDDD")</f>
        <v>Tuesday</v>
      </c>
      <c r="J868" s="6" t="s">
        <v>14</v>
      </c>
      <c r="K868" s="6">
        <f>ROUND(Data!$G868,0)</f>
        <v>4</v>
      </c>
      <c r="L868" t="str" cm="1">
        <f t="array" ref="L868">_xlfn.IFS(C868&lt;=15,"Very Short",C868&lt;=30,"Short",C868&lt;=60,"Medium",C868&gt;60,"Long")</f>
        <v>Long</v>
      </c>
      <c r="M868" t="str" cm="1">
        <f t="array" ref="M868">_xlfn.IFS(F868&lt;=50,"Low",F868&lt;=100,"Medium",F868&lt;=150,"High",F868&gt;150,"Very High")</f>
        <v>Low</v>
      </c>
    </row>
    <row r="869" spans="1:13" ht="14.25" customHeight="1" x14ac:dyDescent="0.4">
      <c r="A869" s="6" t="s">
        <v>903</v>
      </c>
      <c r="B869" s="6" t="s">
        <v>21</v>
      </c>
      <c r="C869" s="6">
        <v>73</v>
      </c>
      <c r="D869" s="7" t="s">
        <v>19</v>
      </c>
      <c r="E869" s="11">
        <v>45223</v>
      </c>
      <c r="F869" s="10">
        <v>180</v>
      </c>
      <c r="G869" s="6">
        <v>3.6</v>
      </c>
      <c r="H869" s="6">
        <f>IF(MONTH(Data!$E869)&lt;=6, YEAR(Data!$E869), YEAR(Data!$E869)+1)</f>
        <v>2024</v>
      </c>
      <c r="I869" s="6" t="str">
        <f>TEXT(Data!$E869,"DDDD")</f>
        <v>Tuesday</v>
      </c>
      <c r="J869" s="6" t="s">
        <v>14</v>
      </c>
      <c r="K869" s="6">
        <f>ROUND(Data!$G869,0)</f>
        <v>4</v>
      </c>
      <c r="L869" t="str" cm="1">
        <f t="array" ref="L869">_xlfn.IFS(C869&lt;=15,"Very Short",C869&lt;=30,"Short",C869&lt;=60,"Medium",C869&gt;60,"Long")</f>
        <v>Long</v>
      </c>
      <c r="M869" t="str" cm="1">
        <f t="array" ref="M869">_xlfn.IFS(F869&lt;=50,"Low",F869&lt;=100,"Medium",F869&lt;=150,"High",F869&gt;150,"Very High")</f>
        <v>Very High</v>
      </c>
    </row>
    <row r="870" spans="1:13" ht="14.25" customHeight="1" x14ac:dyDescent="0.4">
      <c r="A870" s="6" t="s">
        <v>904</v>
      </c>
      <c r="B870" s="6" t="s">
        <v>68</v>
      </c>
      <c r="C870" s="6">
        <v>87</v>
      </c>
      <c r="D870" s="7" t="s">
        <v>19</v>
      </c>
      <c r="E870" s="11">
        <v>45223</v>
      </c>
      <c r="F870" s="10">
        <v>42</v>
      </c>
      <c r="G870" s="6">
        <v>3.6</v>
      </c>
      <c r="H870" s="6">
        <f>IF(MONTH(Data!$E870)&lt;=6, YEAR(Data!$E870), YEAR(Data!$E870)+1)</f>
        <v>2024</v>
      </c>
      <c r="I870" s="6" t="str">
        <f>TEXT(Data!$E870,"DDDD")</f>
        <v>Tuesday</v>
      </c>
      <c r="J870" s="6" t="s">
        <v>14</v>
      </c>
      <c r="K870" s="6">
        <f>ROUND(Data!$G870,0)</f>
        <v>4</v>
      </c>
      <c r="L870" t="str" cm="1">
        <f t="array" ref="L870">_xlfn.IFS(C870&lt;=15,"Very Short",C870&lt;=30,"Short",C870&lt;=60,"Medium",C870&gt;60,"Long")</f>
        <v>Long</v>
      </c>
      <c r="M870" t="str" cm="1">
        <f t="array" ref="M870">_xlfn.IFS(F870&lt;=50,"Low",F870&lt;=100,"Medium",F870&lt;=150,"High",F870&gt;150,"Very High")</f>
        <v>Low</v>
      </c>
    </row>
    <row r="871" spans="1:13" ht="14.25" customHeight="1" x14ac:dyDescent="0.4">
      <c r="A871" s="6" t="s">
        <v>905</v>
      </c>
      <c r="B871" s="6" t="s">
        <v>68</v>
      </c>
      <c r="C871" s="6">
        <v>68</v>
      </c>
      <c r="D871" s="7" t="s">
        <v>19</v>
      </c>
      <c r="E871" s="11">
        <v>45224</v>
      </c>
      <c r="F871" s="10">
        <v>24</v>
      </c>
      <c r="G871" s="6">
        <v>4</v>
      </c>
      <c r="H871" s="6">
        <f>IF(MONTH(Data!$E871)&lt;=6, YEAR(Data!$E871), YEAR(Data!$E871)+1)</f>
        <v>2024</v>
      </c>
      <c r="I871" s="6" t="str">
        <f>TEXT(Data!$E871,"DDDD")</f>
        <v>Wednesday</v>
      </c>
      <c r="J871" s="6" t="s">
        <v>14</v>
      </c>
      <c r="K871" s="6">
        <f>ROUND(Data!$G871,0)</f>
        <v>4</v>
      </c>
      <c r="L871" t="str" cm="1">
        <f t="array" ref="L871">_xlfn.IFS(C871&lt;=15,"Very Short",C871&lt;=30,"Short",C871&lt;=60,"Medium",C871&gt;60,"Long")</f>
        <v>Long</v>
      </c>
      <c r="M871" t="str" cm="1">
        <f t="array" ref="M871">_xlfn.IFS(F871&lt;=50,"Low",F871&lt;=100,"Medium",F871&lt;=150,"High",F871&gt;150,"Very High")</f>
        <v>Low</v>
      </c>
    </row>
    <row r="872" spans="1:13" ht="14.25" customHeight="1" x14ac:dyDescent="0.4">
      <c r="A872" s="6" t="s">
        <v>906</v>
      </c>
      <c r="B872" s="6" t="s">
        <v>58</v>
      </c>
      <c r="C872" s="6">
        <v>101</v>
      </c>
      <c r="D872" s="7" t="s">
        <v>19</v>
      </c>
      <c r="E872" s="11">
        <v>45224</v>
      </c>
      <c r="F872" s="10">
        <v>125</v>
      </c>
      <c r="G872" s="6">
        <v>4.2</v>
      </c>
      <c r="H872" s="6">
        <f>IF(MONTH(Data!$E872)&lt;=6, YEAR(Data!$E872), YEAR(Data!$E872)+1)</f>
        <v>2024</v>
      </c>
      <c r="I872" s="6" t="str">
        <f>TEXT(Data!$E872,"DDDD")</f>
        <v>Wednesday</v>
      </c>
      <c r="J872" s="6" t="s">
        <v>14</v>
      </c>
      <c r="K872" s="6">
        <f>ROUND(Data!$G872,0)</f>
        <v>4</v>
      </c>
      <c r="L872" t="str" cm="1">
        <f t="array" ref="L872">_xlfn.IFS(C872&lt;=15,"Very Short",C872&lt;=30,"Short",C872&lt;=60,"Medium",C872&gt;60,"Long")</f>
        <v>Long</v>
      </c>
      <c r="M872" t="str" cm="1">
        <f t="array" ref="M872">_xlfn.IFS(F872&lt;=50,"Low",F872&lt;=100,"Medium",F872&lt;=150,"High",F872&gt;150,"Very High")</f>
        <v>High</v>
      </c>
    </row>
    <row r="873" spans="1:13" ht="14.25" customHeight="1" x14ac:dyDescent="0.4">
      <c r="A873" s="6" t="s">
        <v>907</v>
      </c>
      <c r="B873" s="6" t="s">
        <v>58</v>
      </c>
      <c r="C873" s="6">
        <v>107</v>
      </c>
      <c r="D873" s="7" t="s">
        <v>13</v>
      </c>
      <c r="E873" s="11">
        <v>45225</v>
      </c>
      <c r="F873" s="10">
        <v>78</v>
      </c>
      <c r="G873" s="6">
        <v>4.3</v>
      </c>
      <c r="H873" s="6">
        <f>IF(MONTH(Data!$E873)&lt;=6, YEAR(Data!$E873), YEAR(Data!$E873)+1)</f>
        <v>2024</v>
      </c>
      <c r="I873" s="6" t="str">
        <f>TEXT(Data!$E873,"DDDD")</f>
        <v>Thursday</v>
      </c>
      <c r="J873" s="6" t="s">
        <v>14</v>
      </c>
      <c r="K873" s="6">
        <f>ROUND(Data!$G873,0)</f>
        <v>4</v>
      </c>
      <c r="L873" t="str" cm="1">
        <f t="array" ref="L873">_xlfn.IFS(C873&lt;=15,"Very Short",C873&lt;=30,"Short",C873&lt;=60,"Medium",C873&gt;60,"Long")</f>
        <v>Long</v>
      </c>
      <c r="M873" t="str" cm="1">
        <f t="array" ref="M873">_xlfn.IFS(F873&lt;=50,"Low",F873&lt;=100,"Medium",F873&lt;=150,"High",F873&gt;150,"Very High")</f>
        <v>Medium</v>
      </c>
    </row>
    <row r="874" spans="1:13" ht="14.25" customHeight="1" x14ac:dyDescent="0.4">
      <c r="A874" s="6" t="s">
        <v>908</v>
      </c>
      <c r="B874" s="6" t="s">
        <v>46</v>
      </c>
      <c r="C874" s="6">
        <v>109</v>
      </c>
      <c r="D874" s="7" t="s">
        <v>24</v>
      </c>
      <c r="E874" s="11">
        <v>45225</v>
      </c>
      <c r="F874" s="10">
        <v>180</v>
      </c>
      <c r="G874" s="6">
        <v>3.8</v>
      </c>
      <c r="H874" s="6">
        <f>IF(MONTH(Data!$E874)&lt;=6, YEAR(Data!$E874), YEAR(Data!$E874)+1)</f>
        <v>2024</v>
      </c>
      <c r="I874" s="6" t="str">
        <f>TEXT(Data!$E874,"DDDD")</f>
        <v>Thursday</v>
      </c>
      <c r="J874" s="6" t="s">
        <v>14</v>
      </c>
      <c r="K874" s="6">
        <f>ROUND(Data!$G874,0)</f>
        <v>4</v>
      </c>
      <c r="L874" t="str" cm="1">
        <f t="array" ref="L874">_xlfn.IFS(C874&lt;=15,"Very Short",C874&lt;=30,"Short",C874&lt;=60,"Medium",C874&gt;60,"Long")</f>
        <v>Long</v>
      </c>
      <c r="M874" t="str" cm="1">
        <f t="array" ref="M874">_xlfn.IFS(F874&lt;=50,"Low",F874&lt;=100,"Medium",F874&lt;=150,"High",F874&gt;150,"Very High")</f>
        <v>Very High</v>
      </c>
    </row>
    <row r="875" spans="1:13" ht="14.25" customHeight="1" x14ac:dyDescent="0.4">
      <c r="A875" s="6" t="s">
        <v>909</v>
      </c>
      <c r="B875" s="6" t="s">
        <v>38</v>
      </c>
      <c r="C875" s="6">
        <v>171</v>
      </c>
      <c r="D875" s="7" t="s">
        <v>13</v>
      </c>
      <c r="E875" s="11">
        <v>45225</v>
      </c>
      <c r="F875" s="10">
        <v>84</v>
      </c>
      <c r="G875" s="6">
        <v>4.4000000000000004</v>
      </c>
      <c r="H875" s="6">
        <f>IF(MONTH(Data!$E875)&lt;=6, YEAR(Data!$E875), YEAR(Data!$E875)+1)</f>
        <v>2024</v>
      </c>
      <c r="I875" s="6" t="str">
        <f>TEXT(Data!$E875,"DDDD")</f>
        <v>Thursday</v>
      </c>
      <c r="J875" s="6" t="s">
        <v>25</v>
      </c>
      <c r="K875" s="6">
        <f>ROUND(Data!$G875,0)</f>
        <v>4</v>
      </c>
      <c r="L875" t="str" cm="1">
        <f t="array" ref="L875">_xlfn.IFS(C875&lt;=15,"Very Short",C875&lt;=30,"Short",C875&lt;=60,"Medium",C875&gt;60,"Long")</f>
        <v>Long</v>
      </c>
      <c r="M875" t="str" cm="1">
        <f t="array" ref="M875">_xlfn.IFS(F875&lt;=50,"Low",F875&lt;=100,"Medium",F875&lt;=150,"High",F875&gt;150,"Very High")</f>
        <v>Medium</v>
      </c>
    </row>
    <row r="876" spans="1:13" ht="14.25" customHeight="1" x14ac:dyDescent="0.4">
      <c r="A876" s="6" t="s">
        <v>910</v>
      </c>
      <c r="B876" s="6" t="s">
        <v>23</v>
      </c>
      <c r="C876" s="6">
        <v>21</v>
      </c>
      <c r="D876" s="7" t="s">
        <v>13</v>
      </c>
      <c r="E876" s="11">
        <v>45225</v>
      </c>
      <c r="F876" s="10">
        <v>26</v>
      </c>
      <c r="G876" s="6">
        <v>4.7</v>
      </c>
      <c r="H876" s="6">
        <f>IF(MONTH(Data!$E876)&lt;=6, YEAR(Data!$E876), YEAR(Data!$E876)+1)</f>
        <v>2024</v>
      </c>
      <c r="I876" s="6" t="str">
        <f>TEXT(Data!$E876,"DDDD")</f>
        <v>Thursday</v>
      </c>
      <c r="J876" s="6" t="s">
        <v>47</v>
      </c>
      <c r="K876" s="6">
        <f>ROUND(Data!$G876,0)</f>
        <v>5</v>
      </c>
      <c r="L876" t="str" cm="1">
        <f t="array" ref="L876">_xlfn.IFS(C876&lt;=15,"Very Short",C876&lt;=30,"Short",C876&lt;=60,"Medium",C876&gt;60,"Long")</f>
        <v>Short</v>
      </c>
      <c r="M876" t="str" cm="1">
        <f t="array" ref="M876">_xlfn.IFS(F876&lt;=50,"Low",F876&lt;=100,"Medium",F876&lt;=150,"High",F876&gt;150,"Very High")</f>
        <v>Low</v>
      </c>
    </row>
    <row r="877" spans="1:13" ht="14.25" customHeight="1" x14ac:dyDescent="0.4">
      <c r="A877" s="6" t="s">
        <v>911</v>
      </c>
      <c r="B877" s="6" t="s">
        <v>16</v>
      </c>
      <c r="C877" s="6">
        <v>94</v>
      </c>
      <c r="D877" s="7" t="s">
        <v>13</v>
      </c>
      <c r="E877" s="11">
        <v>45226</v>
      </c>
      <c r="F877" s="10">
        <v>140</v>
      </c>
      <c r="G877" s="6">
        <v>3.6</v>
      </c>
      <c r="H877" s="6">
        <f>IF(MONTH(Data!$E877)&lt;=6, YEAR(Data!$E877), YEAR(Data!$E877)+1)</f>
        <v>2024</v>
      </c>
      <c r="I877" s="6" t="str">
        <f>TEXT(Data!$E877,"DDDD")</f>
        <v>Friday</v>
      </c>
      <c r="J877" s="6" t="s">
        <v>14</v>
      </c>
      <c r="K877" s="6">
        <f>ROUND(Data!$G877,0)</f>
        <v>4</v>
      </c>
      <c r="L877" t="str" cm="1">
        <f t="array" ref="L877">_xlfn.IFS(C877&lt;=15,"Very Short",C877&lt;=30,"Short",C877&lt;=60,"Medium",C877&gt;60,"Long")</f>
        <v>Long</v>
      </c>
      <c r="M877" t="str" cm="1">
        <f t="array" ref="M877">_xlfn.IFS(F877&lt;=50,"Low",F877&lt;=100,"Medium",F877&lt;=150,"High",F877&gt;150,"Very High")</f>
        <v>High</v>
      </c>
    </row>
    <row r="878" spans="1:13" ht="14.25" customHeight="1" x14ac:dyDescent="0.4">
      <c r="A878" s="6" t="s">
        <v>912</v>
      </c>
      <c r="B878" s="6" t="s">
        <v>21</v>
      </c>
      <c r="C878" s="6">
        <v>97</v>
      </c>
      <c r="D878" s="7" t="s">
        <v>24</v>
      </c>
      <c r="E878" s="11">
        <v>45226</v>
      </c>
      <c r="F878" s="10">
        <v>31</v>
      </c>
      <c r="G878" s="6">
        <v>2.2000000000000002</v>
      </c>
      <c r="H878" s="6">
        <f>IF(MONTH(Data!$E878)&lt;=6, YEAR(Data!$E878), YEAR(Data!$E878)+1)</f>
        <v>2024</v>
      </c>
      <c r="I878" s="6" t="str">
        <f>TEXT(Data!$E878,"DDDD")</f>
        <v>Friday</v>
      </c>
      <c r="J878" s="6" t="s">
        <v>14</v>
      </c>
      <c r="K878" s="6">
        <f>ROUND(Data!$G878,0)</f>
        <v>2</v>
      </c>
      <c r="L878" t="str" cm="1">
        <f t="array" ref="L878">_xlfn.IFS(C878&lt;=15,"Very Short",C878&lt;=30,"Short",C878&lt;=60,"Medium",C878&gt;60,"Long")</f>
        <v>Long</v>
      </c>
      <c r="M878" t="str" cm="1">
        <f t="array" ref="M878">_xlfn.IFS(F878&lt;=50,"Low",F878&lt;=100,"Medium",F878&lt;=150,"High",F878&gt;150,"Very High")</f>
        <v>Low</v>
      </c>
    </row>
    <row r="879" spans="1:13" ht="14.25" customHeight="1" x14ac:dyDescent="0.4">
      <c r="A879" s="6" t="s">
        <v>913</v>
      </c>
      <c r="B879" s="6" t="s">
        <v>40</v>
      </c>
      <c r="C879" s="6">
        <v>72</v>
      </c>
      <c r="D879" s="7" t="s">
        <v>24</v>
      </c>
      <c r="E879" s="11">
        <v>45226</v>
      </c>
      <c r="F879" s="10">
        <v>108</v>
      </c>
      <c r="G879" s="6">
        <v>4.8</v>
      </c>
      <c r="H879" s="6">
        <f>IF(MONTH(Data!$E879)&lt;=6, YEAR(Data!$E879), YEAR(Data!$E879)+1)</f>
        <v>2024</v>
      </c>
      <c r="I879" s="6" t="str">
        <f>TEXT(Data!$E879,"DDDD")</f>
        <v>Friday</v>
      </c>
      <c r="J879" s="6" t="s">
        <v>14</v>
      </c>
      <c r="K879" s="6">
        <f>ROUND(Data!$G879,0)</f>
        <v>5</v>
      </c>
      <c r="L879" t="str" cm="1">
        <f t="array" ref="L879">_xlfn.IFS(C879&lt;=15,"Very Short",C879&lt;=30,"Short",C879&lt;=60,"Medium",C879&gt;60,"Long")</f>
        <v>Long</v>
      </c>
      <c r="M879" t="str" cm="1">
        <f t="array" ref="M879">_xlfn.IFS(F879&lt;=50,"Low",F879&lt;=100,"Medium",F879&lt;=150,"High",F879&gt;150,"Very High")</f>
        <v>High</v>
      </c>
    </row>
    <row r="880" spans="1:13" ht="14.25" customHeight="1" x14ac:dyDescent="0.4">
      <c r="A880" s="6" t="s">
        <v>914</v>
      </c>
      <c r="B880" s="6" t="s">
        <v>38</v>
      </c>
      <c r="C880" s="6">
        <v>143</v>
      </c>
      <c r="D880" s="7" t="s">
        <v>31</v>
      </c>
      <c r="E880" s="11">
        <v>45227</v>
      </c>
      <c r="F880" s="10">
        <v>58</v>
      </c>
      <c r="G880" s="6">
        <v>4.3</v>
      </c>
      <c r="H880" s="6">
        <f>IF(MONTH(Data!$E880)&lt;=6, YEAR(Data!$E880), YEAR(Data!$E880)+1)</f>
        <v>2024</v>
      </c>
      <c r="I880" s="6" t="str">
        <f>TEXT(Data!$E880,"DDDD")</f>
        <v>Saturday</v>
      </c>
      <c r="J880" s="6" t="s">
        <v>25</v>
      </c>
      <c r="K880" s="6">
        <f>ROUND(Data!$G880,0)</f>
        <v>4</v>
      </c>
      <c r="L880" t="str" cm="1">
        <f t="array" ref="L880">_xlfn.IFS(C880&lt;=15,"Very Short",C880&lt;=30,"Short",C880&lt;=60,"Medium",C880&gt;60,"Long")</f>
        <v>Long</v>
      </c>
      <c r="M880" t="str" cm="1">
        <f t="array" ref="M880">_xlfn.IFS(F880&lt;=50,"Low",F880&lt;=100,"Medium",F880&lt;=150,"High",F880&gt;150,"Very High")</f>
        <v>Medium</v>
      </c>
    </row>
    <row r="881" spans="1:13" ht="14.25" customHeight="1" x14ac:dyDescent="0.4">
      <c r="A881" s="6" t="s">
        <v>915</v>
      </c>
      <c r="B881" s="6" t="s">
        <v>38</v>
      </c>
      <c r="C881" s="6">
        <v>64</v>
      </c>
      <c r="D881" s="7" t="s">
        <v>24</v>
      </c>
      <c r="E881" s="11">
        <v>45227</v>
      </c>
      <c r="F881" s="10">
        <v>185</v>
      </c>
      <c r="G881" s="6">
        <v>2.2000000000000002</v>
      </c>
      <c r="H881" s="6">
        <f>IF(MONTH(Data!$E881)&lt;=6, YEAR(Data!$E881), YEAR(Data!$E881)+1)</f>
        <v>2024</v>
      </c>
      <c r="I881" s="6" t="str">
        <f>TEXT(Data!$E881,"DDDD")</f>
        <v>Saturday</v>
      </c>
      <c r="J881" s="6" t="s">
        <v>14</v>
      </c>
      <c r="K881" s="6">
        <f>ROUND(Data!$G881,0)</f>
        <v>2</v>
      </c>
      <c r="L881" t="str" cm="1">
        <f t="array" ref="L881">_xlfn.IFS(C881&lt;=15,"Very Short",C881&lt;=30,"Short",C881&lt;=60,"Medium",C881&gt;60,"Long")</f>
        <v>Long</v>
      </c>
      <c r="M881" t="str" cm="1">
        <f t="array" ref="M881">_xlfn.IFS(F881&lt;=50,"Low",F881&lt;=100,"Medium",F881&lt;=150,"High",F881&gt;150,"Very High")</f>
        <v>Very High</v>
      </c>
    </row>
    <row r="882" spans="1:13" ht="14.25" customHeight="1" x14ac:dyDescent="0.4">
      <c r="A882" s="6" t="s">
        <v>916</v>
      </c>
      <c r="B882" s="6" t="s">
        <v>38</v>
      </c>
      <c r="C882" s="6">
        <v>69</v>
      </c>
      <c r="D882" s="7" t="s">
        <v>24</v>
      </c>
      <c r="E882" s="11">
        <v>45227</v>
      </c>
      <c r="F882" s="10">
        <v>40</v>
      </c>
      <c r="G882" s="6">
        <v>4.8</v>
      </c>
      <c r="H882" s="6">
        <f>IF(MONTH(Data!$E882)&lt;=6, YEAR(Data!$E882), YEAR(Data!$E882)+1)</f>
        <v>2024</v>
      </c>
      <c r="I882" s="6" t="str">
        <f>TEXT(Data!$E882,"DDDD")</f>
        <v>Saturday</v>
      </c>
      <c r="J882" s="6" t="s">
        <v>14</v>
      </c>
      <c r="K882" s="6">
        <f>ROUND(Data!$G882,0)</f>
        <v>5</v>
      </c>
      <c r="L882" t="str" cm="1">
        <f t="array" ref="L882">_xlfn.IFS(C882&lt;=15,"Very Short",C882&lt;=30,"Short",C882&lt;=60,"Medium",C882&gt;60,"Long")</f>
        <v>Long</v>
      </c>
      <c r="M882" t="str" cm="1">
        <f t="array" ref="M882">_xlfn.IFS(F882&lt;=50,"Low",F882&lt;=100,"Medium",F882&lt;=150,"High",F882&gt;150,"Very High")</f>
        <v>Low</v>
      </c>
    </row>
    <row r="883" spans="1:13" ht="14.25" customHeight="1" x14ac:dyDescent="0.4">
      <c r="A883" s="6" t="s">
        <v>917</v>
      </c>
      <c r="B883" s="6" t="s">
        <v>38</v>
      </c>
      <c r="C883" s="6">
        <v>18</v>
      </c>
      <c r="D883" s="7" t="s">
        <v>35</v>
      </c>
      <c r="E883" s="11">
        <v>45227</v>
      </c>
      <c r="F883" s="10">
        <v>225</v>
      </c>
      <c r="G883" s="6">
        <v>2.6</v>
      </c>
      <c r="H883" s="6">
        <f>IF(MONTH(Data!$E883)&lt;=6, YEAR(Data!$E883), YEAR(Data!$E883)+1)</f>
        <v>2024</v>
      </c>
      <c r="I883" s="6" t="str">
        <f>TEXT(Data!$E883,"DDDD")</f>
        <v>Saturday</v>
      </c>
      <c r="J883" s="6" t="s">
        <v>47</v>
      </c>
      <c r="K883" s="6">
        <f>ROUND(Data!$G883,0)</f>
        <v>3</v>
      </c>
      <c r="L883" t="str" cm="1">
        <f t="array" ref="L883">_xlfn.IFS(C883&lt;=15,"Very Short",C883&lt;=30,"Short",C883&lt;=60,"Medium",C883&gt;60,"Long")</f>
        <v>Short</v>
      </c>
      <c r="M883" t="str" cm="1">
        <f t="array" ref="M883">_xlfn.IFS(F883&lt;=50,"Low",F883&lt;=100,"Medium",F883&lt;=150,"High",F883&gt;150,"Very High")</f>
        <v>Very High</v>
      </c>
    </row>
    <row r="884" spans="1:13" ht="14.25" customHeight="1" x14ac:dyDescent="0.4">
      <c r="A884" s="6" t="s">
        <v>918</v>
      </c>
      <c r="B884" s="6" t="s">
        <v>21</v>
      </c>
      <c r="C884" s="6">
        <v>100</v>
      </c>
      <c r="D884" s="7" t="s">
        <v>31</v>
      </c>
      <c r="E884" s="11">
        <v>45227</v>
      </c>
      <c r="F884" s="10">
        <v>150</v>
      </c>
      <c r="G884" s="6">
        <v>2.6</v>
      </c>
      <c r="H884" s="6">
        <f>IF(MONTH(Data!$E884)&lt;=6, YEAR(Data!$E884), YEAR(Data!$E884)+1)</f>
        <v>2024</v>
      </c>
      <c r="I884" s="6" t="str">
        <f>TEXT(Data!$E884,"DDDD")</f>
        <v>Saturday</v>
      </c>
      <c r="J884" s="6" t="s">
        <v>14</v>
      </c>
      <c r="K884" s="6">
        <f>ROUND(Data!$G884,0)</f>
        <v>3</v>
      </c>
      <c r="L884" t="str" cm="1">
        <f t="array" ref="L884">_xlfn.IFS(C884&lt;=15,"Very Short",C884&lt;=30,"Short",C884&lt;=60,"Medium",C884&gt;60,"Long")</f>
        <v>Long</v>
      </c>
      <c r="M884" t="str" cm="1">
        <f t="array" ref="M884">_xlfn.IFS(F884&lt;=50,"Low",F884&lt;=100,"Medium",F884&lt;=150,"High",F884&gt;150,"Very High")</f>
        <v>High</v>
      </c>
    </row>
    <row r="885" spans="1:13" ht="14.25" customHeight="1" x14ac:dyDescent="0.4">
      <c r="A885" s="6" t="s">
        <v>919</v>
      </c>
      <c r="B885" s="6" t="s">
        <v>34</v>
      </c>
      <c r="C885" s="6">
        <v>110</v>
      </c>
      <c r="D885" s="7" t="s">
        <v>19</v>
      </c>
      <c r="E885" s="11">
        <v>45228</v>
      </c>
      <c r="F885" s="10">
        <v>88</v>
      </c>
      <c r="G885" s="6">
        <v>3.4</v>
      </c>
      <c r="H885" s="6">
        <f>IF(MONTH(Data!$E885)&lt;=6, YEAR(Data!$E885), YEAR(Data!$E885)+1)</f>
        <v>2024</v>
      </c>
      <c r="I885" s="6" t="str">
        <f>TEXT(Data!$E885,"DDDD")</f>
        <v>Sunday</v>
      </c>
      <c r="J885" s="6" t="s">
        <v>14</v>
      </c>
      <c r="K885" s="6">
        <f>ROUND(Data!$G885,0)</f>
        <v>3</v>
      </c>
      <c r="L885" t="str" cm="1">
        <f t="array" ref="L885">_xlfn.IFS(C885&lt;=15,"Very Short",C885&lt;=30,"Short",C885&lt;=60,"Medium",C885&gt;60,"Long")</f>
        <v>Long</v>
      </c>
      <c r="M885" t="str" cm="1">
        <f t="array" ref="M885">_xlfn.IFS(F885&lt;=50,"Low",F885&lt;=100,"Medium",F885&lt;=150,"High",F885&gt;150,"Very High")</f>
        <v>Medium</v>
      </c>
    </row>
    <row r="886" spans="1:13" ht="14.25" customHeight="1" x14ac:dyDescent="0.4">
      <c r="A886" s="6" t="s">
        <v>920</v>
      </c>
      <c r="B886" s="6" t="s">
        <v>50</v>
      </c>
      <c r="C886" s="6">
        <v>41</v>
      </c>
      <c r="D886" s="7" t="s">
        <v>13</v>
      </c>
      <c r="E886" s="11">
        <v>45228</v>
      </c>
      <c r="F886" s="10">
        <v>140</v>
      </c>
      <c r="G886" s="6">
        <v>3.7</v>
      </c>
      <c r="H886" s="6">
        <f>IF(MONTH(Data!$E886)&lt;=6, YEAR(Data!$E886), YEAR(Data!$E886)+1)</f>
        <v>2024</v>
      </c>
      <c r="I886" s="6" t="str">
        <f>TEXT(Data!$E886,"DDDD")</f>
        <v>Sunday</v>
      </c>
      <c r="J886" s="6" t="s">
        <v>27</v>
      </c>
      <c r="K886" s="6">
        <f>ROUND(Data!$G886,0)</f>
        <v>4</v>
      </c>
      <c r="L886" t="str" cm="1">
        <f t="array" ref="L886">_xlfn.IFS(C886&lt;=15,"Very Short",C886&lt;=30,"Short",C886&lt;=60,"Medium",C886&gt;60,"Long")</f>
        <v>Medium</v>
      </c>
      <c r="M886" t="str" cm="1">
        <f t="array" ref="M886">_xlfn.IFS(F886&lt;=50,"Low",F886&lt;=100,"Medium",F886&lt;=150,"High",F886&gt;150,"Very High")</f>
        <v>High</v>
      </c>
    </row>
    <row r="887" spans="1:13" ht="14.25" customHeight="1" x14ac:dyDescent="0.4">
      <c r="A887" s="6" t="s">
        <v>921</v>
      </c>
      <c r="B887" s="6" t="s">
        <v>34</v>
      </c>
      <c r="C887" s="6">
        <v>147</v>
      </c>
      <c r="D887" s="7" t="s">
        <v>19</v>
      </c>
      <c r="E887" s="11">
        <v>45228</v>
      </c>
      <c r="F887" s="10">
        <v>68</v>
      </c>
      <c r="G887" s="6">
        <v>2.1</v>
      </c>
      <c r="H887" s="6">
        <f>IF(MONTH(Data!$E887)&lt;=6, YEAR(Data!$E887), YEAR(Data!$E887)+1)</f>
        <v>2024</v>
      </c>
      <c r="I887" s="6" t="str">
        <f>TEXT(Data!$E887,"DDDD")</f>
        <v>Sunday</v>
      </c>
      <c r="J887" s="6" t="s">
        <v>25</v>
      </c>
      <c r="K887" s="6">
        <f>ROUND(Data!$G887,0)</f>
        <v>2</v>
      </c>
      <c r="L887" t="str" cm="1">
        <f t="array" ref="L887">_xlfn.IFS(C887&lt;=15,"Very Short",C887&lt;=30,"Short",C887&lt;=60,"Medium",C887&gt;60,"Long")</f>
        <v>Long</v>
      </c>
      <c r="M887" t="str" cm="1">
        <f t="array" ref="M887">_xlfn.IFS(F887&lt;=50,"Low",F887&lt;=100,"Medium",F887&lt;=150,"High",F887&gt;150,"Very High")</f>
        <v>Medium</v>
      </c>
    </row>
    <row r="888" spans="1:13" ht="14.25" customHeight="1" x14ac:dyDescent="0.4">
      <c r="A888" s="6" t="s">
        <v>922</v>
      </c>
      <c r="B888" s="6" t="s">
        <v>16</v>
      </c>
      <c r="C888" s="6">
        <v>31</v>
      </c>
      <c r="D888" s="7" t="s">
        <v>35</v>
      </c>
      <c r="E888" s="11">
        <v>45229</v>
      </c>
      <c r="F888" s="10">
        <v>105</v>
      </c>
      <c r="G888" s="6">
        <v>3.6</v>
      </c>
      <c r="H888" s="6">
        <f>IF(MONTH(Data!$E888)&lt;=6, YEAR(Data!$E888), YEAR(Data!$E888)+1)</f>
        <v>2024</v>
      </c>
      <c r="I888" s="6" t="str">
        <f>TEXT(Data!$E888,"DDDD")</f>
        <v>Monday</v>
      </c>
      <c r="J888" s="6" t="s">
        <v>27</v>
      </c>
      <c r="K888" s="6">
        <f>ROUND(Data!$G888,0)</f>
        <v>4</v>
      </c>
      <c r="L888" t="str" cm="1">
        <f t="array" ref="L888">_xlfn.IFS(C888&lt;=15,"Very Short",C888&lt;=30,"Short",C888&lt;=60,"Medium",C888&gt;60,"Long")</f>
        <v>Medium</v>
      </c>
      <c r="M888" t="str" cm="1">
        <f t="array" ref="M888">_xlfn.IFS(F888&lt;=50,"Low",F888&lt;=100,"Medium",F888&lt;=150,"High",F888&gt;150,"Very High")</f>
        <v>High</v>
      </c>
    </row>
    <row r="889" spans="1:13" ht="14.25" customHeight="1" x14ac:dyDescent="0.4">
      <c r="A889" s="6" t="s">
        <v>923</v>
      </c>
      <c r="B889" s="6" t="s">
        <v>68</v>
      </c>
      <c r="C889" s="6">
        <v>142</v>
      </c>
      <c r="D889" s="7" t="s">
        <v>13</v>
      </c>
      <c r="E889" s="11">
        <v>45229</v>
      </c>
      <c r="F889" s="10">
        <v>40</v>
      </c>
      <c r="G889" s="6">
        <v>3.8</v>
      </c>
      <c r="H889" s="6">
        <f>IF(MONTH(Data!$E889)&lt;=6, YEAR(Data!$E889), YEAR(Data!$E889)+1)</f>
        <v>2024</v>
      </c>
      <c r="I889" s="6" t="str">
        <f>TEXT(Data!$E889,"DDDD")</f>
        <v>Monday</v>
      </c>
      <c r="J889" s="6" t="s">
        <v>25</v>
      </c>
      <c r="K889" s="6">
        <f>ROUND(Data!$G889,0)</f>
        <v>4</v>
      </c>
      <c r="L889" t="str" cm="1">
        <f t="array" ref="L889">_xlfn.IFS(C889&lt;=15,"Very Short",C889&lt;=30,"Short",C889&lt;=60,"Medium",C889&gt;60,"Long")</f>
        <v>Long</v>
      </c>
      <c r="M889" t="str" cm="1">
        <f t="array" ref="M889">_xlfn.IFS(F889&lt;=50,"Low",F889&lt;=100,"Medium",F889&lt;=150,"High",F889&gt;150,"Very High")</f>
        <v>Low</v>
      </c>
    </row>
    <row r="890" spans="1:13" ht="14.25" customHeight="1" x14ac:dyDescent="0.4">
      <c r="A890" s="6" t="s">
        <v>924</v>
      </c>
      <c r="B890" s="6" t="s">
        <v>46</v>
      </c>
      <c r="C890" s="6">
        <v>61</v>
      </c>
      <c r="D890" s="7" t="s">
        <v>13</v>
      </c>
      <c r="E890" s="11">
        <v>45229</v>
      </c>
      <c r="F890" s="10">
        <v>82</v>
      </c>
      <c r="G890" s="6">
        <v>3.1</v>
      </c>
      <c r="H890" s="6">
        <f>IF(MONTH(Data!$E890)&lt;=6, YEAR(Data!$E890), YEAR(Data!$E890)+1)</f>
        <v>2024</v>
      </c>
      <c r="I890" s="6" t="str">
        <f>TEXT(Data!$E890,"DDDD")</f>
        <v>Monday</v>
      </c>
      <c r="J890" s="6" t="s">
        <v>14</v>
      </c>
      <c r="K890" s="6">
        <f>ROUND(Data!$G890,0)</f>
        <v>3</v>
      </c>
      <c r="L890" t="str" cm="1">
        <f t="array" ref="L890">_xlfn.IFS(C890&lt;=15,"Very Short",C890&lt;=30,"Short",C890&lt;=60,"Medium",C890&gt;60,"Long")</f>
        <v>Long</v>
      </c>
      <c r="M890" t="str" cm="1">
        <f t="array" ref="M890">_xlfn.IFS(F890&lt;=50,"Low",F890&lt;=100,"Medium",F890&lt;=150,"High",F890&gt;150,"Very High")</f>
        <v>Medium</v>
      </c>
    </row>
    <row r="891" spans="1:13" ht="14.25" customHeight="1" x14ac:dyDescent="0.4">
      <c r="A891" s="6" t="s">
        <v>925</v>
      </c>
      <c r="B891" s="6" t="s">
        <v>12</v>
      </c>
      <c r="C891" s="6">
        <v>86</v>
      </c>
      <c r="D891" s="7" t="s">
        <v>35</v>
      </c>
      <c r="E891" s="11">
        <v>45230</v>
      </c>
      <c r="F891" s="10">
        <v>90</v>
      </c>
      <c r="G891" s="6">
        <v>4.4000000000000004</v>
      </c>
      <c r="H891" s="6">
        <f>IF(MONTH(Data!$E891)&lt;=6, YEAR(Data!$E891), YEAR(Data!$E891)+1)</f>
        <v>2024</v>
      </c>
      <c r="I891" s="6" t="str">
        <f>TEXT(Data!$E891,"DDDD")</f>
        <v>Tuesday</v>
      </c>
      <c r="J891" s="6" t="s">
        <v>14</v>
      </c>
      <c r="K891" s="6">
        <f>ROUND(Data!$G891,0)</f>
        <v>4</v>
      </c>
      <c r="L891" t="str" cm="1">
        <f t="array" ref="L891">_xlfn.IFS(C891&lt;=15,"Very Short",C891&lt;=30,"Short",C891&lt;=60,"Medium",C891&gt;60,"Long")</f>
        <v>Long</v>
      </c>
      <c r="M891" t="str" cm="1">
        <f t="array" ref="M891">_xlfn.IFS(F891&lt;=50,"Low",F891&lt;=100,"Medium",F891&lt;=150,"High",F891&gt;150,"Very High")</f>
        <v>Medium</v>
      </c>
    </row>
    <row r="892" spans="1:13" ht="14.25" customHeight="1" x14ac:dyDescent="0.4">
      <c r="A892" s="6" t="s">
        <v>926</v>
      </c>
      <c r="B892" s="6" t="s">
        <v>18</v>
      </c>
      <c r="C892" s="6">
        <v>165</v>
      </c>
      <c r="D892" s="7" t="s">
        <v>31</v>
      </c>
      <c r="E892" s="11">
        <v>45231</v>
      </c>
      <c r="F892" s="10">
        <v>66</v>
      </c>
      <c r="G892" s="6">
        <v>4.8</v>
      </c>
      <c r="H892" s="6">
        <f>IF(MONTH(Data!$E892)&lt;=6, YEAR(Data!$E892), YEAR(Data!$E892)+1)</f>
        <v>2024</v>
      </c>
      <c r="I892" s="6" t="str">
        <f>TEXT(Data!$E892,"DDDD")</f>
        <v>Wednesday</v>
      </c>
      <c r="J892" s="6" t="s">
        <v>25</v>
      </c>
      <c r="K892" s="6">
        <f>ROUND(Data!$G892,0)</f>
        <v>5</v>
      </c>
      <c r="L892" t="str" cm="1">
        <f t="array" ref="L892">_xlfn.IFS(C892&lt;=15,"Very Short",C892&lt;=30,"Short",C892&lt;=60,"Medium",C892&gt;60,"Long")</f>
        <v>Long</v>
      </c>
      <c r="M892" t="str" cm="1">
        <f t="array" ref="M892">_xlfn.IFS(F892&lt;=50,"Low",F892&lt;=100,"Medium",F892&lt;=150,"High",F892&gt;150,"Very High")</f>
        <v>Medium</v>
      </c>
    </row>
    <row r="893" spans="1:13" ht="14.25" customHeight="1" x14ac:dyDescent="0.4">
      <c r="A893" s="6" t="s">
        <v>927</v>
      </c>
      <c r="B893" s="6" t="s">
        <v>88</v>
      </c>
      <c r="C893" s="6">
        <v>62</v>
      </c>
      <c r="D893" s="7" t="s">
        <v>19</v>
      </c>
      <c r="E893" s="11">
        <v>45231</v>
      </c>
      <c r="F893" s="10">
        <v>78</v>
      </c>
      <c r="G893" s="6">
        <v>3.5</v>
      </c>
      <c r="H893" s="6">
        <f>IF(MONTH(Data!$E893)&lt;=6, YEAR(Data!$E893), YEAR(Data!$E893)+1)</f>
        <v>2024</v>
      </c>
      <c r="I893" s="6" t="str">
        <f>TEXT(Data!$E893,"DDDD")</f>
        <v>Wednesday</v>
      </c>
      <c r="J893" s="6" t="s">
        <v>14</v>
      </c>
      <c r="K893" s="6">
        <f>ROUND(Data!$G893,0)</f>
        <v>4</v>
      </c>
      <c r="L893" t="str" cm="1">
        <f t="array" ref="L893">_xlfn.IFS(C893&lt;=15,"Very Short",C893&lt;=30,"Short",C893&lt;=60,"Medium",C893&gt;60,"Long")</f>
        <v>Long</v>
      </c>
      <c r="M893" t="str" cm="1">
        <f t="array" ref="M893">_xlfn.IFS(F893&lt;=50,"Low",F893&lt;=100,"Medium",F893&lt;=150,"High",F893&gt;150,"Very High")</f>
        <v>Medium</v>
      </c>
    </row>
    <row r="894" spans="1:13" ht="14.25" customHeight="1" x14ac:dyDescent="0.4">
      <c r="A894" s="6" t="s">
        <v>928</v>
      </c>
      <c r="B894" s="6" t="s">
        <v>21</v>
      </c>
      <c r="C894" s="6">
        <v>103</v>
      </c>
      <c r="D894" s="7" t="s">
        <v>31</v>
      </c>
      <c r="E894" s="11">
        <v>45232</v>
      </c>
      <c r="F894" s="10">
        <v>66</v>
      </c>
      <c r="G894" s="6">
        <v>4.4000000000000004</v>
      </c>
      <c r="H894" s="6">
        <f>IF(MONTH(Data!$E894)&lt;=6, YEAR(Data!$E894), YEAR(Data!$E894)+1)</f>
        <v>2024</v>
      </c>
      <c r="I894" s="6" t="str">
        <f>TEXT(Data!$E894,"DDDD")</f>
        <v>Thursday</v>
      </c>
      <c r="J894" s="6" t="s">
        <v>14</v>
      </c>
      <c r="K894" s="6">
        <f>ROUND(Data!$G894,0)</f>
        <v>4</v>
      </c>
      <c r="L894" t="str" cm="1">
        <f t="array" ref="L894">_xlfn.IFS(C894&lt;=15,"Very Short",C894&lt;=30,"Short",C894&lt;=60,"Medium",C894&gt;60,"Long")</f>
        <v>Long</v>
      </c>
      <c r="M894" t="str" cm="1">
        <f t="array" ref="M894">_xlfn.IFS(F894&lt;=50,"Low",F894&lt;=100,"Medium",F894&lt;=150,"High",F894&gt;150,"Very High")</f>
        <v>Medium</v>
      </c>
    </row>
    <row r="895" spans="1:13" ht="14.25" customHeight="1" x14ac:dyDescent="0.4">
      <c r="A895" s="6" t="s">
        <v>929</v>
      </c>
      <c r="B895" s="6" t="s">
        <v>68</v>
      </c>
      <c r="C895" s="6">
        <v>56</v>
      </c>
      <c r="D895" s="7" t="s">
        <v>35</v>
      </c>
      <c r="E895" s="11">
        <v>45233</v>
      </c>
      <c r="F895" s="10">
        <v>160</v>
      </c>
      <c r="G895" s="6">
        <v>3.8</v>
      </c>
      <c r="H895" s="6">
        <f>IF(MONTH(Data!$E895)&lt;=6, YEAR(Data!$E895), YEAR(Data!$E895)+1)</f>
        <v>2024</v>
      </c>
      <c r="I895" s="6" t="str">
        <f>TEXT(Data!$E895,"DDDD")</f>
        <v>Friday</v>
      </c>
      <c r="J895" s="6" t="s">
        <v>27</v>
      </c>
      <c r="K895" s="6">
        <f>ROUND(Data!$G895,0)</f>
        <v>4</v>
      </c>
      <c r="L895" t="str" cm="1">
        <f t="array" ref="L895">_xlfn.IFS(C895&lt;=15,"Very Short",C895&lt;=30,"Short",C895&lt;=60,"Medium",C895&gt;60,"Long")</f>
        <v>Medium</v>
      </c>
      <c r="M895" t="str" cm="1">
        <f t="array" ref="M895">_xlfn.IFS(F895&lt;=50,"Low",F895&lt;=100,"Medium",F895&lt;=150,"High",F895&gt;150,"Very High")</f>
        <v>Very High</v>
      </c>
    </row>
    <row r="896" spans="1:13" ht="14.25" customHeight="1" x14ac:dyDescent="0.4">
      <c r="A896" s="6" t="s">
        <v>930</v>
      </c>
      <c r="B896" s="6" t="s">
        <v>58</v>
      </c>
      <c r="C896" s="6">
        <v>114</v>
      </c>
      <c r="D896" s="7" t="s">
        <v>13</v>
      </c>
      <c r="E896" s="11">
        <v>45234</v>
      </c>
      <c r="F896" s="10">
        <v>144</v>
      </c>
      <c r="G896" s="6">
        <v>3.8</v>
      </c>
      <c r="H896" s="6">
        <f>IF(MONTH(Data!$E896)&lt;=6, YEAR(Data!$E896), YEAR(Data!$E896)+1)</f>
        <v>2024</v>
      </c>
      <c r="I896" s="6" t="str">
        <f>TEXT(Data!$E896,"DDDD")</f>
        <v>Saturday</v>
      </c>
      <c r="J896" s="6" t="s">
        <v>14</v>
      </c>
      <c r="K896" s="6">
        <f>ROUND(Data!$G896,0)</f>
        <v>4</v>
      </c>
      <c r="L896" t="str" cm="1">
        <f t="array" ref="L896">_xlfn.IFS(C896&lt;=15,"Very Short",C896&lt;=30,"Short",C896&lt;=60,"Medium",C896&gt;60,"Long")</f>
        <v>Long</v>
      </c>
      <c r="M896" t="str" cm="1">
        <f t="array" ref="M896">_xlfn.IFS(F896&lt;=50,"Low",F896&lt;=100,"Medium",F896&lt;=150,"High",F896&gt;150,"Very High")</f>
        <v>High</v>
      </c>
    </row>
    <row r="897" spans="1:13" ht="14.25" customHeight="1" x14ac:dyDescent="0.4">
      <c r="A897" s="6" t="s">
        <v>931</v>
      </c>
      <c r="B897" s="6" t="s">
        <v>68</v>
      </c>
      <c r="C897" s="6">
        <v>112</v>
      </c>
      <c r="D897" s="7" t="s">
        <v>24</v>
      </c>
      <c r="E897" s="11">
        <v>45234</v>
      </c>
      <c r="F897" s="10">
        <v>200</v>
      </c>
      <c r="G897" s="6">
        <v>4.5999999999999996</v>
      </c>
      <c r="H897" s="6">
        <f>IF(MONTH(Data!$E897)&lt;=6, YEAR(Data!$E897), YEAR(Data!$E897)+1)</f>
        <v>2024</v>
      </c>
      <c r="I897" s="6" t="str">
        <f>TEXT(Data!$E897,"DDDD")</f>
        <v>Saturday</v>
      </c>
      <c r="J897" s="6" t="s">
        <v>14</v>
      </c>
      <c r="K897" s="6">
        <f>ROUND(Data!$G897,0)</f>
        <v>5</v>
      </c>
      <c r="L897" t="str" cm="1">
        <f t="array" ref="L897">_xlfn.IFS(C897&lt;=15,"Very Short",C897&lt;=30,"Short",C897&lt;=60,"Medium",C897&gt;60,"Long")</f>
        <v>Long</v>
      </c>
      <c r="M897" t="str" cm="1">
        <f t="array" ref="M897">_xlfn.IFS(F897&lt;=50,"Low",F897&lt;=100,"Medium",F897&lt;=150,"High",F897&gt;150,"Very High")</f>
        <v>Very High</v>
      </c>
    </row>
    <row r="898" spans="1:13" ht="14.25" customHeight="1" x14ac:dyDescent="0.4">
      <c r="A898" s="6" t="s">
        <v>932</v>
      </c>
      <c r="B898" s="6" t="s">
        <v>29</v>
      </c>
      <c r="C898" s="6">
        <v>52</v>
      </c>
      <c r="D898" s="7" t="s">
        <v>19</v>
      </c>
      <c r="E898" s="11">
        <v>45236</v>
      </c>
      <c r="F898" s="10">
        <v>220</v>
      </c>
      <c r="G898" s="6">
        <v>5</v>
      </c>
      <c r="H898" s="6">
        <f>IF(MONTH(Data!$E898)&lt;=6, YEAR(Data!$E898), YEAR(Data!$E898)+1)</f>
        <v>2024</v>
      </c>
      <c r="I898" s="6" t="str">
        <f>TEXT(Data!$E898,"DDDD")</f>
        <v>Monday</v>
      </c>
      <c r="J898" s="6" t="s">
        <v>27</v>
      </c>
      <c r="K898" s="6">
        <f>ROUND(Data!$G898,0)</f>
        <v>5</v>
      </c>
      <c r="L898" t="str" cm="1">
        <f t="array" ref="L898">_xlfn.IFS(C898&lt;=15,"Very Short",C898&lt;=30,"Short",C898&lt;=60,"Medium",C898&gt;60,"Long")</f>
        <v>Medium</v>
      </c>
      <c r="M898" t="str" cm="1">
        <f t="array" ref="M898">_xlfn.IFS(F898&lt;=50,"Low",F898&lt;=100,"Medium",F898&lt;=150,"High",F898&gt;150,"Very High")</f>
        <v>Very High</v>
      </c>
    </row>
    <row r="899" spans="1:13" ht="14.25" customHeight="1" x14ac:dyDescent="0.4">
      <c r="A899" s="6" t="s">
        <v>933</v>
      </c>
      <c r="B899" s="6" t="s">
        <v>21</v>
      </c>
      <c r="C899" s="6">
        <v>105</v>
      </c>
      <c r="D899" s="7" t="s">
        <v>31</v>
      </c>
      <c r="E899" s="11">
        <v>45237</v>
      </c>
      <c r="F899" s="10">
        <v>112</v>
      </c>
      <c r="G899" s="6">
        <v>3.2</v>
      </c>
      <c r="H899" s="6">
        <f>IF(MONTH(Data!$E899)&lt;=6, YEAR(Data!$E899), YEAR(Data!$E899)+1)</f>
        <v>2024</v>
      </c>
      <c r="I899" s="6" t="str">
        <f>TEXT(Data!$E899,"DDDD")</f>
        <v>Tuesday</v>
      </c>
      <c r="J899" s="6" t="s">
        <v>14</v>
      </c>
      <c r="K899" s="6">
        <f>ROUND(Data!$G899,0)</f>
        <v>3</v>
      </c>
      <c r="L899" t="str" cm="1">
        <f t="array" ref="L899">_xlfn.IFS(C899&lt;=15,"Very Short",C899&lt;=30,"Short",C899&lt;=60,"Medium",C899&gt;60,"Long")</f>
        <v>Long</v>
      </c>
      <c r="M899" t="str" cm="1">
        <f t="array" ref="M899">_xlfn.IFS(F899&lt;=50,"Low",F899&lt;=100,"Medium",F899&lt;=150,"High",F899&gt;150,"Very High")</f>
        <v>High</v>
      </c>
    </row>
    <row r="900" spans="1:13" ht="14.25" customHeight="1" x14ac:dyDescent="0.4">
      <c r="A900" s="6" t="s">
        <v>934</v>
      </c>
      <c r="B900" s="6" t="s">
        <v>18</v>
      </c>
      <c r="C900" s="6">
        <v>91</v>
      </c>
      <c r="D900" s="7" t="s">
        <v>35</v>
      </c>
      <c r="E900" s="11">
        <v>45237</v>
      </c>
      <c r="F900" s="10">
        <v>110</v>
      </c>
      <c r="G900" s="6">
        <v>3.7</v>
      </c>
      <c r="H900" s="6">
        <f>IF(MONTH(Data!$E900)&lt;=6, YEAR(Data!$E900), YEAR(Data!$E900)+1)</f>
        <v>2024</v>
      </c>
      <c r="I900" s="6" t="str">
        <f>TEXT(Data!$E900,"DDDD")</f>
        <v>Tuesday</v>
      </c>
      <c r="J900" s="6" t="s">
        <v>14</v>
      </c>
      <c r="K900" s="6">
        <f>ROUND(Data!$G900,0)</f>
        <v>4</v>
      </c>
      <c r="L900" t="str" cm="1">
        <f t="array" ref="L900">_xlfn.IFS(C900&lt;=15,"Very Short",C900&lt;=30,"Short",C900&lt;=60,"Medium",C900&gt;60,"Long")</f>
        <v>Long</v>
      </c>
      <c r="M900" t="str" cm="1">
        <f t="array" ref="M900">_xlfn.IFS(F900&lt;=50,"Low",F900&lt;=100,"Medium",F900&lt;=150,"High",F900&gt;150,"Very High")</f>
        <v>High</v>
      </c>
    </row>
    <row r="901" spans="1:13" ht="14.25" customHeight="1" x14ac:dyDescent="0.4">
      <c r="A901" s="6" t="s">
        <v>935</v>
      </c>
      <c r="B901" s="6" t="s">
        <v>55</v>
      </c>
      <c r="C901" s="6">
        <v>74</v>
      </c>
      <c r="D901" s="7" t="s">
        <v>13</v>
      </c>
      <c r="E901" s="11">
        <v>45238</v>
      </c>
      <c r="F901" s="10">
        <v>160</v>
      </c>
      <c r="G901" s="6">
        <v>2.7</v>
      </c>
      <c r="H901" s="6">
        <f>IF(MONTH(Data!$E901)&lt;=6, YEAR(Data!$E901), YEAR(Data!$E901)+1)</f>
        <v>2024</v>
      </c>
      <c r="I901" s="6" t="str">
        <f>TEXT(Data!$E901,"DDDD")</f>
        <v>Wednesday</v>
      </c>
      <c r="J901" s="6" t="s">
        <v>14</v>
      </c>
      <c r="K901" s="6">
        <f>ROUND(Data!$G901,0)</f>
        <v>3</v>
      </c>
      <c r="L901" t="str" cm="1">
        <f t="array" ref="L901">_xlfn.IFS(C901&lt;=15,"Very Short",C901&lt;=30,"Short",C901&lt;=60,"Medium",C901&gt;60,"Long")</f>
        <v>Long</v>
      </c>
      <c r="M901" t="str" cm="1">
        <f t="array" ref="M901">_xlfn.IFS(F901&lt;=50,"Low",F901&lt;=100,"Medium",F901&lt;=150,"High",F901&gt;150,"Very High")</f>
        <v>Very High</v>
      </c>
    </row>
    <row r="902" spans="1:13" ht="14.25" customHeight="1" x14ac:dyDescent="0.4">
      <c r="A902" s="6" t="s">
        <v>936</v>
      </c>
      <c r="B902" s="6" t="s">
        <v>55</v>
      </c>
      <c r="C902" s="6">
        <v>30</v>
      </c>
      <c r="D902" s="7" t="s">
        <v>35</v>
      </c>
      <c r="E902" s="11">
        <v>45238</v>
      </c>
      <c r="F902" s="10">
        <v>84</v>
      </c>
      <c r="G902" s="6">
        <v>4</v>
      </c>
      <c r="H902" s="6">
        <f>IF(MONTH(Data!$E902)&lt;=6, YEAR(Data!$E902), YEAR(Data!$E902)+1)</f>
        <v>2024</v>
      </c>
      <c r="I902" s="6" t="str">
        <f>TEXT(Data!$E902,"DDDD")</f>
        <v>Wednesday</v>
      </c>
      <c r="J902" s="6" t="s">
        <v>47</v>
      </c>
      <c r="K902" s="6">
        <f>ROUND(Data!$G902,0)</f>
        <v>4</v>
      </c>
      <c r="L902" t="str" cm="1">
        <f t="array" ref="L902">_xlfn.IFS(C902&lt;=15,"Very Short",C902&lt;=30,"Short",C902&lt;=60,"Medium",C902&gt;60,"Long")</f>
        <v>Short</v>
      </c>
      <c r="M902" t="str" cm="1">
        <f t="array" ref="M902">_xlfn.IFS(F902&lt;=50,"Low",F902&lt;=100,"Medium",F902&lt;=150,"High",F902&gt;150,"Very High")</f>
        <v>Medium</v>
      </c>
    </row>
    <row r="903" spans="1:13" ht="14.25" customHeight="1" x14ac:dyDescent="0.4">
      <c r="A903" s="6" t="s">
        <v>937</v>
      </c>
      <c r="B903" s="6" t="s">
        <v>18</v>
      </c>
      <c r="C903" s="6">
        <v>56</v>
      </c>
      <c r="D903" s="7" t="s">
        <v>19</v>
      </c>
      <c r="E903" s="11">
        <v>45238</v>
      </c>
      <c r="F903" s="10">
        <v>124</v>
      </c>
      <c r="G903" s="6">
        <v>2.6</v>
      </c>
      <c r="H903" s="6">
        <f>IF(MONTH(Data!$E903)&lt;=6, YEAR(Data!$E903), YEAR(Data!$E903)+1)</f>
        <v>2024</v>
      </c>
      <c r="I903" s="6" t="str">
        <f>TEXT(Data!$E903,"DDDD")</f>
        <v>Wednesday</v>
      </c>
      <c r="J903" s="6" t="s">
        <v>27</v>
      </c>
      <c r="K903" s="6">
        <f>ROUND(Data!$G903,0)</f>
        <v>3</v>
      </c>
      <c r="L903" t="str" cm="1">
        <f t="array" ref="L903">_xlfn.IFS(C903&lt;=15,"Very Short",C903&lt;=30,"Short",C903&lt;=60,"Medium",C903&gt;60,"Long")</f>
        <v>Medium</v>
      </c>
      <c r="M903" t="str" cm="1">
        <f t="array" ref="M903">_xlfn.IFS(F903&lt;=50,"Low",F903&lt;=100,"Medium",F903&lt;=150,"High",F903&gt;150,"Very High")</f>
        <v>High</v>
      </c>
    </row>
    <row r="904" spans="1:13" ht="14.25" customHeight="1" x14ac:dyDescent="0.4">
      <c r="A904" s="6" t="s">
        <v>938</v>
      </c>
      <c r="B904" s="6" t="s">
        <v>55</v>
      </c>
      <c r="C904" s="6">
        <v>151</v>
      </c>
      <c r="D904" s="7" t="s">
        <v>24</v>
      </c>
      <c r="E904" s="11">
        <v>45238</v>
      </c>
      <c r="F904" s="10">
        <v>84</v>
      </c>
      <c r="G904" s="6">
        <v>4.5999999999999996</v>
      </c>
      <c r="H904" s="6">
        <f>IF(MONTH(Data!$E904)&lt;=6, YEAR(Data!$E904), YEAR(Data!$E904)+1)</f>
        <v>2024</v>
      </c>
      <c r="I904" s="6" t="str">
        <f>TEXT(Data!$E904,"DDDD")</f>
        <v>Wednesday</v>
      </c>
      <c r="J904" s="6" t="s">
        <v>25</v>
      </c>
      <c r="K904" s="6">
        <f>ROUND(Data!$G904,0)</f>
        <v>5</v>
      </c>
      <c r="L904" t="str" cm="1">
        <f t="array" ref="L904">_xlfn.IFS(C904&lt;=15,"Very Short",C904&lt;=30,"Short",C904&lt;=60,"Medium",C904&gt;60,"Long")</f>
        <v>Long</v>
      </c>
      <c r="M904" t="str" cm="1">
        <f t="array" ref="M904">_xlfn.IFS(F904&lt;=50,"Low",F904&lt;=100,"Medium",F904&lt;=150,"High",F904&gt;150,"Very High")</f>
        <v>Medium</v>
      </c>
    </row>
    <row r="905" spans="1:13" ht="14.25" customHeight="1" x14ac:dyDescent="0.4">
      <c r="A905" s="6" t="s">
        <v>939</v>
      </c>
      <c r="B905" s="6" t="s">
        <v>16</v>
      </c>
      <c r="C905" s="6">
        <v>108</v>
      </c>
      <c r="D905" s="7" t="s">
        <v>31</v>
      </c>
      <c r="E905" s="11">
        <v>45239</v>
      </c>
      <c r="F905" s="10">
        <v>130</v>
      </c>
      <c r="G905" s="6">
        <v>2.7</v>
      </c>
      <c r="H905" s="6">
        <f>IF(MONTH(Data!$E905)&lt;=6, YEAR(Data!$E905), YEAR(Data!$E905)+1)</f>
        <v>2024</v>
      </c>
      <c r="I905" s="6" t="str">
        <f>TEXT(Data!$E905,"DDDD")</f>
        <v>Thursday</v>
      </c>
      <c r="J905" s="6" t="s">
        <v>14</v>
      </c>
      <c r="K905" s="6">
        <f>ROUND(Data!$G905,0)</f>
        <v>3</v>
      </c>
      <c r="L905" t="str" cm="1">
        <f t="array" ref="L905">_xlfn.IFS(C905&lt;=15,"Very Short",C905&lt;=30,"Short",C905&lt;=60,"Medium",C905&gt;60,"Long")</f>
        <v>Long</v>
      </c>
      <c r="M905" t="str" cm="1">
        <f t="array" ref="M905">_xlfn.IFS(F905&lt;=50,"Low",F905&lt;=100,"Medium",F905&lt;=150,"High",F905&gt;150,"Very High")</f>
        <v>High</v>
      </c>
    </row>
    <row r="906" spans="1:13" ht="14.25" customHeight="1" x14ac:dyDescent="0.4">
      <c r="A906" s="6" t="s">
        <v>940</v>
      </c>
      <c r="B906" s="6" t="s">
        <v>58</v>
      </c>
      <c r="C906" s="6">
        <v>124</v>
      </c>
      <c r="D906" s="7" t="s">
        <v>13</v>
      </c>
      <c r="E906" s="11">
        <v>45239</v>
      </c>
      <c r="F906" s="10">
        <v>215</v>
      </c>
      <c r="G906" s="6">
        <v>3.5</v>
      </c>
      <c r="H906" s="6">
        <f>IF(MONTH(Data!$E906)&lt;=6, YEAR(Data!$E906), YEAR(Data!$E906)+1)</f>
        <v>2024</v>
      </c>
      <c r="I906" s="6" t="str">
        <f>TEXT(Data!$E906,"DDDD")</f>
        <v>Thursday</v>
      </c>
      <c r="J906" s="6" t="s">
        <v>25</v>
      </c>
      <c r="K906" s="6">
        <f>ROUND(Data!$G906,0)</f>
        <v>4</v>
      </c>
      <c r="L906" t="str" cm="1">
        <f t="array" ref="L906">_xlfn.IFS(C906&lt;=15,"Very Short",C906&lt;=30,"Short",C906&lt;=60,"Medium",C906&gt;60,"Long")</f>
        <v>Long</v>
      </c>
      <c r="M906" t="str" cm="1">
        <f t="array" ref="M906">_xlfn.IFS(F906&lt;=50,"Low",F906&lt;=100,"Medium",F906&lt;=150,"High",F906&gt;150,"Very High")</f>
        <v>Very High</v>
      </c>
    </row>
    <row r="907" spans="1:13" ht="14.25" customHeight="1" x14ac:dyDescent="0.4">
      <c r="A907" s="6" t="s">
        <v>941</v>
      </c>
      <c r="B907" s="6" t="s">
        <v>21</v>
      </c>
      <c r="C907" s="6">
        <v>110</v>
      </c>
      <c r="D907" s="7" t="s">
        <v>19</v>
      </c>
      <c r="E907" s="11">
        <v>45240</v>
      </c>
      <c r="F907" s="10">
        <v>132</v>
      </c>
      <c r="G907" s="6">
        <v>3.6</v>
      </c>
      <c r="H907" s="6">
        <f>IF(MONTH(Data!$E907)&lt;=6, YEAR(Data!$E907), YEAR(Data!$E907)+1)</f>
        <v>2024</v>
      </c>
      <c r="I907" s="6" t="str">
        <f>TEXT(Data!$E907,"DDDD")</f>
        <v>Friday</v>
      </c>
      <c r="J907" s="6" t="s">
        <v>14</v>
      </c>
      <c r="K907" s="6">
        <f>ROUND(Data!$G907,0)</f>
        <v>4</v>
      </c>
      <c r="L907" t="str" cm="1">
        <f t="array" ref="L907">_xlfn.IFS(C907&lt;=15,"Very Short",C907&lt;=30,"Short",C907&lt;=60,"Medium",C907&gt;60,"Long")</f>
        <v>Long</v>
      </c>
      <c r="M907" t="str" cm="1">
        <f t="array" ref="M907">_xlfn.IFS(F907&lt;=50,"Low",F907&lt;=100,"Medium",F907&lt;=150,"High",F907&gt;150,"Very High")</f>
        <v>High</v>
      </c>
    </row>
    <row r="908" spans="1:13" ht="14.25" customHeight="1" x14ac:dyDescent="0.4">
      <c r="A908" s="6" t="s">
        <v>942</v>
      </c>
      <c r="B908" s="6" t="s">
        <v>34</v>
      </c>
      <c r="C908" s="6">
        <v>89</v>
      </c>
      <c r="D908" s="7" t="s">
        <v>31</v>
      </c>
      <c r="E908" s="11">
        <v>45240</v>
      </c>
      <c r="F908" s="10">
        <v>88</v>
      </c>
      <c r="G908" s="6">
        <v>4.9000000000000004</v>
      </c>
      <c r="H908" s="6">
        <f>IF(MONTH(Data!$E908)&lt;=6, YEAR(Data!$E908), YEAR(Data!$E908)+1)</f>
        <v>2024</v>
      </c>
      <c r="I908" s="6" t="str">
        <f>TEXT(Data!$E908,"DDDD")</f>
        <v>Friday</v>
      </c>
      <c r="J908" s="6" t="s">
        <v>14</v>
      </c>
      <c r="K908" s="6">
        <f>ROUND(Data!$G908,0)</f>
        <v>5</v>
      </c>
      <c r="L908" t="str" cm="1">
        <f t="array" ref="L908">_xlfn.IFS(C908&lt;=15,"Very Short",C908&lt;=30,"Short",C908&lt;=60,"Medium",C908&gt;60,"Long")</f>
        <v>Long</v>
      </c>
      <c r="M908" t="str" cm="1">
        <f t="array" ref="M908">_xlfn.IFS(F908&lt;=50,"Low",F908&lt;=100,"Medium",F908&lt;=150,"High",F908&gt;150,"Very High")</f>
        <v>Medium</v>
      </c>
    </row>
    <row r="909" spans="1:13" ht="14.25" customHeight="1" x14ac:dyDescent="0.4">
      <c r="A909" s="6" t="s">
        <v>943</v>
      </c>
      <c r="B909" s="6" t="s">
        <v>12</v>
      </c>
      <c r="C909" s="6">
        <v>95</v>
      </c>
      <c r="D909" s="7" t="s">
        <v>19</v>
      </c>
      <c r="E909" s="11">
        <v>45240</v>
      </c>
      <c r="F909" s="10">
        <v>140</v>
      </c>
      <c r="G909" s="6">
        <v>3.9</v>
      </c>
      <c r="H909" s="6">
        <f>IF(MONTH(Data!$E909)&lt;=6, YEAR(Data!$E909), YEAR(Data!$E909)+1)</f>
        <v>2024</v>
      </c>
      <c r="I909" s="6" t="str">
        <f>TEXT(Data!$E909,"DDDD")</f>
        <v>Friday</v>
      </c>
      <c r="J909" s="6" t="s">
        <v>14</v>
      </c>
      <c r="K909" s="6">
        <f>ROUND(Data!$G909,0)</f>
        <v>4</v>
      </c>
      <c r="L909" t="str" cm="1">
        <f t="array" ref="L909">_xlfn.IFS(C909&lt;=15,"Very Short",C909&lt;=30,"Short",C909&lt;=60,"Medium",C909&gt;60,"Long")</f>
        <v>Long</v>
      </c>
      <c r="M909" t="str" cm="1">
        <f t="array" ref="M909">_xlfn.IFS(F909&lt;=50,"Low",F909&lt;=100,"Medium",F909&lt;=150,"High",F909&gt;150,"Very High")</f>
        <v>High</v>
      </c>
    </row>
    <row r="910" spans="1:13" ht="14.25" customHeight="1" x14ac:dyDescent="0.4">
      <c r="A910" s="6" t="s">
        <v>944</v>
      </c>
      <c r="B910" s="6" t="s">
        <v>55</v>
      </c>
      <c r="C910" s="6">
        <v>84</v>
      </c>
      <c r="D910" s="7" t="s">
        <v>31</v>
      </c>
      <c r="E910" s="11">
        <v>45241</v>
      </c>
      <c r="F910" s="10">
        <v>66</v>
      </c>
      <c r="G910" s="6">
        <v>4.7</v>
      </c>
      <c r="H910" s="6">
        <f>IF(MONTH(Data!$E910)&lt;=6, YEAR(Data!$E910), YEAR(Data!$E910)+1)</f>
        <v>2024</v>
      </c>
      <c r="I910" s="6" t="str">
        <f>TEXT(Data!$E910,"DDDD")</f>
        <v>Saturday</v>
      </c>
      <c r="J910" s="6" t="s">
        <v>14</v>
      </c>
      <c r="K910" s="6">
        <f>ROUND(Data!$G910,0)</f>
        <v>5</v>
      </c>
      <c r="L910" t="str" cm="1">
        <f t="array" ref="L910">_xlfn.IFS(C910&lt;=15,"Very Short",C910&lt;=30,"Short",C910&lt;=60,"Medium",C910&gt;60,"Long")</f>
        <v>Long</v>
      </c>
      <c r="M910" t="str" cm="1">
        <f t="array" ref="M910">_xlfn.IFS(F910&lt;=50,"Low",F910&lt;=100,"Medium",F910&lt;=150,"High",F910&gt;150,"Very High")</f>
        <v>Medium</v>
      </c>
    </row>
    <row r="911" spans="1:13" ht="14.25" customHeight="1" x14ac:dyDescent="0.4">
      <c r="A911" s="6" t="s">
        <v>945</v>
      </c>
      <c r="B911" s="6" t="s">
        <v>40</v>
      </c>
      <c r="C911" s="6">
        <v>89</v>
      </c>
      <c r="D911" s="7" t="s">
        <v>13</v>
      </c>
      <c r="E911" s="11">
        <v>45241</v>
      </c>
      <c r="F911" s="10">
        <v>23</v>
      </c>
      <c r="G911" s="6">
        <v>4.5</v>
      </c>
      <c r="H911" s="6">
        <f>IF(MONTH(Data!$E911)&lt;=6, YEAR(Data!$E911), YEAR(Data!$E911)+1)</f>
        <v>2024</v>
      </c>
      <c r="I911" s="6" t="str">
        <f>TEXT(Data!$E911,"DDDD")</f>
        <v>Saturday</v>
      </c>
      <c r="J911" s="6" t="s">
        <v>14</v>
      </c>
      <c r="K911" s="6">
        <f>ROUND(Data!$G911,0)</f>
        <v>5</v>
      </c>
      <c r="L911" t="str" cm="1">
        <f t="array" ref="L911">_xlfn.IFS(C911&lt;=15,"Very Short",C911&lt;=30,"Short",C911&lt;=60,"Medium",C911&gt;60,"Long")</f>
        <v>Long</v>
      </c>
      <c r="M911" t="str" cm="1">
        <f t="array" ref="M911">_xlfn.IFS(F911&lt;=50,"Low",F911&lt;=100,"Medium",F911&lt;=150,"High",F911&gt;150,"Very High")</f>
        <v>Low</v>
      </c>
    </row>
    <row r="912" spans="1:13" ht="14.25" customHeight="1" x14ac:dyDescent="0.4">
      <c r="A912" s="6" t="s">
        <v>946</v>
      </c>
      <c r="B912" s="6" t="s">
        <v>34</v>
      </c>
      <c r="C912" s="6">
        <v>146</v>
      </c>
      <c r="D912" s="7" t="s">
        <v>13</v>
      </c>
      <c r="E912" s="11">
        <v>45242</v>
      </c>
      <c r="F912" s="10">
        <v>220</v>
      </c>
      <c r="G912" s="6">
        <v>4.5</v>
      </c>
      <c r="H912" s="6">
        <f>IF(MONTH(Data!$E912)&lt;=6, YEAR(Data!$E912), YEAR(Data!$E912)+1)</f>
        <v>2024</v>
      </c>
      <c r="I912" s="6" t="str">
        <f>TEXT(Data!$E912,"DDDD")</f>
        <v>Sunday</v>
      </c>
      <c r="J912" s="6" t="s">
        <v>25</v>
      </c>
      <c r="K912" s="6">
        <f>ROUND(Data!$G912,0)</f>
        <v>5</v>
      </c>
      <c r="L912" t="str" cm="1">
        <f t="array" ref="L912">_xlfn.IFS(C912&lt;=15,"Very Short",C912&lt;=30,"Short",C912&lt;=60,"Medium",C912&gt;60,"Long")</f>
        <v>Long</v>
      </c>
      <c r="M912" t="str" cm="1">
        <f t="array" ref="M912">_xlfn.IFS(F912&lt;=50,"Low",F912&lt;=100,"Medium",F912&lt;=150,"High",F912&gt;150,"Very High")</f>
        <v>Very High</v>
      </c>
    </row>
    <row r="913" spans="1:13" ht="14.25" customHeight="1" x14ac:dyDescent="0.4">
      <c r="A913" s="6" t="s">
        <v>947</v>
      </c>
      <c r="B913" s="6" t="s">
        <v>38</v>
      </c>
      <c r="C913" s="6">
        <v>62</v>
      </c>
      <c r="D913" s="7" t="s">
        <v>35</v>
      </c>
      <c r="E913" s="11">
        <v>45243</v>
      </c>
      <c r="F913" s="10">
        <v>175</v>
      </c>
      <c r="G913" s="6">
        <v>4.4000000000000004</v>
      </c>
      <c r="H913" s="6">
        <f>IF(MONTH(Data!$E913)&lt;=6, YEAR(Data!$E913), YEAR(Data!$E913)+1)</f>
        <v>2024</v>
      </c>
      <c r="I913" s="6" t="str">
        <f>TEXT(Data!$E913,"DDDD")</f>
        <v>Monday</v>
      </c>
      <c r="J913" s="6" t="s">
        <v>14</v>
      </c>
      <c r="K913" s="6">
        <f>ROUND(Data!$G913,0)</f>
        <v>4</v>
      </c>
      <c r="L913" t="str" cm="1">
        <f t="array" ref="L913">_xlfn.IFS(C913&lt;=15,"Very Short",C913&lt;=30,"Short",C913&lt;=60,"Medium",C913&gt;60,"Long")</f>
        <v>Long</v>
      </c>
      <c r="M913" t="str" cm="1">
        <f t="array" ref="M913">_xlfn.IFS(F913&lt;=50,"Low",F913&lt;=100,"Medium",F913&lt;=150,"High",F913&gt;150,"Very High")</f>
        <v>Very High</v>
      </c>
    </row>
    <row r="914" spans="1:13" ht="14.25" customHeight="1" x14ac:dyDescent="0.4">
      <c r="A914" s="6" t="s">
        <v>948</v>
      </c>
      <c r="B914" s="6" t="s">
        <v>68</v>
      </c>
      <c r="C914" s="6">
        <v>82</v>
      </c>
      <c r="D914" s="7" t="s">
        <v>13</v>
      </c>
      <c r="E914" s="11">
        <v>45243</v>
      </c>
      <c r="F914" s="10">
        <v>172</v>
      </c>
      <c r="G914" s="6">
        <v>4.0999999999999996</v>
      </c>
      <c r="H914" s="6">
        <f>IF(MONTH(Data!$E914)&lt;=6, YEAR(Data!$E914), YEAR(Data!$E914)+1)</f>
        <v>2024</v>
      </c>
      <c r="I914" s="6" t="str">
        <f>TEXT(Data!$E914,"DDDD")</f>
        <v>Monday</v>
      </c>
      <c r="J914" s="6" t="s">
        <v>14</v>
      </c>
      <c r="K914" s="6">
        <f>ROUND(Data!$G914,0)</f>
        <v>4</v>
      </c>
      <c r="L914" t="str" cm="1">
        <f t="array" ref="L914">_xlfn.IFS(C914&lt;=15,"Very Short",C914&lt;=30,"Short",C914&lt;=60,"Medium",C914&gt;60,"Long")</f>
        <v>Long</v>
      </c>
      <c r="M914" t="str" cm="1">
        <f t="array" ref="M914">_xlfn.IFS(F914&lt;=50,"Low",F914&lt;=100,"Medium",F914&lt;=150,"High",F914&gt;150,"Very High")</f>
        <v>Very High</v>
      </c>
    </row>
    <row r="915" spans="1:13" ht="14.25" customHeight="1" x14ac:dyDescent="0.4">
      <c r="A915" s="6" t="s">
        <v>949</v>
      </c>
      <c r="B915" s="6" t="s">
        <v>46</v>
      </c>
      <c r="C915" s="6">
        <v>91</v>
      </c>
      <c r="D915" s="7" t="s">
        <v>24</v>
      </c>
      <c r="E915" s="11">
        <v>45243</v>
      </c>
      <c r="F915" s="10">
        <v>108</v>
      </c>
      <c r="G915" s="6">
        <v>3.8</v>
      </c>
      <c r="H915" s="6">
        <f>IF(MONTH(Data!$E915)&lt;=6, YEAR(Data!$E915), YEAR(Data!$E915)+1)</f>
        <v>2024</v>
      </c>
      <c r="I915" s="6" t="str">
        <f>TEXT(Data!$E915,"DDDD")</f>
        <v>Monday</v>
      </c>
      <c r="J915" s="6" t="s">
        <v>14</v>
      </c>
      <c r="K915" s="6">
        <f>ROUND(Data!$G915,0)</f>
        <v>4</v>
      </c>
      <c r="L915" t="str" cm="1">
        <f t="array" ref="L915">_xlfn.IFS(C915&lt;=15,"Very Short",C915&lt;=30,"Short",C915&lt;=60,"Medium",C915&gt;60,"Long")</f>
        <v>Long</v>
      </c>
      <c r="M915" t="str" cm="1">
        <f t="array" ref="M915">_xlfn.IFS(F915&lt;=50,"Low",F915&lt;=100,"Medium",F915&lt;=150,"High",F915&gt;150,"Very High")</f>
        <v>High</v>
      </c>
    </row>
    <row r="916" spans="1:13" ht="14.25" customHeight="1" x14ac:dyDescent="0.4">
      <c r="A916" s="6" t="s">
        <v>950</v>
      </c>
      <c r="B916" s="6" t="s">
        <v>40</v>
      </c>
      <c r="C916" s="6">
        <v>39</v>
      </c>
      <c r="D916" s="7" t="s">
        <v>13</v>
      </c>
      <c r="E916" s="11">
        <v>45244</v>
      </c>
      <c r="F916" s="10">
        <v>43</v>
      </c>
      <c r="G916" s="6">
        <v>4.2</v>
      </c>
      <c r="H916" s="6">
        <f>IF(MONTH(Data!$E916)&lt;=6, YEAR(Data!$E916), YEAR(Data!$E916)+1)</f>
        <v>2024</v>
      </c>
      <c r="I916" s="6" t="str">
        <f>TEXT(Data!$E916,"DDDD")</f>
        <v>Tuesday</v>
      </c>
      <c r="J916" s="6" t="s">
        <v>27</v>
      </c>
      <c r="K916" s="6">
        <f>ROUND(Data!$G916,0)</f>
        <v>4</v>
      </c>
      <c r="L916" t="str" cm="1">
        <f t="array" ref="L916">_xlfn.IFS(C916&lt;=15,"Very Short",C916&lt;=30,"Short",C916&lt;=60,"Medium",C916&gt;60,"Long")</f>
        <v>Medium</v>
      </c>
      <c r="M916" t="str" cm="1">
        <f t="array" ref="M916">_xlfn.IFS(F916&lt;=50,"Low",F916&lt;=100,"Medium",F916&lt;=150,"High",F916&gt;150,"Very High")</f>
        <v>Low</v>
      </c>
    </row>
    <row r="917" spans="1:13" ht="14.25" customHeight="1" x14ac:dyDescent="0.4">
      <c r="A917" s="6" t="s">
        <v>951</v>
      </c>
      <c r="B917" s="6" t="s">
        <v>34</v>
      </c>
      <c r="C917" s="6">
        <v>149</v>
      </c>
      <c r="D917" s="7" t="s">
        <v>19</v>
      </c>
      <c r="E917" s="11">
        <v>45244</v>
      </c>
      <c r="F917" s="10">
        <v>44</v>
      </c>
      <c r="G917" s="6">
        <v>2.2000000000000002</v>
      </c>
      <c r="H917" s="6">
        <f>IF(MONTH(Data!$E917)&lt;=6, YEAR(Data!$E917), YEAR(Data!$E917)+1)</f>
        <v>2024</v>
      </c>
      <c r="I917" s="6" t="str">
        <f>TEXT(Data!$E917,"DDDD")</f>
        <v>Tuesday</v>
      </c>
      <c r="J917" s="6" t="s">
        <v>25</v>
      </c>
      <c r="K917" s="6">
        <f>ROUND(Data!$G917,0)</f>
        <v>2</v>
      </c>
      <c r="L917" t="str" cm="1">
        <f t="array" ref="L917">_xlfn.IFS(C917&lt;=15,"Very Short",C917&lt;=30,"Short",C917&lt;=60,"Medium",C917&gt;60,"Long")</f>
        <v>Long</v>
      </c>
      <c r="M917" t="str" cm="1">
        <f t="array" ref="M917">_xlfn.IFS(F917&lt;=50,"Low",F917&lt;=100,"Medium",F917&lt;=150,"High",F917&gt;150,"Very High")</f>
        <v>Low</v>
      </c>
    </row>
    <row r="918" spans="1:13" ht="14.25" customHeight="1" x14ac:dyDescent="0.4">
      <c r="A918" s="6" t="s">
        <v>952</v>
      </c>
      <c r="B918" s="6" t="s">
        <v>68</v>
      </c>
      <c r="C918" s="6">
        <v>138</v>
      </c>
      <c r="D918" s="7" t="s">
        <v>35</v>
      </c>
      <c r="E918" s="11">
        <v>45244</v>
      </c>
      <c r="F918" s="10">
        <v>105</v>
      </c>
      <c r="G918" s="6">
        <v>3.9</v>
      </c>
      <c r="H918" s="6">
        <f>IF(MONTH(Data!$E918)&lt;=6, YEAR(Data!$E918), YEAR(Data!$E918)+1)</f>
        <v>2024</v>
      </c>
      <c r="I918" s="6" t="str">
        <f>TEXT(Data!$E918,"DDDD")</f>
        <v>Tuesday</v>
      </c>
      <c r="J918" s="6" t="s">
        <v>25</v>
      </c>
      <c r="K918" s="6">
        <f>ROUND(Data!$G918,0)</f>
        <v>4</v>
      </c>
      <c r="L918" t="str" cm="1">
        <f t="array" ref="L918">_xlfn.IFS(C918&lt;=15,"Very Short",C918&lt;=30,"Short",C918&lt;=60,"Medium",C918&gt;60,"Long")</f>
        <v>Long</v>
      </c>
      <c r="M918" t="str" cm="1">
        <f t="array" ref="M918">_xlfn.IFS(F918&lt;=50,"Low",F918&lt;=100,"Medium",F918&lt;=150,"High",F918&gt;150,"Very High")</f>
        <v>High</v>
      </c>
    </row>
    <row r="919" spans="1:13" ht="14.25" customHeight="1" x14ac:dyDescent="0.4">
      <c r="A919" s="6" t="s">
        <v>953</v>
      </c>
      <c r="B919" s="6" t="s">
        <v>38</v>
      </c>
      <c r="C919" s="6">
        <v>113</v>
      </c>
      <c r="D919" s="7" t="s">
        <v>19</v>
      </c>
      <c r="E919" s="11">
        <v>45245</v>
      </c>
      <c r="F919" s="10">
        <v>34</v>
      </c>
      <c r="G919" s="6">
        <v>3.9</v>
      </c>
      <c r="H919" s="6">
        <f>IF(MONTH(Data!$E919)&lt;=6, YEAR(Data!$E919), YEAR(Data!$E919)+1)</f>
        <v>2024</v>
      </c>
      <c r="I919" s="6" t="str">
        <f>TEXT(Data!$E919,"DDDD")</f>
        <v>Wednesday</v>
      </c>
      <c r="J919" s="6" t="s">
        <v>14</v>
      </c>
      <c r="K919" s="6">
        <f>ROUND(Data!$G919,0)</f>
        <v>4</v>
      </c>
      <c r="L919" t="str" cm="1">
        <f t="array" ref="L919">_xlfn.IFS(C919&lt;=15,"Very Short",C919&lt;=30,"Short",C919&lt;=60,"Medium",C919&gt;60,"Long")</f>
        <v>Long</v>
      </c>
      <c r="M919" t="str" cm="1">
        <f t="array" ref="M919">_xlfn.IFS(F919&lt;=50,"Low",F919&lt;=100,"Medium",F919&lt;=150,"High",F919&gt;150,"Very High")</f>
        <v>Low</v>
      </c>
    </row>
    <row r="920" spans="1:13" ht="14.25" customHeight="1" x14ac:dyDescent="0.4">
      <c r="A920" s="6" t="s">
        <v>954</v>
      </c>
      <c r="B920" s="6" t="s">
        <v>23</v>
      </c>
      <c r="C920" s="6">
        <v>88</v>
      </c>
      <c r="D920" s="7" t="s">
        <v>13</v>
      </c>
      <c r="E920" s="11">
        <v>45245</v>
      </c>
      <c r="F920" s="10">
        <v>220</v>
      </c>
      <c r="G920" s="6">
        <v>4.0999999999999996</v>
      </c>
      <c r="H920" s="6">
        <f>IF(MONTH(Data!$E920)&lt;=6, YEAR(Data!$E920), YEAR(Data!$E920)+1)</f>
        <v>2024</v>
      </c>
      <c r="I920" s="6" t="str">
        <f>TEXT(Data!$E920,"DDDD")</f>
        <v>Wednesday</v>
      </c>
      <c r="J920" s="6" t="s">
        <v>14</v>
      </c>
      <c r="K920" s="6">
        <f>ROUND(Data!$G920,0)</f>
        <v>4</v>
      </c>
      <c r="L920" t="str" cm="1">
        <f t="array" ref="L920">_xlfn.IFS(C920&lt;=15,"Very Short",C920&lt;=30,"Short",C920&lt;=60,"Medium",C920&gt;60,"Long")</f>
        <v>Long</v>
      </c>
      <c r="M920" t="str" cm="1">
        <f t="array" ref="M920">_xlfn.IFS(F920&lt;=50,"Low",F920&lt;=100,"Medium",F920&lt;=150,"High",F920&gt;150,"Very High")</f>
        <v>Very High</v>
      </c>
    </row>
    <row r="921" spans="1:13" ht="14.25" customHeight="1" x14ac:dyDescent="0.4">
      <c r="A921" s="6" t="s">
        <v>955</v>
      </c>
      <c r="B921" s="6" t="s">
        <v>12</v>
      </c>
      <c r="C921" s="6">
        <v>64</v>
      </c>
      <c r="D921" s="7" t="s">
        <v>35</v>
      </c>
      <c r="E921" s="11">
        <v>45245</v>
      </c>
      <c r="F921" s="10">
        <v>225</v>
      </c>
      <c r="G921" s="6">
        <v>4.5999999999999996</v>
      </c>
      <c r="H921" s="6">
        <f>IF(MONTH(Data!$E921)&lt;=6, YEAR(Data!$E921), YEAR(Data!$E921)+1)</f>
        <v>2024</v>
      </c>
      <c r="I921" s="6" t="str">
        <f>TEXT(Data!$E921,"DDDD")</f>
        <v>Wednesday</v>
      </c>
      <c r="J921" s="6" t="s">
        <v>14</v>
      </c>
      <c r="K921" s="6">
        <f>ROUND(Data!$G921,0)</f>
        <v>5</v>
      </c>
      <c r="L921" t="str" cm="1">
        <f t="array" ref="L921">_xlfn.IFS(C921&lt;=15,"Very Short",C921&lt;=30,"Short",C921&lt;=60,"Medium",C921&gt;60,"Long")</f>
        <v>Long</v>
      </c>
      <c r="M921" t="str" cm="1">
        <f t="array" ref="M921">_xlfn.IFS(F921&lt;=50,"Low",F921&lt;=100,"Medium",F921&lt;=150,"High",F921&gt;150,"Very High")</f>
        <v>Very High</v>
      </c>
    </row>
    <row r="922" spans="1:13" ht="14.25" customHeight="1" x14ac:dyDescent="0.4">
      <c r="A922" s="6" t="s">
        <v>956</v>
      </c>
      <c r="B922" s="6" t="s">
        <v>18</v>
      </c>
      <c r="C922" s="6">
        <v>53</v>
      </c>
      <c r="D922" s="7" t="s">
        <v>35</v>
      </c>
      <c r="E922" s="11">
        <v>45246</v>
      </c>
      <c r="F922" s="10">
        <v>37</v>
      </c>
      <c r="G922" s="6">
        <v>4.0999999999999996</v>
      </c>
      <c r="H922" s="6">
        <f>IF(MONTH(Data!$E922)&lt;=6, YEAR(Data!$E922), YEAR(Data!$E922)+1)</f>
        <v>2024</v>
      </c>
      <c r="I922" s="6" t="str">
        <f>TEXT(Data!$E922,"DDDD")</f>
        <v>Thursday</v>
      </c>
      <c r="J922" s="6" t="s">
        <v>27</v>
      </c>
      <c r="K922" s="6">
        <f>ROUND(Data!$G922,0)</f>
        <v>4</v>
      </c>
      <c r="L922" t="str" cm="1">
        <f t="array" ref="L922">_xlfn.IFS(C922&lt;=15,"Very Short",C922&lt;=30,"Short",C922&lt;=60,"Medium",C922&gt;60,"Long")</f>
        <v>Medium</v>
      </c>
      <c r="M922" t="str" cm="1">
        <f t="array" ref="M922">_xlfn.IFS(F922&lt;=50,"Low",F922&lt;=100,"Medium",F922&lt;=150,"High",F922&gt;150,"Very High")</f>
        <v>Low</v>
      </c>
    </row>
    <row r="923" spans="1:13" ht="14.25" customHeight="1" x14ac:dyDescent="0.4">
      <c r="A923" s="6" t="s">
        <v>957</v>
      </c>
      <c r="B923" s="6" t="s">
        <v>58</v>
      </c>
      <c r="C923" s="6">
        <v>63</v>
      </c>
      <c r="D923" s="7" t="s">
        <v>19</v>
      </c>
      <c r="E923" s="11">
        <v>45246</v>
      </c>
      <c r="F923" s="10">
        <v>44</v>
      </c>
      <c r="G923" s="6">
        <v>5</v>
      </c>
      <c r="H923" s="6">
        <f>IF(MONTH(Data!$E923)&lt;=6, YEAR(Data!$E923), YEAR(Data!$E923)+1)</f>
        <v>2024</v>
      </c>
      <c r="I923" s="6" t="str">
        <f>TEXT(Data!$E923,"DDDD")</f>
        <v>Thursday</v>
      </c>
      <c r="J923" s="6" t="s">
        <v>14</v>
      </c>
      <c r="K923" s="6">
        <f>ROUND(Data!$G923,0)</f>
        <v>5</v>
      </c>
      <c r="L923" t="str" cm="1">
        <f t="array" ref="L923">_xlfn.IFS(C923&lt;=15,"Very Short",C923&lt;=30,"Short",C923&lt;=60,"Medium",C923&gt;60,"Long")</f>
        <v>Long</v>
      </c>
      <c r="M923" t="str" cm="1">
        <f t="array" ref="M923">_xlfn.IFS(F923&lt;=50,"Low",F923&lt;=100,"Medium",F923&lt;=150,"High",F923&gt;150,"Very High")</f>
        <v>Low</v>
      </c>
    </row>
    <row r="924" spans="1:13" ht="14.25" customHeight="1" x14ac:dyDescent="0.4">
      <c r="A924" s="6" t="s">
        <v>958</v>
      </c>
      <c r="B924" s="6" t="s">
        <v>29</v>
      </c>
      <c r="C924" s="6">
        <v>54</v>
      </c>
      <c r="D924" s="7" t="s">
        <v>19</v>
      </c>
      <c r="E924" s="11">
        <v>45247</v>
      </c>
      <c r="F924" s="10">
        <v>35</v>
      </c>
      <c r="G924" s="6">
        <v>2.8</v>
      </c>
      <c r="H924" s="6">
        <f>IF(MONTH(Data!$E924)&lt;=6, YEAR(Data!$E924), YEAR(Data!$E924)+1)</f>
        <v>2024</v>
      </c>
      <c r="I924" s="6" t="str">
        <f>TEXT(Data!$E924,"DDDD")</f>
        <v>Friday</v>
      </c>
      <c r="J924" s="6" t="s">
        <v>27</v>
      </c>
      <c r="K924" s="6">
        <f>ROUND(Data!$G924,0)</f>
        <v>3</v>
      </c>
      <c r="L924" t="str" cm="1">
        <f t="array" ref="L924">_xlfn.IFS(C924&lt;=15,"Very Short",C924&lt;=30,"Short",C924&lt;=60,"Medium",C924&gt;60,"Long")</f>
        <v>Medium</v>
      </c>
      <c r="M924" t="str" cm="1">
        <f t="array" ref="M924">_xlfn.IFS(F924&lt;=50,"Low",F924&lt;=100,"Medium",F924&lt;=150,"High",F924&gt;150,"Very High")</f>
        <v>Low</v>
      </c>
    </row>
    <row r="925" spans="1:13" ht="14.25" customHeight="1" x14ac:dyDescent="0.4">
      <c r="A925" s="6" t="s">
        <v>959</v>
      </c>
      <c r="B925" s="6" t="s">
        <v>58</v>
      </c>
      <c r="C925" s="6">
        <v>54</v>
      </c>
      <c r="D925" s="7" t="s">
        <v>13</v>
      </c>
      <c r="E925" s="11">
        <v>45247</v>
      </c>
      <c r="F925" s="10">
        <v>145</v>
      </c>
      <c r="G925" s="6">
        <v>2.7</v>
      </c>
      <c r="H925" s="6">
        <f>IF(MONTH(Data!$E925)&lt;=6, YEAR(Data!$E925), YEAR(Data!$E925)+1)</f>
        <v>2024</v>
      </c>
      <c r="I925" s="6" t="str">
        <f>TEXT(Data!$E925,"DDDD")</f>
        <v>Friday</v>
      </c>
      <c r="J925" s="6" t="s">
        <v>27</v>
      </c>
      <c r="K925" s="6">
        <f>ROUND(Data!$G925,0)</f>
        <v>3</v>
      </c>
      <c r="L925" t="str" cm="1">
        <f t="array" ref="L925">_xlfn.IFS(C925&lt;=15,"Very Short",C925&lt;=30,"Short",C925&lt;=60,"Medium",C925&gt;60,"Long")</f>
        <v>Medium</v>
      </c>
      <c r="M925" t="str" cm="1">
        <f t="array" ref="M925">_xlfn.IFS(F925&lt;=50,"Low",F925&lt;=100,"Medium",F925&lt;=150,"High",F925&gt;150,"Very High")</f>
        <v>High</v>
      </c>
    </row>
    <row r="926" spans="1:13" ht="14.25" customHeight="1" x14ac:dyDescent="0.4">
      <c r="A926" s="6" t="s">
        <v>960</v>
      </c>
      <c r="B926" s="6" t="s">
        <v>34</v>
      </c>
      <c r="C926" s="6">
        <v>71</v>
      </c>
      <c r="D926" s="7" t="s">
        <v>35</v>
      </c>
      <c r="E926" s="11">
        <v>45247</v>
      </c>
      <c r="F926" s="10">
        <v>64</v>
      </c>
      <c r="G926" s="6">
        <v>3.9</v>
      </c>
      <c r="H926" s="6">
        <f>IF(MONTH(Data!$E926)&lt;=6, YEAR(Data!$E926), YEAR(Data!$E926)+1)</f>
        <v>2024</v>
      </c>
      <c r="I926" s="6" t="str">
        <f>TEXT(Data!$E926,"DDDD")</f>
        <v>Friday</v>
      </c>
      <c r="J926" s="6" t="s">
        <v>14</v>
      </c>
      <c r="K926" s="6">
        <f>ROUND(Data!$G926,0)</f>
        <v>4</v>
      </c>
      <c r="L926" t="str" cm="1">
        <f t="array" ref="L926">_xlfn.IFS(C926&lt;=15,"Very Short",C926&lt;=30,"Short",C926&lt;=60,"Medium",C926&gt;60,"Long")</f>
        <v>Long</v>
      </c>
      <c r="M926" t="str" cm="1">
        <f t="array" ref="M926">_xlfn.IFS(F926&lt;=50,"Low",F926&lt;=100,"Medium",F926&lt;=150,"High",F926&gt;150,"Very High")</f>
        <v>Medium</v>
      </c>
    </row>
    <row r="927" spans="1:13" ht="14.25" customHeight="1" x14ac:dyDescent="0.4">
      <c r="A927" s="6" t="s">
        <v>961</v>
      </c>
      <c r="B927" s="6" t="s">
        <v>58</v>
      </c>
      <c r="C927" s="6">
        <v>93</v>
      </c>
      <c r="D927" s="7" t="s">
        <v>13</v>
      </c>
      <c r="E927" s="11">
        <v>45248</v>
      </c>
      <c r="F927" s="10">
        <v>185</v>
      </c>
      <c r="G927" s="6">
        <v>4.3</v>
      </c>
      <c r="H927" s="6">
        <f>IF(MONTH(Data!$E927)&lt;=6, YEAR(Data!$E927), YEAR(Data!$E927)+1)</f>
        <v>2024</v>
      </c>
      <c r="I927" s="6" t="str">
        <f>TEXT(Data!$E927,"DDDD")</f>
        <v>Saturday</v>
      </c>
      <c r="J927" s="6" t="s">
        <v>14</v>
      </c>
      <c r="K927" s="6">
        <f>ROUND(Data!$G927,0)</f>
        <v>4</v>
      </c>
      <c r="L927" t="str" cm="1">
        <f t="array" ref="L927">_xlfn.IFS(C927&lt;=15,"Very Short",C927&lt;=30,"Short",C927&lt;=60,"Medium",C927&gt;60,"Long")</f>
        <v>Long</v>
      </c>
      <c r="M927" t="str" cm="1">
        <f t="array" ref="M927">_xlfn.IFS(F927&lt;=50,"Low",F927&lt;=100,"Medium",F927&lt;=150,"High",F927&gt;150,"Very High")</f>
        <v>Very High</v>
      </c>
    </row>
    <row r="928" spans="1:13" ht="14.25" customHeight="1" x14ac:dyDescent="0.4">
      <c r="A928" s="6" t="s">
        <v>962</v>
      </c>
      <c r="B928" s="6" t="s">
        <v>21</v>
      </c>
      <c r="C928" s="6">
        <v>96</v>
      </c>
      <c r="D928" s="7" t="s">
        <v>19</v>
      </c>
      <c r="E928" s="11">
        <v>45248</v>
      </c>
      <c r="F928" s="10">
        <v>215</v>
      </c>
      <c r="G928" s="6">
        <v>2.5</v>
      </c>
      <c r="H928" s="6">
        <f>IF(MONTH(Data!$E928)&lt;=6, YEAR(Data!$E928), YEAR(Data!$E928)+1)</f>
        <v>2024</v>
      </c>
      <c r="I928" s="6" t="str">
        <f>TEXT(Data!$E928,"DDDD")</f>
        <v>Saturday</v>
      </c>
      <c r="J928" s="6" t="s">
        <v>14</v>
      </c>
      <c r="K928" s="6">
        <f>ROUND(Data!$G928,0)</f>
        <v>3</v>
      </c>
      <c r="L928" t="str" cm="1">
        <f t="array" ref="L928">_xlfn.IFS(C928&lt;=15,"Very Short",C928&lt;=30,"Short",C928&lt;=60,"Medium",C928&gt;60,"Long")</f>
        <v>Long</v>
      </c>
      <c r="M928" t="str" cm="1">
        <f t="array" ref="M928">_xlfn.IFS(F928&lt;=50,"Low",F928&lt;=100,"Medium",F928&lt;=150,"High",F928&gt;150,"Very High")</f>
        <v>Very High</v>
      </c>
    </row>
    <row r="929" spans="1:13" ht="14.25" customHeight="1" x14ac:dyDescent="0.4">
      <c r="A929" s="6" t="s">
        <v>963</v>
      </c>
      <c r="B929" s="6" t="s">
        <v>40</v>
      </c>
      <c r="C929" s="6">
        <v>31</v>
      </c>
      <c r="D929" s="7" t="s">
        <v>24</v>
      </c>
      <c r="E929" s="11">
        <v>45248</v>
      </c>
      <c r="F929" s="10">
        <v>88</v>
      </c>
      <c r="G929" s="6">
        <v>3.4</v>
      </c>
      <c r="H929" s="6">
        <f>IF(MONTH(Data!$E929)&lt;=6, YEAR(Data!$E929), YEAR(Data!$E929)+1)</f>
        <v>2024</v>
      </c>
      <c r="I929" s="6" t="str">
        <f>TEXT(Data!$E929,"DDDD")</f>
        <v>Saturday</v>
      </c>
      <c r="J929" s="6" t="s">
        <v>27</v>
      </c>
      <c r="K929" s="6">
        <f>ROUND(Data!$G929,0)</f>
        <v>3</v>
      </c>
      <c r="L929" t="str" cm="1">
        <f t="array" ref="L929">_xlfn.IFS(C929&lt;=15,"Very Short",C929&lt;=30,"Short",C929&lt;=60,"Medium",C929&gt;60,"Long")</f>
        <v>Medium</v>
      </c>
      <c r="M929" t="str" cm="1">
        <f t="array" ref="M929">_xlfn.IFS(F929&lt;=50,"Low",F929&lt;=100,"Medium",F929&lt;=150,"High",F929&gt;150,"Very High")</f>
        <v>Medium</v>
      </c>
    </row>
    <row r="930" spans="1:13" ht="14.25" customHeight="1" x14ac:dyDescent="0.4">
      <c r="A930" s="6" t="s">
        <v>964</v>
      </c>
      <c r="B930" s="6" t="s">
        <v>58</v>
      </c>
      <c r="C930" s="6">
        <v>107</v>
      </c>
      <c r="D930" s="7" t="s">
        <v>35</v>
      </c>
      <c r="E930" s="11">
        <v>45248</v>
      </c>
      <c r="F930" s="10">
        <v>23</v>
      </c>
      <c r="G930" s="6">
        <v>3.4</v>
      </c>
      <c r="H930" s="6">
        <f>IF(MONTH(Data!$E930)&lt;=6, YEAR(Data!$E930), YEAR(Data!$E930)+1)</f>
        <v>2024</v>
      </c>
      <c r="I930" s="6" t="str">
        <f>TEXT(Data!$E930,"DDDD")</f>
        <v>Saturday</v>
      </c>
      <c r="J930" s="6" t="s">
        <v>14</v>
      </c>
      <c r="K930" s="6">
        <f>ROUND(Data!$G930,0)</f>
        <v>3</v>
      </c>
      <c r="L930" t="str" cm="1">
        <f t="array" ref="L930">_xlfn.IFS(C930&lt;=15,"Very Short",C930&lt;=30,"Short",C930&lt;=60,"Medium",C930&gt;60,"Long")</f>
        <v>Long</v>
      </c>
      <c r="M930" t="str" cm="1">
        <f t="array" ref="M930">_xlfn.IFS(F930&lt;=50,"Low",F930&lt;=100,"Medium",F930&lt;=150,"High",F930&gt;150,"Very High")</f>
        <v>Low</v>
      </c>
    </row>
    <row r="931" spans="1:13" ht="14.25" customHeight="1" x14ac:dyDescent="0.4">
      <c r="A931" s="6" t="s">
        <v>965</v>
      </c>
      <c r="B931" s="6" t="s">
        <v>18</v>
      </c>
      <c r="C931" s="6">
        <v>50</v>
      </c>
      <c r="D931" s="7" t="s">
        <v>24</v>
      </c>
      <c r="E931" s="11">
        <v>45249</v>
      </c>
      <c r="F931" s="10">
        <v>180</v>
      </c>
      <c r="G931" s="6">
        <v>1.8</v>
      </c>
      <c r="H931" s="6">
        <f>IF(MONTH(Data!$E931)&lt;=6, YEAR(Data!$E931), YEAR(Data!$E931)+1)</f>
        <v>2024</v>
      </c>
      <c r="I931" s="6" t="str">
        <f>TEXT(Data!$E931,"DDDD")</f>
        <v>Sunday</v>
      </c>
      <c r="J931" s="6" t="s">
        <v>27</v>
      </c>
      <c r="K931" s="6">
        <f>ROUND(Data!$G931,0)</f>
        <v>2</v>
      </c>
      <c r="L931" t="str" cm="1">
        <f t="array" ref="L931">_xlfn.IFS(C931&lt;=15,"Very Short",C931&lt;=30,"Short",C931&lt;=60,"Medium",C931&gt;60,"Long")</f>
        <v>Medium</v>
      </c>
      <c r="M931" t="str" cm="1">
        <f t="array" ref="M931">_xlfn.IFS(F931&lt;=50,"Low",F931&lt;=100,"Medium",F931&lt;=150,"High",F931&gt;150,"Very High")</f>
        <v>Very High</v>
      </c>
    </row>
    <row r="932" spans="1:13" ht="14.25" customHeight="1" x14ac:dyDescent="0.4">
      <c r="A932" s="6" t="s">
        <v>966</v>
      </c>
      <c r="B932" s="6" t="s">
        <v>68</v>
      </c>
      <c r="C932" s="6">
        <v>69</v>
      </c>
      <c r="D932" s="7" t="s">
        <v>35</v>
      </c>
      <c r="E932" s="11">
        <v>45250</v>
      </c>
      <c r="F932" s="10">
        <v>225</v>
      </c>
      <c r="G932" s="6">
        <v>3.7</v>
      </c>
      <c r="H932" s="6">
        <f>IF(MONTH(Data!$E932)&lt;=6, YEAR(Data!$E932), YEAR(Data!$E932)+1)</f>
        <v>2024</v>
      </c>
      <c r="I932" s="6" t="str">
        <f>TEXT(Data!$E932,"DDDD")</f>
        <v>Monday</v>
      </c>
      <c r="J932" s="6" t="s">
        <v>14</v>
      </c>
      <c r="K932" s="6">
        <f>ROUND(Data!$G932,0)</f>
        <v>4</v>
      </c>
      <c r="L932" t="str" cm="1">
        <f t="array" ref="L932">_xlfn.IFS(C932&lt;=15,"Very Short",C932&lt;=30,"Short",C932&lt;=60,"Medium",C932&gt;60,"Long")</f>
        <v>Long</v>
      </c>
      <c r="M932" t="str" cm="1">
        <f t="array" ref="M932">_xlfn.IFS(F932&lt;=50,"Low",F932&lt;=100,"Medium",F932&lt;=150,"High",F932&gt;150,"Very High")</f>
        <v>Very High</v>
      </c>
    </row>
    <row r="933" spans="1:13" ht="14.25" customHeight="1" x14ac:dyDescent="0.4">
      <c r="A933" s="6" t="s">
        <v>967</v>
      </c>
      <c r="B933" s="6" t="s">
        <v>23</v>
      </c>
      <c r="C933" s="6">
        <v>26</v>
      </c>
      <c r="D933" s="7" t="s">
        <v>19</v>
      </c>
      <c r="E933" s="11">
        <v>45251</v>
      </c>
      <c r="F933" s="10">
        <v>74</v>
      </c>
      <c r="G933" s="6">
        <v>4.0999999999999996</v>
      </c>
      <c r="H933" s="6">
        <f>IF(MONTH(Data!$E933)&lt;=6, YEAR(Data!$E933), YEAR(Data!$E933)+1)</f>
        <v>2024</v>
      </c>
      <c r="I933" s="6" t="str">
        <f>TEXT(Data!$E933,"DDDD")</f>
        <v>Tuesday</v>
      </c>
      <c r="J933" s="6" t="s">
        <v>47</v>
      </c>
      <c r="K933" s="6">
        <f>ROUND(Data!$G933,0)</f>
        <v>4</v>
      </c>
      <c r="L933" t="str" cm="1">
        <f t="array" ref="L933">_xlfn.IFS(C933&lt;=15,"Very Short",C933&lt;=30,"Short",C933&lt;=60,"Medium",C933&gt;60,"Long")</f>
        <v>Short</v>
      </c>
      <c r="M933" t="str" cm="1">
        <f t="array" ref="M933">_xlfn.IFS(F933&lt;=50,"Low",F933&lt;=100,"Medium",F933&lt;=150,"High",F933&gt;150,"Very High")</f>
        <v>Medium</v>
      </c>
    </row>
    <row r="934" spans="1:13" ht="14.25" customHeight="1" x14ac:dyDescent="0.4">
      <c r="A934" s="6" t="s">
        <v>968</v>
      </c>
      <c r="B934" s="6" t="s">
        <v>21</v>
      </c>
      <c r="C934" s="6">
        <v>158</v>
      </c>
      <c r="D934" s="7" t="s">
        <v>35</v>
      </c>
      <c r="E934" s="11">
        <v>45251</v>
      </c>
      <c r="F934" s="10">
        <v>36</v>
      </c>
      <c r="G934" s="6">
        <v>3</v>
      </c>
      <c r="H934" s="6">
        <f>IF(MONTH(Data!$E934)&lt;=6, YEAR(Data!$E934), YEAR(Data!$E934)+1)</f>
        <v>2024</v>
      </c>
      <c r="I934" s="6" t="str">
        <f>TEXT(Data!$E934,"DDDD")</f>
        <v>Tuesday</v>
      </c>
      <c r="J934" s="6" t="s">
        <v>25</v>
      </c>
      <c r="K934" s="6">
        <f>ROUND(Data!$G934,0)</f>
        <v>3</v>
      </c>
      <c r="L934" t="str" cm="1">
        <f t="array" ref="L934">_xlfn.IFS(C934&lt;=15,"Very Short",C934&lt;=30,"Short",C934&lt;=60,"Medium",C934&gt;60,"Long")</f>
        <v>Long</v>
      </c>
      <c r="M934" t="str" cm="1">
        <f t="array" ref="M934">_xlfn.IFS(F934&lt;=50,"Low",F934&lt;=100,"Medium",F934&lt;=150,"High",F934&gt;150,"Very High")</f>
        <v>Low</v>
      </c>
    </row>
    <row r="935" spans="1:13" ht="14.25" customHeight="1" x14ac:dyDescent="0.4">
      <c r="A935" s="6" t="s">
        <v>969</v>
      </c>
      <c r="B935" s="6" t="s">
        <v>29</v>
      </c>
      <c r="C935" s="6">
        <v>99</v>
      </c>
      <c r="D935" s="7" t="s">
        <v>35</v>
      </c>
      <c r="E935" s="11">
        <v>45253</v>
      </c>
      <c r="F935" s="10">
        <v>116</v>
      </c>
      <c r="G935" s="6">
        <v>3.9</v>
      </c>
      <c r="H935" s="6">
        <f>IF(MONTH(Data!$E935)&lt;=6, YEAR(Data!$E935), YEAR(Data!$E935)+1)</f>
        <v>2024</v>
      </c>
      <c r="I935" s="6" t="str">
        <f>TEXT(Data!$E935,"DDDD")</f>
        <v>Thursday</v>
      </c>
      <c r="J935" s="6" t="s">
        <v>14</v>
      </c>
      <c r="K935" s="6">
        <f>ROUND(Data!$G935,0)</f>
        <v>4</v>
      </c>
      <c r="L935" t="str" cm="1">
        <f t="array" ref="L935">_xlfn.IFS(C935&lt;=15,"Very Short",C935&lt;=30,"Short",C935&lt;=60,"Medium",C935&gt;60,"Long")</f>
        <v>Long</v>
      </c>
      <c r="M935" t="str" cm="1">
        <f t="array" ref="M935">_xlfn.IFS(F935&lt;=50,"Low",F935&lt;=100,"Medium",F935&lt;=150,"High",F935&gt;150,"Very High")</f>
        <v>High</v>
      </c>
    </row>
    <row r="936" spans="1:13" ht="14.25" customHeight="1" x14ac:dyDescent="0.4">
      <c r="A936" s="6" t="s">
        <v>970</v>
      </c>
      <c r="B936" s="6" t="s">
        <v>21</v>
      </c>
      <c r="C936" s="6">
        <v>78</v>
      </c>
      <c r="D936" s="7" t="s">
        <v>24</v>
      </c>
      <c r="E936" s="11">
        <v>45253</v>
      </c>
      <c r="F936" s="10">
        <v>140</v>
      </c>
      <c r="G936" s="6">
        <v>4</v>
      </c>
      <c r="H936" s="6">
        <f>IF(MONTH(Data!$E936)&lt;=6, YEAR(Data!$E936), YEAR(Data!$E936)+1)</f>
        <v>2024</v>
      </c>
      <c r="I936" s="6" t="str">
        <f>TEXT(Data!$E936,"DDDD")</f>
        <v>Thursday</v>
      </c>
      <c r="J936" s="6" t="s">
        <v>14</v>
      </c>
      <c r="K936" s="6">
        <f>ROUND(Data!$G936,0)</f>
        <v>4</v>
      </c>
      <c r="L936" t="str" cm="1">
        <f t="array" ref="L936">_xlfn.IFS(C936&lt;=15,"Very Short",C936&lt;=30,"Short",C936&lt;=60,"Medium",C936&gt;60,"Long")</f>
        <v>Long</v>
      </c>
      <c r="M936" t="str" cm="1">
        <f t="array" ref="M936">_xlfn.IFS(F936&lt;=50,"Low",F936&lt;=100,"Medium",F936&lt;=150,"High",F936&gt;150,"Very High")</f>
        <v>High</v>
      </c>
    </row>
    <row r="937" spans="1:13" ht="14.25" customHeight="1" x14ac:dyDescent="0.4">
      <c r="A937" s="6" t="s">
        <v>971</v>
      </c>
      <c r="B937" s="6" t="s">
        <v>21</v>
      </c>
      <c r="C937" s="6">
        <v>102</v>
      </c>
      <c r="D937" s="7" t="s">
        <v>19</v>
      </c>
      <c r="E937" s="11">
        <v>45254</v>
      </c>
      <c r="F937" s="10">
        <v>104</v>
      </c>
      <c r="G937" s="6">
        <v>4.5</v>
      </c>
      <c r="H937" s="6">
        <f>IF(MONTH(Data!$E937)&lt;=6, YEAR(Data!$E937), YEAR(Data!$E937)+1)</f>
        <v>2024</v>
      </c>
      <c r="I937" s="6" t="str">
        <f>TEXT(Data!$E937,"DDDD")</f>
        <v>Friday</v>
      </c>
      <c r="J937" s="6" t="s">
        <v>14</v>
      </c>
      <c r="K937" s="6">
        <f>ROUND(Data!$G937,0)</f>
        <v>5</v>
      </c>
      <c r="L937" t="str" cm="1">
        <f t="array" ref="L937">_xlfn.IFS(C937&lt;=15,"Very Short",C937&lt;=30,"Short",C937&lt;=60,"Medium",C937&gt;60,"Long")</f>
        <v>Long</v>
      </c>
      <c r="M937" t="str" cm="1">
        <f t="array" ref="M937">_xlfn.IFS(F937&lt;=50,"Low",F937&lt;=100,"Medium",F937&lt;=150,"High",F937&gt;150,"Very High")</f>
        <v>High</v>
      </c>
    </row>
    <row r="938" spans="1:13" ht="14.25" customHeight="1" x14ac:dyDescent="0.4">
      <c r="A938" s="6" t="s">
        <v>972</v>
      </c>
      <c r="B938" s="6" t="s">
        <v>29</v>
      </c>
      <c r="C938" s="6">
        <v>158</v>
      </c>
      <c r="D938" s="7" t="s">
        <v>31</v>
      </c>
      <c r="E938" s="11">
        <v>45254</v>
      </c>
      <c r="F938" s="10">
        <v>148</v>
      </c>
      <c r="G938" s="6">
        <v>4</v>
      </c>
      <c r="H938" s="6">
        <f>IF(MONTH(Data!$E938)&lt;=6, YEAR(Data!$E938), YEAR(Data!$E938)+1)</f>
        <v>2024</v>
      </c>
      <c r="I938" s="6" t="str">
        <f>TEXT(Data!$E938,"DDDD")</f>
        <v>Friday</v>
      </c>
      <c r="J938" s="6" t="s">
        <v>25</v>
      </c>
      <c r="K938" s="6">
        <f>ROUND(Data!$G938,0)</f>
        <v>4</v>
      </c>
      <c r="L938" t="str" cm="1">
        <f t="array" ref="L938">_xlfn.IFS(C938&lt;=15,"Very Short",C938&lt;=30,"Short",C938&lt;=60,"Medium",C938&gt;60,"Long")</f>
        <v>Long</v>
      </c>
      <c r="M938" t="str" cm="1">
        <f t="array" ref="M938">_xlfn.IFS(F938&lt;=50,"Low",F938&lt;=100,"Medium",F938&lt;=150,"High",F938&gt;150,"Very High")</f>
        <v>High</v>
      </c>
    </row>
    <row r="939" spans="1:13" ht="14.25" customHeight="1" x14ac:dyDescent="0.4">
      <c r="A939" s="6" t="s">
        <v>973</v>
      </c>
      <c r="B939" s="6" t="s">
        <v>40</v>
      </c>
      <c r="C939" s="6">
        <v>56</v>
      </c>
      <c r="D939" s="7" t="s">
        <v>35</v>
      </c>
      <c r="E939" s="11">
        <v>45254</v>
      </c>
      <c r="F939" s="10">
        <v>205</v>
      </c>
      <c r="G939" s="6">
        <v>4.3</v>
      </c>
      <c r="H939" s="6">
        <f>IF(MONTH(Data!$E939)&lt;=6, YEAR(Data!$E939), YEAR(Data!$E939)+1)</f>
        <v>2024</v>
      </c>
      <c r="I939" s="6" t="str">
        <f>TEXT(Data!$E939,"DDDD")</f>
        <v>Friday</v>
      </c>
      <c r="J939" s="6" t="s">
        <v>27</v>
      </c>
      <c r="K939" s="6">
        <f>ROUND(Data!$G939,0)</f>
        <v>4</v>
      </c>
      <c r="L939" t="str" cm="1">
        <f t="array" ref="L939">_xlfn.IFS(C939&lt;=15,"Very Short",C939&lt;=30,"Short",C939&lt;=60,"Medium",C939&gt;60,"Long")</f>
        <v>Medium</v>
      </c>
      <c r="M939" t="str" cm="1">
        <f t="array" ref="M939">_xlfn.IFS(F939&lt;=50,"Low",F939&lt;=100,"Medium",F939&lt;=150,"High",F939&gt;150,"Very High")</f>
        <v>Very High</v>
      </c>
    </row>
    <row r="940" spans="1:13" ht="14.25" customHeight="1" x14ac:dyDescent="0.4">
      <c r="A940" s="6" t="s">
        <v>974</v>
      </c>
      <c r="B940" s="6" t="s">
        <v>16</v>
      </c>
      <c r="C940" s="6">
        <v>17</v>
      </c>
      <c r="D940" s="7" t="s">
        <v>13</v>
      </c>
      <c r="E940" s="11">
        <v>45254</v>
      </c>
      <c r="F940" s="10">
        <v>210</v>
      </c>
      <c r="G940" s="6">
        <v>4.8</v>
      </c>
      <c r="H940" s="6">
        <f>IF(MONTH(Data!$E940)&lt;=6, YEAR(Data!$E940), YEAR(Data!$E940)+1)</f>
        <v>2024</v>
      </c>
      <c r="I940" s="6" t="str">
        <f>TEXT(Data!$E940,"DDDD")</f>
        <v>Friday</v>
      </c>
      <c r="J940" s="6" t="s">
        <v>47</v>
      </c>
      <c r="K940" s="6">
        <f>ROUND(Data!$G940,0)</f>
        <v>5</v>
      </c>
      <c r="L940" t="str" cm="1">
        <f t="array" ref="L940">_xlfn.IFS(C940&lt;=15,"Very Short",C940&lt;=30,"Short",C940&lt;=60,"Medium",C940&gt;60,"Long")</f>
        <v>Short</v>
      </c>
      <c r="M940" t="str" cm="1">
        <f t="array" ref="M940">_xlfn.IFS(F940&lt;=50,"Low",F940&lt;=100,"Medium",F940&lt;=150,"High",F940&gt;150,"Very High")</f>
        <v>Very High</v>
      </c>
    </row>
    <row r="941" spans="1:13" ht="14.25" customHeight="1" x14ac:dyDescent="0.4">
      <c r="A941" s="6" t="s">
        <v>975</v>
      </c>
      <c r="B941" s="6" t="s">
        <v>23</v>
      </c>
      <c r="C941" s="6">
        <v>104</v>
      </c>
      <c r="D941" s="7" t="s">
        <v>31</v>
      </c>
      <c r="E941" s="11">
        <v>45256</v>
      </c>
      <c r="F941" s="10">
        <v>41</v>
      </c>
      <c r="G941" s="6">
        <v>4.7</v>
      </c>
      <c r="H941" s="6">
        <f>IF(MONTH(Data!$E941)&lt;=6, YEAR(Data!$E941), YEAR(Data!$E941)+1)</f>
        <v>2024</v>
      </c>
      <c r="I941" s="6" t="str">
        <f>TEXT(Data!$E941,"DDDD")</f>
        <v>Sunday</v>
      </c>
      <c r="J941" s="6" t="s">
        <v>14</v>
      </c>
      <c r="K941" s="6">
        <f>ROUND(Data!$G941,0)</f>
        <v>5</v>
      </c>
      <c r="L941" t="str" cm="1">
        <f t="array" ref="L941">_xlfn.IFS(C941&lt;=15,"Very Short",C941&lt;=30,"Short",C941&lt;=60,"Medium",C941&gt;60,"Long")</f>
        <v>Long</v>
      </c>
      <c r="M941" t="str" cm="1">
        <f t="array" ref="M941">_xlfn.IFS(F941&lt;=50,"Low",F941&lt;=100,"Medium",F941&lt;=150,"High",F941&gt;150,"Very High")</f>
        <v>Low</v>
      </c>
    </row>
    <row r="942" spans="1:13" ht="14.25" customHeight="1" x14ac:dyDescent="0.4">
      <c r="A942" s="6" t="s">
        <v>976</v>
      </c>
      <c r="B942" s="6" t="s">
        <v>55</v>
      </c>
      <c r="C942" s="6">
        <v>96</v>
      </c>
      <c r="D942" s="7" t="s">
        <v>24</v>
      </c>
      <c r="E942" s="11">
        <v>45256</v>
      </c>
      <c r="F942" s="10">
        <v>136</v>
      </c>
      <c r="G942" s="6">
        <v>5</v>
      </c>
      <c r="H942" s="6">
        <f>IF(MONTH(Data!$E942)&lt;=6, YEAR(Data!$E942), YEAR(Data!$E942)+1)</f>
        <v>2024</v>
      </c>
      <c r="I942" s="6" t="str">
        <f>TEXT(Data!$E942,"DDDD")</f>
        <v>Sunday</v>
      </c>
      <c r="J942" s="6" t="s">
        <v>14</v>
      </c>
      <c r="K942" s="6">
        <f>ROUND(Data!$G942,0)</f>
        <v>5</v>
      </c>
      <c r="L942" t="str" cm="1">
        <f t="array" ref="L942">_xlfn.IFS(C942&lt;=15,"Very Short",C942&lt;=30,"Short",C942&lt;=60,"Medium",C942&gt;60,"Long")</f>
        <v>Long</v>
      </c>
      <c r="M942" t="str" cm="1">
        <f t="array" ref="M942">_xlfn.IFS(F942&lt;=50,"Low",F942&lt;=100,"Medium",F942&lt;=150,"High",F942&gt;150,"Very High")</f>
        <v>High</v>
      </c>
    </row>
    <row r="943" spans="1:13" ht="14.25" customHeight="1" x14ac:dyDescent="0.4">
      <c r="A943" s="6" t="s">
        <v>977</v>
      </c>
      <c r="B943" s="6" t="s">
        <v>46</v>
      </c>
      <c r="C943" s="6">
        <v>83</v>
      </c>
      <c r="D943" s="7" t="s">
        <v>19</v>
      </c>
      <c r="E943" s="11">
        <v>45257</v>
      </c>
      <c r="F943" s="10">
        <v>126</v>
      </c>
      <c r="G943" s="6">
        <v>1.5</v>
      </c>
      <c r="H943" s="6">
        <f>IF(MONTH(Data!$E943)&lt;=6, YEAR(Data!$E943), YEAR(Data!$E943)+1)</f>
        <v>2024</v>
      </c>
      <c r="I943" s="6" t="str">
        <f>TEXT(Data!$E943,"DDDD")</f>
        <v>Monday</v>
      </c>
      <c r="J943" s="6" t="s">
        <v>14</v>
      </c>
      <c r="K943" s="6">
        <f>ROUND(Data!$G943,0)</f>
        <v>2</v>
      </c>
      <c r="L943" t="str" cm="1">
        <f t="array" ref="L943">_xlfn.IFS(C943&lt;=15,"Very Short",C943&lt;=30,"Short",C943&lt;=60,"Medium",C943&gt;60,"Long")</f>
        <v>Long</v>
      </c>
      <c r="M943" t="str" cm="1">
        <f t="array" ref="M943">_xlfn.IFS(F943&lt;=50,"Low",F943&lt;=100,"Medium",F943&lt;=150,"High",F943&gt;150,"Very High")</f>
        <v>High</v>
      </c>
    </row>
    <row r="944" spans="1:13" ht="14.25" customHeight="1" x14ac:dyDescent="0.4">
      <c r="A944" s="6" t="s">
        <v>978</v>
      </c>
      <c r="B944" s="6" t="s">
        <v>18</v>
      </c>
      <c r="C944" s="6">
        <v>80</v>
      </c>
      <c r="D944" s="7" t="s">
        <v>13</v>
      </c>
      <c r="E944" s="11">
        <v>45258</v>
      </c>
      <c r="F944" s="10">
        <v>148</v>
      </c>
      <c r="G944" s="6">
        <v>4.0999999999999996</v>
      </c>
      <c r="H944" s="6">
        <f>IF(MONTH(Data!$E944)&lt;=6, YEAR(Data!$E944), YEAR(Data!$E944)+1)</f>
        <v>2024</v>
      </c>
      <c r="I944" s="6" t="str">
        <f>TEXT(Data!$E944,"DDDD")</f>
        <v>Tuesday</v>
      </c>
      <c r="J944" s="6" t="s">
        <v>14</v>
      </c>
      <c r="K944" s="6">
        <f>ROUND(Data!$G944,0)</f>
        <v>4</v>
      </c>
      <c r="L944" t="str" cm="1">
        <f t="array" ref="L944">_xlfn.IFS(C944&lt;=15,"Very Short",C944&lt;=30,"Short",C944&lt;=60,"Medium",C944&gt;60,"Long")</f>
        <v>Long</v>
      </c>
      <c r="M944" t="str" cm="1">
        <f t="array" ref="M944">_xlfn.IFS(F944&lt;=50,"Low",F944&lt;=100,"Medium",F944&lt;=150,"High",F944&gt;150,"Very High")</f>
        <v>High</v>
      </c>
    </row>
    <row r="945" spans="1:13" ht="14.25" customHeight="1" x14ac:dyDescent="0.4">
      <c r="A945" s="6" t="s">
        <v>979</v>
      </c>
      <c r="B945" s="6" t="s">
        <v>46</v>
      </c>
      <c r="C945" s="6">
        <v>152</v>
      </c>
      <c r="D945" s="7" t="s">
        <v>19</v>
      </c>
      <c r="E945" s="11">
        <v>45258</v>
      </c>
      <c r="F945" s="10">
        <v>125</v>
      </c>
      <c r="G945" s="6">
        <v>3.9</v>
      </c>
      <c r="H945" s="6">
        <f>IF(MONTH(Data!$E945)&lt;=6, YEAR(Data!$E945), YEAR(Data!$E945)+1)</f>
        <v>2024</v>
      </c>
      <c r="I945" s="6" t="str">
        <f>TEXT(Data!$E945,"DDDD")</f>
        <v>Tuesday</v>
      </c>
      <c r="J945" s="6" t="s">
        <v>25</v>
      </c>
      <c r="K945" s="6">
        <f>ROUND(Data!$G945,0)</f>
        <v>4</v>
      </c>
      <c r="L945" t="str" cm="1">
        <f t="array" ref="L945">_xlfn.IFS(C945&lt;=15,"Very Short",C945&lt;=30,"Short",C945&lt;=60,"Medium",C945&gt;60,"Long")</f>
        <v>Long</v>
      </c>
      <c r="M945" t="str" cm="1">
        <f t="array" ref="M945">_xlfn.IFS(F945&lt;=50,"Low",F945&lt;=100,"Medium",F945&lt;=150,"High",F945&gt;150,"Very High")</f>
        <v>High</v>
      </c>
    </row>
    <row r="946" spans="1:13" ht="14.25" customHeight="1" x14ac:dyDescent="0.4">
      <c r="A946" s="6" t="s">
        <v>980</v>
      </c>
      <c r="B946" s="6" t="s">
        <v>34</v>
      </c>
      <c r="C946" s="6">
        <v>34</v>
      </c>
      <c r="D946" s="7" t="s">
        <v>24</v>
      </c>
      <c r="E946" s="11">
        <v>45258</v>
      </c>
      <c r="F946" s="10">
        <v>25</v>
      </c>
      <c r="G946" s="6">
        <v>4.0999999999999996</v>
      </c>
      <c r="H946" s="6">
        <f>IF(MONTH(Data!$E946)&lt;=6, YEAR(Data!$E946), YEAR(Data!$E946)+1)</f>
        <v>2024</v>
      </c>
      <c r="I946" s="6" t="str">
        <f>TEXT(Data!$E946,"DDDD")</f>
        <v>Tuesday</v>
      </c>
      <c r="J946" s="6" t="s">
        <v>27</v>
      </c>
      <c r="K946" s="6">
        <f>ROUND(Data!$G946,0)</f>
        <v>4</v>
      </c>
      <c r="L946" t="str" cm="1">
        <f t="array" ref="L946">_xlfn.IFS(C946&lt;=15,"Very Short",C946&lt;=30,"Short",C946&lt;=60,"Medium",C946&gt;60,"Long")</f>
        <v>Medium</v>
      </c>
      <c r="M946" t="str" cm="1">
        <f t="array" ref="M946">_xlfn.IFS(F946&lt;=50,"Low",F946&lt;=100,"Medium",F946&lt;=150,"High",F946&gt;150,"Very High")</f>
        <v>Low</v>
      </c>
    </row>
    <row r="947" spans="1:13" ht="14.25" customHeight="1" x14ac:dyDescent="0.4">
      <c r="A947" s="6" t="s">
        <v>981</v>
      </c>
      <c r="B947" s="6" t="s">
        <v>38</v>
      </c>
      <c r="C947" s="6">
        <v>2</v>
      </c>
      <c r="D947" s="7" t="s">
        <v>35</v>
      </c>
      <c r="E947" s="11">
        <v>45259</v>
      </c>
      <c r="F947" s="10">
        <v>62</v>
      </c>
      <c r="G947" s="6">
        <v>2.8</v>
      </c>
      <c r="H947" s="6">
        <f>IF(MONTH(Data!$E947)&lt;=6, YEAR(Data!$E947), YEAR(Data!$E947)+1)</f>
        <v>2024</v>
      </c>
      <c r="I947" s="6" t="str">
        <f>TEXT(Data!$E947,"DDDD")</f>
        <v>Wednesday</v>
      </c>
      <c r="J947" s="6" t="s">
        <v>176</v>
      </c>
      <c r="K947" s="6">
        <f>ROUND(Data!$G947,0)</f>
        <v>3</v>
      </c>
      <c r="L947" t="str" cm="1">
        <f t="array" ref="L947">_xlfn.IFS(C947&lt;=15,"Very Short",C947&lt;=30,"Short",C947&lt;=60,"Medium",C947&gt;60,"Long")</f>
        <v>Very Short</v>
      </c>
      <c r="M947" t="str" cm="1">
        <f t="array" ref="M947">_xlfn.IFS(F947&lt;=50,"Low",F947&lt;=100,"Medium",F947&lt;=150,"High",F947&gt;150,"Very High")</f>
        <v>Medium</v>
      </c>
    </row>
    <row r="948" spans="1:13" ht="14.25" customHeight="1" x14ac:dyDescent="0.4">
      <c r="A948" s="6" t="s">
        <v>982</v>
      </c>
      <c r="B948" s="6" t="s">
        <v>18</v>
      </c>
      <c r="C948" s="6">
        <v>140</v>
      </c>
      <c r="D948" s="7" t="s">
        <v>24</v>
      </c>
      <c r="E948" s="11">
        <v>45260</v>
      </c>
      <c r="F948" s="10">
        <v>90</v>
      </c>
      <c r="G948" s="6">
        <v>4.5999999999999996</v>
      </c>
      <c r="H948" s="6">
        <f>IF(MONTH(Data!$E948)&lt;=6, YEAR(Data!$E948), YEAR(Data!$E948)+1)</f>
        <v>2024</v>
      </c>
      <c r="I948" s="6" t="str">
        <f>TEXT(Data!$E948,"DDDD")</f>
        <v>Thursday</v>
      </c>
      <c r="J948" s="6" t="s">
        <v>25</v>
      </c>
      <c r="K948" s="6">
        <f>ROUND(Data!$G948,0)</f>
        <v>5</v>
      </c>
      <c r="L948" t="str" cm="1">
        <f t="array" ref="L948">_xlfn.IFS(C948&lt;=15,"Very Short",C948&lt;=30,"Short",C948&lt;=60,"Medium",C948&gt;60,"Long")</f>
        <v>Long</v>
      </c>
      <c r="M948" t="str" cm="1">
        <f t="array" ref="M948">_xlfn.IFS(F948&lt;=50,"Low",F948&lt;=100,"Medium",F948&lt;=150,"High",F948&gt;150,"Very High")</f>
        <v>Medium</v>
      </c>
    </row>
    <row r="949" spans="1:13" ht="14.25" customHeight="1" x14ac:dyDescent="0.4">
      <c r="A949" s="6" t="s">
        <v>983</v>
      </c>
      <c r="B949" s="6" t="s">
        <v>16</v>
      </c>
      <c r="C949" s="6">
        <v>126</v>
      </c>
      <c r="D949" s="7" t="s">
        <v>31</v>
      </c>
      <c r="E949" s="11">
        <v>45261</v>
      </c>
      <c r="F949" s="10">
        <v>33</v>
      </c>
      <c r="G949" s="6">
        <v>4.8</v>
      </c>
      <c r="H949" s="6">
        <f>IF(MONTH(Data!$E949)&lt;=6, YEAR(Data!$E949), YEAR(Data!$E949)+1)</f>
        <v>2024</v>
      </c>
      <c r="I949" s="6" t="str">
        <f>TEXT(Data!$E949,"DDDD")</f>
        <v>Friday</v>
      </c>
      <c r="J949" s="6" t="s">
        <v>25</v>
      </c>
      <c r="K949" s="6">
        <f>ROUND(Data!$G949,0)</f>
        <v>5</v>
      </c>
      <c r="L949" t="str" cm="1">
        <f t="array" ref="L949">_xlfn.IFS(C949&lt;=15,"Very Short",C949&lt;=30,"Short",C949&lt;=60,"Medium",C949&gt;60,"Long")</f>
        <v>Long</v>
      </c>
      <c r="M949" t="str" cm="1">
        <f t="array" ref="M949">_xlfn.IFS(F949&lt;=50,"Low",F949&lt;=100,"Medium",F949&lt;=150,"High",F949&gt;150,"Very High")</f>
        <v>Low</v>
      </c>
    </row>
    <row r="950" spans="1:13" ht="14.25" customHeight="1" x14ac:dyDescent="0.4">
      <c r="A950" s="6" t="s">
        <v>984</v>
      </c>
      <c r="B950" s="6" t="s">
        <v>21</v>
      </c>
      <c r="C950" s="6">
        <v>79</v>
      </c>
      <c r="D950" s="7" t="s">
        <v>35</v>
      </c>
      <c r="E950" s="11">
        <v>45261</v>
      </c>
      <c r="F950" s="10">
        <v>115</v>
      </c>
      <c r="G950" s="6">
        <v>2.2999999999999998</v>
      </c>
      <c r="H950" s="6">
        <f>IF(MONTH(Data!$E950)&lt;=6, YEAR(Data!$E950), YEAR(Data!$E950)+1)</f>
        <v>2024</v>
      </c>
      <c r="I950" s="6" t="str">
        <f>TEXT(Data!$E950,"DDDD")</f>
        <v>Friday</v>
      </c>
      <c r="J950" s="6" t="s">
        <v>14</v>
      </c>
      <c r="K950" s="6">
        <f>ROUND(Data!$G950,0)</f>
        <v>2</v>
      </c>
      <c r="L950" t="str" cm="1">
        <f t="array" ref="L950">_xlfn.IFS(C950&lt;=15,"Very Short",C950&lt;=30,"Short",C950&lt;=60,"Medium",C950&gt;60,"Long")</f>
        <v>Long</v>
      </c>
      <c r="M950" t="str" cm="1">
        <f t="array" ref="M950">_xlfn.IFS(F950&lt;=50,"Low",F950&lt;=100,"Medium",F950&lt;=150,"High",F950&gt;150,"Very High")</f>
        <v>High</v>
      </c>
    </row>
    <row r="951" spans="1:13" ht="14.25" customHeight="1" x14ac:dyDescent="0.4">
      <c r="A951" s="6" t="s">
        <v>985</v>
      </c>
      <c r="B951" s="6" t="s">
        <v>16</v>
      </c>
      <c r="C951" s="6">
        <v>133</v>
      </c>
      <c r="D951" s="7" t="s">
        <v>31</v>
      </c>
      <c r="E951" s="11">
        <v>45261</v>
      </c>
      <c r="F951" s="10">
        <v>45</v>
      </c>
      <c r="G951" s="6">
        <v>2.6</v>
      </c>
      <c r="H951" s="6">
        <f>IF(MONTH(Data!$E951)&lt;=6, YEAR(Data!$E951), YEAR(Data!$E951)+1)</f>
        <v>2024</v>
      </c>
      <c r="I951" s="6" t="str">
        <f>TEXT(Data!$E951,"DDDD")</f>
        <v>Friday</v>
      </c>
      <c r="J951" s="6" t="s">
        <v>25</v>
      </c>
      <c r="K951" s="6">
        <f>ROUND(Data!$G951,0)</f>
        <v>3</v>
      </c>
      <c r="L951" t="str" cm="1">
        <f t="array" ref="L951">_xlfn.IFS(C951&lt;=15,"Very Short",C951&lt;=30,"Short",C951&lt;=60,"Medium",C951&gt;60,"Long")</f>
        <v>Long</v>
      </c>
      <c r="M951" t="str" cm="1">
        <f t="array" ref="M951">_xlfn.IFS(F951&lt;=50,"Low",F951&lt;=100,"Medium",F951&lt;=150,"High",F951&gt;150,"Very High")</f>
        <v>Low</v>
      </c>
    </row>
    <row r="952" spans="1:13" ht="14.25" customHeight="1" x14ac:dyDescent="0.4">
      <c r="A952" s="6" t="s">
        <v>986</v>
      </c>
      <c r="B952" s="6" t="s">
        <v>34</v>
      </c>
      <c r="C952" s="6">
        <v>97</v>
      </c>
      <c r="D952" s="7" t="s">
        <v>13</v>
      </c>
      <c r="E952" s="11">
        <v>45261</v>
      </c>
      <c r="F952" s="10">
        <v>114</v>
      </c>
      <c r="G952" s="6">
        <v>4.8</v>
      </c>
      <c r="H952" s="6">
        <f>IF(MONTH(Data!$E952)&lt;=6, YEAR(Data!$E952), YEAR(Data!$E952)+1)</f>
        <v>2024</v>
      </c>
      <c r="I952" s="6" t="str">
        <f>TEXT(Data!$E952,"DDDD")</f>
        <v>Friday</v>
      </c>
      <c r="J952" s="6" t="s">
        <v>14</v>
      </c>
      <c r="K952" s="6">
        <f>ROUND(Data!$G952,0)</f>
        <v>5</v>
      </c>
      <c r="L952" t="str" cm="1">
        <f t="array" ref="L952">_xlfn.IFS(C952&lt;=15,"Very Short",C952&lt;=30,"Short",C952&lt;=60,"Medium",C952&gt;60,"Long")</f>
        <v>Long</v>
      </c>
      <c r="M952" t="str" cm="1">
        <f t="array" ref="M952">_xlfn.IFS(F952&lt;=50,"Low",F952&lt;=100,"Medium",F952&lt;=150,"High",F952&gt;150,"Very High")</f>
        <v>High</v>
      </c>
    </row>
    <row r="953" spans="1:13" ht="14.25" customHeight="1" x14ac:dyDescent="0.4">
      <c r="A953" s="6" t="s">
        <v>987</v>
      </c>
      <c r="B953" s="6" t="s">
        <v>21</v>
      </c>
      <c r="C953" s="6">
        <v>102</v>
      </c>
      <c r="D953" s="7" t="s">
        <v>19</v>
      </c>
      <c r="E953" s="11">
        <v>45262</v>
      </c>
      <c r="F953" s="10">
        <v>72</v>
      </c>
      <c r="G953" s="6">
        <v>3.7</v>
      </c>
      <c r="H953" s="6">
        <f>IF(MONTH(Data!$E953)&lt;=6, YEAR(Data!$E953), YEAR(Data!$E953)+1)</f>
        <v>2024</v>
      </c>
      <c r="I953" s="6" t="str">
        <f>TEXT(Data!$E953,"DDDD")</f>
        <v>Saturday</v>
      </c>
      <c r="J953" s="6" t="s">
        <v>14</v>
      </c>
      <c r="K953" s="6">
        <f>ROUND(Data!$G953,0)</f>
        <v>4</v>
      </c>
      <c r="L953" t="str" cm="1">
        <f t="array" ref="L953">_xlfn.IFS(C953&lt;=15,"Very Short",C953&lt;=30,"Short",C953&lt;=60,"Medium",C953&gt;60,"Long")</f>
        <v>Long</v>
      </c>
      <c r="M953" t="str" cm="1">
        <f t="array" ref="M953">_xlfn.IFS(F953&lt;=50,"Low",F953&lt;=100,"Medium",F953&lt;=150,"High",F953&gt;150,"Very High")</f>
        <v>Medium</v>
      </c>
    </row>
    <row r="954" spans="1:13" ht="14.25" customHeight="1" x14ac:dyDescent="0.4">
      <c r="A954" s="6" t="s">
        <v>988</v>
      </c>
      <c r="B954" s="6" t="s">
        <v>50</v>
      </c>
      <c r="C954" s="6">
        <v>62</v>
      </c>
      <c r="D954" s="7" t="s">
        <v>13</v>
      </c>
      <c r="E954" s="11">
        <v>45262</v>
      </c>
      <c r="F954" s="10">
        <v>205</v>
      </c>
      <c r="G954" s="6">
        <v>4.2</v>
      </c>
      <c r="H954" s="6">
        <f>IF(MONTH(Data!$E954)&lt;=6, YEAR(Data!$E954), YEAR(Data!$E954)+1)</f>
        <v>2024</v>
      </c>
      <c r="I954" s="6" t="str">
        <f>TEXT(Data!$E954,"DDDD")</f>
        <v>Saturday</v>
      </c>
      <c r="J954" s="6" t="s">
        <v>14</v>
      </c>
      <c r="K954" s="6">
        <f>ROUND(Data!$G954,0)</f>
        <v>4</v>
      </c>
      <c r="L954" t="str" cm="1">
        <f t="array" ref="L954">_xlfn.IFS(C954&lt;=15,"Very Short",C954&lt;=30,"Short",C954&lt;=60,"Medium",C954&gt;60,"Long")</f>
        <v>Long</v>
      </c>
      <c r="M954" t="str" cm="1">
        <f t="array" ref="M954">_xlfn.IFS(F954&lt;=50,"Low",F954&lt;=100,"Medium",F954&lt;=150,"High",F954&gt;150,"Very High")</f>
        <v>Very High</v>
      </c>
    </row>
    <row r="955" spans="1:13" ht="14.25" customHeight="1" x14ac:dyDescent="0.4">
      <c r="A955" s="6" t="s">
        <v>989</v>
      </c>
      <c r="B955" s="6" t="s">
        <v>16</v>
      </c>
      <c r="C955" s="6">
        <v>149</v>
      </c>
      <c r="D955" s="7" t="s">
        <v>19</v>
      </c>
      <c r="E955" s="11">
        <v>45263</v>
      </c>
      <c r="F955" s="10">
        <v>42</v>
      </c>
      <c r="G955" s="6">
        <v>3.3</v>
      </c>
      <c r="H955" s="6">
        <f>IF(MONTH(Data!$E955)&lt;=6, YEAR(Data!$E955), YEAR(Data!$E955)+1)</f>
        <v>2024</v>
      </c>
      <c r="I955" s="6" t="str">
        <f>TEXT(Data!$E955,"DDDD")</f>
        <v>Sunday</v>
      </c>
      <c r="J955" s="6" t="s">
        <v>25</v>
      </c>
      <c r="K955" s="6">
        <f>ROUND(Data!$G955,0)</f>
        <v>3</v>
      </c>
      <c r="L955" t="str" cm="1">
        <f t="array" ref="L955">_xlfn.IFS(C955&lt;=15,"Very Short",C955&lt;=30,"Short",C955&lt;=60,"Medium",C955&gt;60,"Long")</f>
        <v>Long</v>
      </c>
      <c r="M955" t="str" cm="1">
        <f t="array" ref="M955">_xlfn.IFS(F955&lt;=50,"Low",F955&lt;=100,"Medium",F955&lt;=150,"High",F955&gt;150,"Very High")</f>
        <v>Low</v>
      </c>
    </row>
    <row r="956" spans="1:13" ht="14.25" customHeight="1" x14ac:dyDescent="0.4">
      <c r="A956" s="6" t="s">
        <v>990</v>
      </c>
      <c r="B956" s="6" t="s">
        <v>38</v>
      </c>
      <c r="C956" s="6">
        <v>133</v>
      </c>
      <c r="D956" s="7" t="s">
        <v>13</v>
      </c>
      <c r="E956" s="11">
        <v>45263</v>
      </c>
      <c r="F956" s="10">
        <v>96</v>
      </c>
      <c r="G956" s="6">
        <v>4.3</v>
      </c>
      <c r="H956" s="6">
        <f>IF(MONTH(Data!$E956)&lt;=6, YEAR(Data!$E956), YEAR(Data!$E956)+1)</f>
        <v>2024</v>
      </c>
      <c r="I956" s="6" t="str">
        <f>TEXT(Data!$E956,"DDDD")</f>
        <v>Sunday</v>
      </c>
      <c r="J956" s="6" t="s">
        <v>25</v>
      </c>
      <c r="K956" s="6">
        <f>ROUND(Data!$G956,0)</f>
        <v>4</v>
      </c>
      <c r="L956" t="str" cm="1">
        <f t="array" ref="L956">_xlfn.IFS(C956&lt;=15,"Very Short",C956&lt;=30,"Short",C956&lt;=60,"Medium",C956&gt;60,"Long")</f>
        <v>Long</v>
      </c>
      <c r="M956" t="str" cm="1">
        <f t="array" ref="M956">_xlfn.IFS(F956&lt;=50,"Low",F956&lt;=100,"Medium",F956&lt;=150,"High",F956&gt;150,"Very High")</f>
        <v>Medium</v>
      </c>
    </row>
    <row r="957" spans="1:13" ht="14.25" customHeight="1" x14ac:dyDescent="0.4">
      <c r="A957" s="6" t="s">
        <v>991</v>
      </c>
      <c r="B957" s="6" t="s">
        <v>21</v>
      </c>
      <c r="C957" s="6">
        <v>51</v>
      </c>
      <c r="D957" s="7" t="s">
        <v>35</v>
      </c>
      <c r="E957" s="11">
        <v>45263</v>
      </c>
      <c r="F957" s="10">
        <v>64</v>
      </c>
      <c r="G957" s="6">
        <v>3.7</v>
      </c>
      <c r="H957" s="6">
        <f>IF(MONTH(Data!$E957)&lt;=6, YEAR(Data!$E957), YEAR(Data!$E957)+1)</f>
        <v>2024</v>
      </c>
      <c r="I957" s="6" t="str">
        <f>TEXT(Data!$E957,"DDDD")</f>
        <v>Sunday</v>
      </c>
      <c r="J957" s="6" t="s">
        <v>27</v>
      </c>
      <c r="K957" s="6">
        <f>ROUND(Data!$G957,0)</f>
        <v>4</v>
      </c>
      <c r="L957" t="str" cm="1">
        <f t="array" ref="L957">_xlfn.IFS(C957&lt;=15,"Very Short",C957&lt;=30,"Short",C957&lt;=60,"Medium",C957&gt;60,"Long")</f>
        <v>Medium</v>
      </c>
      <c r="M957" t="str" cm="1">
        <f t="array" ref="M957">_xlfn.IFS(F957&lt;=50,"Low",F957&lt;=100,"Medium",F957&lt;=150,"High",F957&gt;150,"Very High")</f>
        <v>Medium</v>
      </c>
    </row>
    <row r="958" spans="1:13" ht="14.25" customHeight="1" x14ac:dyDescent="0.4">
      <c r="A958" s="6" t="s">
        <v>992</v>
      </c>
      <c r="B958" s="6" t="s">
        <v>50</v>
      </c>
      <c r="C958" s="6">
        <v>110</v>
      </c>
      <c r="D958" s="7" t="s">
        <v>13</v>
      </c>
      <c r="E958" s="11">
        <v>45264</v>
      </c>
      <c r="F958" s="10">
        <v>72</v>
      </c>
      <c r="G958" s="6">
        <v>3.7</v>
      </c>
      <c r="H958" s="6">
        <f>IF(MONTH(Data!$E958)&lt;=6, YEAR(Data!$E958), YEAR(Data!$E958)+1)</f>
        <v>2024</v>
      </c>
      <c r="I958" s="6" t="str">
        <f>TEXT(Data!$E958,"DDDD")</f>
        <v>Monday</v>
      </c>
      <c r="J958" s="6" t="s">
        <v>14</v>
      </c>
      <c r="K958" s="6">
        <f>ROUND(Data!$G958,0)</f>
        <v>4</v>
      </c>
      <c r="L958" t="str" cm="1">
        <f t="array" ref="L958">_xlfn.IFS(C958&lt;=15,"Very Short",C958&lt;=30,"Short",C958&lt;=60,"Medium",C958&gt;60,"Long")</f>
        <v>Long</v>
      </c>
      <c r="M958" t="str" cm="1">
        <f t="array" ref="M958">_xlfn.IFS(F958&lt;=50,"Low",F958&lt;=100,"Medium",F958&lt;=150,"High",F958&gt;150,"Very High")</f>
        <v>Medium</v>
      </c>
    </row>
    <row r="959" spans="1:13" ht="14.25" customHeight="1" x14ac:dyDescent="0.4">
      <c r="A959" s="6" t="s">
        <v>993</v>
      </c>
      <c r="B959" s="6" t="s">
        <v>34</v>
      </c>
      <c r="C959" s="6">
        <v>38</v>
      </c>
      <c r="D959" s="7" t="s">
        <v>31</v>
      </c>
      <c r="E959" s="11">
        <v>45265</v>
      </c>
      <c r="F959" s="10">
        <v>27</v>
      </c>
      <c r="G959" s="6">
        <v>3.1</v>
      </c>
      <c r="H959" s="6">
        <f>IF(MONTH(Data!$E959)&lt;=6, YEAR(Data!$E959), YEAR(Data!$E959)+1)</f>
        <v>2024</v>
      </c>
      <c r="I959" s="6" t="str">
        <f>TEXT(Data!$E959,"DDDD")</f>
        <v>Tuesday</v>
      </c>
      <c r="J959" s="6" t="s">
        <v>27</v>
      </c>
      <c r="K959" s="6">
        <f>ROUND(Data!$G959,0)</f>
        <v>3</v>
      </c>
      <c r="L959" t="str" cm="1">
        <f t="array" ref="L959">_xlfn.IFS(C959&lt;=15,"Very Short",C959&lt;=30,"Short",C959&lt;=60,"Medium",C959&gt;60,"Long")</f>
        <v>Medium</v>
      </c>
      <c r="M959" t="str" cm="1">
        <f t="array" ref="M959">_xlfn.IFS(F959&lt;=50,"Low",F959&lt;=100,"Medium",F959&lt;=150,"High",F959&gt;150,"Very High")</f>
        <v>Low</v>
      </c>
    </row>
    <row r="960" spans="1:13" ht="14.25" customHeight="1" x14ac:dyDescent="0.4">
      <c r="A960" s="6" t="s">
        <v>994</v>
      </c>
      <c r="B960" s="6" t="s">
        <v>38</v>
      </c>
      <c r="C960" s="6">
        <v>78</v>
      </c>
      <c r="D960" s="7" t="s">
        <v>31</v>
      </c>
      <c r="E960" s="11">
        <v>45267</v>
      </c>
      <c r="F960" s="10">
        <v>200</v>
      </c>
      <c r="G960" s="6">
        <v>2.4</v>
      </c>
      <c r="H960" s="6">
        <f>IF(MONTH(Data!$E960)&lt;=6, YEAR(Data!$E960), YEAR(Data!$E960)+1)</f>
        <v>2024</v>
      </c>
      <c r="I960" s="6" t="str">
        <f>TEXT(Data!$E960,"DDDD")</f>
        <v>Thursday</v>
      </c>
      <c r="J960" s="6" t="s">
        <v>14</v>
      </c>
      <c r="K960" s="6">
        <f>ROUND(Data!$G960,0)</f>
        <v>2</v>
      </c>
      <c r="L960" t="str" cm="1">
        <f t="array" ref="L960">_xlfn.IFS(C960&lt;=15,"Very Short",C960&lt;=30,"Short",C960&lt;=60,"Medium",C960&gt;60,"Long")</f>
        <v>Long</v>
      </c>
      <c r="M960" t="str" cm="1">
        <f t="array" ref="M960">_xlfn.IFS(F960&lt;=50,"Low",F960&lt;=100,"Medium",F960&lt;=150,"High",F960&gt;150,"Very High")</f>
        <v>Very High</v>
      </c>
    </row>
    <row r="961" spans="1:13" ht="14.25" customHeight="1" x14ac:dyDescent="0.4">
      <c r="A961" s="6" t="s">
        <v>995</v>
      </c>
      <c r="B961" s="6" t="s">
        <v>34</v>
      </c>
      <c r="C961" s="6">
        <v>25</v>
      </c>
      <c r="D961" s="7" t="s">
        <v>19</v>
      </c>
      <c r="E961" s="11">
        <v>45268</v>
      </c>
      <c r="F961" s="10">
        <v>93</v>
      </c>
      <c r="G961" s="6">
        <v>3.5</v>
      </c>
      <c r="H961" s="6">
        <f>IF(MONTH(Data!$E961)&lt;=6, YEAR(Data!$E961), YEAR(Data!$E961)+1)</f>
        <v>2024</v>
      </c>
      <c r="I961" s="6" t="str">
        <f>TEXT(Data!$E961,"DDDD")</f>
        <v>Friday</v>
      </c>
      <c r="J961" s="6" t="s">
        <v>47</v>
      </c>
      <c r="K961" s="6">
        <f>ROUND(Data!$G961,0)</f>
        <v>4</v>
      </c>
      <c r="L961" t="str" cm="1">
        <f t="array" ref="L961">_xlfn.IFS(C961&lt;=15,"Very Short",C961&lt;=30,"Short",C961&lt;=60,"Medium",C961&gt;60,"Long")</f>
        <v>Short</v>
      </c>
      <c r="M961" t="str" cm="1">
        <f t="array" ref="M961">_xlfn.IFS(F961&lt;=50,"Low",F961&lt;=100,"Medium",F961&lt;=150,"High",F961&gt;150,"Very High")</f>
        <v>Medium</v>
      </c>
    </row>
    <row r="962" spans="1:13" ht="14.25" customHeight="1" x14ac:dyDescent="0.4">
      <c r="A962" s="6" t="s">
        <v>996</v>
      </c>
      <c r="B962" s="6" t="s">
        <v>58</v>
      </c>
      <c r="C962" s="6">
        <v>50</v>
      </c>
      <c r="D962" s="7" t="s">
        <v>35</v>
      </c>
      <c r="E962" s="11">
        <v>45268</v>
      </c>
      <c r="F962" s="10">
        <v>54</v>
      </c>
      <c r="G962" s="6">
        <v>4.3</v>
      </c>
      <c r="H962" s="6">
        <f>IF(MONTH(Data!$E962)&lt;=6, YEAR(Data!$E962), YEAR(Data!$E962)+1)</f>
        <v>2024</v>
      </c>
      <c r="I962" s="6" t="str">
        <f>TEXT(Data!$E962,"DDDD")</f>
        <v>Friday</v>
      </c>
      <c r="J962" s="6" t="s">
        <v>27</v>
      </c>
      <c r="K962" s="6">
        <f>ROUND(Data!$G962,0)</f>
        <v>4</v>
      </c>
      <c r="L962" t="str" cm="1">
        <f t="array" ref="L962">_xlfn.IFS(C962&lt;=15,"Very Short",C962&lt;=30,"Short",C962&lt;=60,"Medium",C962&gt;60,"Long")</f>
        <v>Medium</v>
      </c>
      <c r="M962" t="str" cm="1">
        <f t="array" ref="M962">_xlfn.IFS(F962&lt;=50,"Low",F962&lt;=100,"Medium",F962&lt;=150,"High",F962&gt;150,"Very High")</f>
        <v>Medium</v>
      </c>
    </row>
    <row r="963" spans="1:13" ht="14.25" customHeight="1" x14ac:dyDescent="0.4">
      <c r="A963" s="6" t="s">
        <v>997</v>
      </c>
      <c r="B963" s="6" t="s">
        <v>34</v>
      </c>
      <c r="C963" s="6">
        <v>103</v>
      </c>
      <c r="D963" s="7" t="s">
        <v>19</v>
      </c>
      <c r="E963" s="11">
        <v>45269</v>
      </c>
      <c r="F963" s="10">
        <v>72</v>
      </c>
      <c r="G963" s="6">
        <v>3.4</v>
      </c>
      <c r="H963" s="6">
        <f>IF(MONTH(Data!$E963)&lt;=6, YEAR(Data!$E963), YEAR(Data!$E963)+1)</f>
        <v>2024</v>
      </c>
      <c r="I963" s="6" t="str">
        <f>TEXT(Data!$E963,"DDDD")</f>
        <v>Saturday</v>
      </c>
      <c r="J963" s="6" t="s">
        <v>14</v>
      </c>
      <c r="K963" s="6">
        <f>ROUND(Data!$G963,0)</f>
        <v>3</v>
      </c>
      <c r="L963" t="str" cm="1">
        <f t="array" ref="L963">_xlfn.IFS(C963&lt;=15,"Very Short",C963&lt;=30,"Short",C963&lt;=60,"Medium",C963&gt;60,"Long")</f>
        <v>Long</v>
      </c>
      <c r="M963" t="str" cm="1">
        <f t="array" ref="M963">_xlfn.IFS(F963&lt;=50,"Low",F963&lt;=100,"Medium",F963&lt;=150,"High",F963&gt;150,"Very High")</f>
        <v>Medium</v>
      </c>
    </row>
    <row r="964" spans="1:13" ht="14.25" customHeight="1" x14ac:dyDescent="0.4">
      <c r="A964" s="6" t="s">
        <v>998</v>
      </c>
      <c r="B964" s="6" t="s">
        <v>46</v>
      </c>
      <c r="C964" s="6">
        <v>63</v>
      </c>
      <c r="D964" s="7" t="s">
        <v>24</v>
      </c>
      <c r="E964" s="11">
        <v>45269</v>
      </c>
      <c r="F964" s="10">
        <v>82</v>
      </c>
      <c r="G964" s="6">
        <v>3.7</v>
      </c>
      <c r="H964" s="6">
        <f>IF(MONTH(Data!$E964)&lt;=6, YEAR(Data!$E964), YEAR(Data!$E964)+1)</f>
        <v>2024</v>
      </c>
      <c r="I964" s="6" t="str">
        <f>TEXT(Data!$E964,"DDDD")</f>
        <v>Saturday</v>
      </c>
      <c r="J964" s="6" t="s">
        <v>14</v>
      </c>
      <c r="K964" s="6">
        <f>ROUND(Data!$G964,0)</f>
        <v>4</v>
      </c>
      <c r="L964" t="str" cm="1">
        <f t="array" ref="L964">_xlfn.IFS(C964&lt;=15,"Very Short",C964&lt;=30,"Short",C964&lt;=60,"Medium",C964&gt;60,"Long")</f>
        <v>Long</v>
      </c>
      <c r="M964" t="str" cm="1">
        <f t="array" ref="M964">_xlfn.IFS(F964&lt;=50,"Low",F964&lt;=100,"Medium",F964&lt;=150,"High",F964&gt;150,"Very High")</f>
        <v>Medium</v>
      </c>
    </row>
    <row r="965" spans="1:13" ht="14.25" customHeight="1" x14ac:dyDescent="0.4">
      <c r="A965" s="6" t="s">
        <v>999</v>
      </c>
      <c r="B965" s="6" t="s">
        <v>58</v>
      </c>
      <c r="C965" s="6">
        <v>96</v>
      </c>
      <c r="D965" s="7" t="s">
        <v>35</v>
      </c>
      <c r="E965" s="11">
        <v>45273</v>
      </c>
      <c r="F965" s="10">
        <v>164</v>
      </c>
      <c r="G965" s="6">
        <v>4.8</v>
      </c>
      <c r="H965" s="6">
        <f>IF(MONTH(Data!$E965)&lt;=6, YEAR(Data!$E965), YEAR(Data!$E965)+1)</f>
        <v>2024</v>
      </c>
      <c r="I965" s="6" t="str">
        <f>TEXT(Data!$E965,"DDDD")</f>
        <v>Wednesday</v>
      </c>
      <c r="J965" s="6" t="s">
        <v>14</v>
      </c>
      <c r="K965" s="6">
        <f>ROUND(Data!$G965,0)</f>
        <v>5</v>
      </c>
      <c r="L965" t="str" cm="1">
        <f t="array" ref="L965">_xlfn.IFS(C965&lt;=15,"Very Short",C965&lt;=30,"Short",C965&lt;=60,"Medium",C965&gt;60,"Long")</f>
        <v>Long</v>
      </c>
      <c r="M965" t="str" cm="1">
        <f t="array" ref="M965">_xlfn.IFS(F965&lt;=50,"Low",F965&lt;=100,"Medium",F965&lt;=150,"High",F965&gt;150,"Very High")</f>
        <v>Very High</v>
      </c>
    </row>
    <row r="966" spans="1:13" ht="14.25" customHeight="1" x14ac:dyDescent="0.4">
      <c r="A966" s="6" t="s">
        <v>1000</v>
      </c>
      <c r="B966" s="6" t="s">
        <v>18</v>
      </c>
      <c r="C966" s="6">
        <v>94</v>
      </c>
      <c r="D966" s="7" t="s">
        <v>19</v>
      </c>
      <c r="E966" s="11">
        <v>45273</v>
      </c>
      <c r="F966" s="10">
        <v>78</v>
      </c>
      <c r="G966" s="6">
        <v>3.3</v>
      </c>
      <c r="H966" s="6">
        <f>IF(MONTH(Data!$E966)&lt;=6, YEAR(Data!$E966), YEAR(Data!$E966)+1)</f>
        <v>2024</v>
      </c>
      <c r="I966" s="6" t="str">
        <f>TEXT(Data!$E966,"DDDD")</f>
        <v>Wednesday</v>
      </c>
      <c r="J966" s="6" t="s">
        <v>14</v>
      </c>
      <c r="K966" s="6">
        <f>ROUND(Data!$G966,0)</f>
        <v>3</v>
      </c>
      <c r="L966" t="str" cm="1">
        <f t="array" ref="L966">_xlfn.IFS(C966&lt;=15,"Very Short",C966&lt;=30,"Short",C966&lt;=60,"Medium",C966&gt;60,"Long")</f>
        <v>Long</v>
      </c>
      <c r="M966" t="str" cm="1">
        <f t="array" ref="M966">_xlfn.IFS(F966&lt;=50,"Low",F966&lt;=100,"Medium",F966&lt;=150,"High",F966&gt;150,"Very High")</f>
        <v>Medium</v>
      </c>
    </row>
    <row r="967" spans="1:13" ht="14.25" customHeight="1" x14ac:dyDescent="0.4">
      <c r="A967" s="6" t="s">
        <v>1001</v>
      </c>
      <c r="B967" s="6" t="s">
        <v>50</v>
      </c>
      <c r="C967" s="6">
        <v>46</v>
      </c>
      <c r="D967" s="7" t="s">
        <v>31</v>
      </c>
      <c r="E967" s="11">
        <v>45274</v>
      </c>
      <c r="F967" s="10">
        <v>135</v>
      </c>
      <c r="G967" s="6">
        <v>4.2</v>
      </c>
      <c r="H967" s="6">
        <f>IF(MONTH(Data!$E967)&lt;=6, YEAR(Data!$E967), YEAR(Data!$E967)+1)</f>
        <v>2024</v>
      </c>
      <c r="I967" s="6" t="str">
        <f>TEXT(Data!$E967,"DDDD")</f>
        <v>Thursday</v>
      </c>
      <c r="J967" s="6" t="s">
        <v>27</v>
      </c>
      <c r="K967" s="6">
        <f>ROUND(Data!$G967,0)</f>
        <v>4</v>
      </c>
      <c r="L967" t="str" cm="1">
        <f t="array" ref="L967">_xlfn.IFS(C967&lt;=15,"Very Short",C967&lt;=30,"Short",C967&lt;=60,"Medium",C967&gt;60,"Long")</f>
        <v>Medium</v>
      </c>
      <c r="M967" t="str" cm="1">
        <f t="array" ref="M967">_xlfn.IFS(F967&lt;=50,"Low",F967&lt;=100,"Medium",F967&lt;=150,"High",F967&gt;150,"Very High")</f>
        <v>High</v>
      </c>
    </row>
    <row r="968" spans="1:13" ht="14.25" customHeight="1" x14ac:dyDescent="0.4">
      <c r="A968" s="6" t="s">
        <v>1002</v>
      </c>
      <c r="B968" s="6" t="s">
        <v>88</v>
      </c>
      <c r="C968" s="6">
        <v>127</v>
      </c>
      <c r="D968" s="7" t="s">
        <v>35</v>
      </c>
      <c r="E968" s="11">
        <v>45275</v>
      </c>
      <c r="F968" s="10">
        <v>145</v>
      </c>
      <c r="G968" s="6">
        <v>2.6</v>
      </c>
      <c r="H968" s="6">
        <f>IF(MONTH(Data!$E968)&lt;=6, YEAR(Data!$E968), YEAR(Data!$E968)+1)</f>
        <v>2024</v>
      </c>
      <c r="I968" s="6" t="str">
        <f>TEXT(Data!$E968,"DDDD")</f>
        <v>Friday</v>
      </c>
      <c r="J968" s="6" t="s">
        <v>25</v>
      </c>
      <c r="K968" s="6">
        <f>ROUND(Data!$G968,0)</f>
        <v>3</v>
      </c>
      <c r="L968" t="str" cm="1">
        <f t="array" ref="L968">_xlfn.IFS(C968&lt;=15,"Very Short",C968&lt;=30,"Short",C968&lt;=60,"Medium",C968&gt;60,"Long")</f>
        <v>Long</v>
      </c>
      <c r="M968" t="str" cm="1">
        <f t="array" ref="M968">_xlfn.IFS(F968&lt;=50,"Low",F968&lt;=100,"Medium",F968&lt;=150,"High",F968&gt;150,"Very High")</f>
        <v>High</v>
      </c>
    </row>
    <row r="969" spans="1:13" ht="14.25" customHeight="1" x14ac:dyDescent="0.4">
      <c r="A969" s="6" t="s">
        <v>1003</v>
      </c>
      <c r="B969" s="6" t="s">
        <v>29</v>
      </c>
      <c r="C969" s="6">
        <v>96</v>
      </c>
      <c r="D969" s="7" t="s">
        <v>31</v>
      </c>
      <c r="E969" s="11">
        <v>45275</v>
      </c>
      <c r="F969" s="10">
        <v>115</v>
      </c>
      <c r="G969" s="6">
        <v>4.9000000000000004</v>
      </c>
      <c r="H969" s="6">
        <f>IF(MONTH(Data!$E969)&lt;=6, YEAR(Data!$E969), YEAR(Data!$E969)+1)</f>
        <v>2024</v>
      </c>
      <c r="I969" s="6" t="str">
        <f>TEXT(Data!$E969,"DDDD")</f>
        <v>Friday</v>
      </c>
      <c r="J969" s="6" t="s">
        <v>14</v>
      </c>
      <c r="K969" s="6">
        <f>ROUND(Data!$G969,0)</f>
        <v>5</v>
      </c>
      <c r="L969" t="str" cm="1">
        <f t="array" ref="L969">_xlfn.IFS(C969&lt;=15,"Very Short",C969&lt;=30,"Short",C969&lt;=60,"Medium",C969&gt;60,"Long")</f>
        <v>Long</v>
      </c>
      <c r="M969" t="str" cm="1">
        <f t="array" ref="M969">_xlfn.IFS(F969&lt;=50,"Low",F969&lt;=100,"Medium",F969&lt;=150,"High",F969&gt;150,"Very High")</f>
        <v>High</v>
      </c>
    </row>
    <row r="970" spans="1:13" ht="14.25" customHeight="1" x14ac:dyDescent="0.4">
      <c r="A970" s="6" t="s">
        <v>1004</v>
      </c>
      <c r="B970" s="6" t="s">
        <v>68</v>
      </c>
      <c r="C970" s="6">
        <v>151</v>
      </c>
      <c r="D970" s="7" t="s">
        <v>19</v>
      </c>
      <c r="E970" s="11">
        <v>45275</v>
      </c>
      <c r="F970" s="10">
        <v>117</v>
      </c>
      <c r="G970" s="6">
        <v>2</v>
      </c>
      <c r="H970" s="6">
        <f>IF(MONTH(Data!$E970)&lt;=6, YEAR(Data!$E970), YEAR(Data!$E970)+1)</f>
        <v>2024</v>
      </c>
      <c r="I970" s="6" t="str">
        <f>TEXT(Data!$E970,"DDDD")</f>
        <v>Friday</v>
      </c>
      <c r="J970" s="6" t="s">
        <v>25</v>
      </c>
      <c r="K970" s="6">
        <f>ROUND(Data!$G970,0)</f>
        <v>2</v>
      </c>
      <c r="L970" t="str" cm="1">
        <f t="array" ref="L970">_xlfn.IFS(C970&lt;=15,"Very Short",C970&lt;=30,"Short",C970&lt;=60,"Medium",C970&gt;60,"Long")</f>
        <v>Long</v>
      </c>
      <c r="M970" t="str" cm="1">
        <f t="array" ref="M970">_xlfn.IFS(F970&lt;=50,"Low",F970&lt;=100,"Medium",F970&lt;=150,"High",F970&gt;150,"Very High")</f>
        <v>High</v>
      </c>
    </row>
    <row r="971" spans="1:13" ht="14.25" customHeight="1" x14ac:dyDescent="0.4">
      <c r="A971" s="6" t="s">
        <v>1005</v>
      </c>
      <c r="B971" s="6" t="s">
        <v>88</v>
      </c>
      <c r="C971" s="6">
        <v>158</v>
      </c>
      <c r="D971" s="7" t="s">
        <v>13</v>
      </c>
      <c r="E971" s="11">
        <v>45276</v>
      </c>
      <c r="F971" s="10">
        <v>36</v>
      </c>
      <c r="G971" s="6">
        <v>4.7</v>
      </c>
      <c r="H971" s="6">
        <f>IF(MONTH(Data!$E971)&lt;=6, YEAR(Data!$E971), YEAR(Data!$E971)+1)</f>
        <v>2024</v>
      </c>
      <c r="I971" s="6" t="str">
        <f>TEXT(Data!$E971,"DDDD")</f>
        <v>Saturday</v>
      </c>
      <c r="J971" s="6" t="s">
        <v>25</v>
      </c>
      <c r="K971" s="6">
        <f>ROUND(Data!$G971,0)</f>
        <v>5</v>
      </c>
      <c r="L971" t="str" cm="1">
        <f t="array" ref="L971">_xlfn.IFS(C971&lt;=15,"Very Short",C971&lt;=30,"Short",C971&lt;=60,"Medium",C971&gt;60,"Long")</f>
        <v>Long</v>
      </c>
      <c r="M971" t="str" cm="1">
        <f t="array" ref="M971">_xlfn.IFS(F971&lt;=50,"Low",F971&lt;=100,"Medium",F971&lt;=150,"High",F971&gt;150,"Very High")</f>
        <v>Low</v>
      </c>
    </row>
    <row r="972" spans="1:13" ht="14.25" customHeight="1" x14ac:dyDescent="0.4">
      <c r="A972" s="6" t="s">
        <v>1006</v>
      </c>
      <c r="B972" s="6" t="s">
        <v>18</v>
      </c>
      <c r="C972" s="6">
        <v>45</v>
      </c>
      <c r="D972" s="7" t="s">
        <v>13</v>
      </c>
      <c r="E972" s="11">
        <v>45276</v>
      </c>
      <c r="F972" s="10">
        <v>84</v>
      </c>
      <c r="G972" s="6">
        <v>2.8</v>
      </c>
      <c r="H972" s="6">
        <f>IF(MONTH(Data!$E972)&lt;=6, YEAR(Data!$E972), YEAR(Data!$E972)+1)</f>
        <v>2024</v>
      </c>
      <c r="I972" s="6" t="str">
        <f>TEXT(Data!$E972,"DDDD")</f>
        <v>Saturday</v>
      </c>
      <c r="J972" s="6" t="s">
        <v>27</v>
      </c>
      <c r="K972" s="6">
        <f>ROUND(Data!$G972,0)</f>
        <v>3</v>
      </c>
      <c r="L972" t="str" cm="1">
        <f t="array" ref="L972">_xlfn.IFS(C972&lt;=15,"Very Short",C972&lt;=30,"Short",C972&lt;=60,"Medium",C972&gt;60,"Long")</f>
        <v>Medium</v>
      </c>
      <c r="M972" t="str" cm="1">
        <f t="array" ref="M972">_xlfn.IFS(F972&lt;=50,"Low",F972&lt;=100,"Medium",F972&lt;=150,"High",F972&gt;150,"Very High")</f>
        <v>Medium</v>
      </c>
    </row>
    <row r="973" spans="1:13" ht="14.25" customHeight="1" x14ac:dyDescent="0.4">
      <c r="A973" s="6" t="s">
        <v>1007</v>
      </c>
      <c r="B973" s="6" t="s">
        <v>40</v>
      </c>
      <c r="C973" s="6">
        <v>141</v>
      </c>
      <c r="D973" s="7" t="s">
        <v>13</v>
      </c>
      <c r="E973" s="11">
        <v>45276</v>
      </c>
      <c r="F973" s="10">
        <v>66</v>
      </c>
      <c r="G973" s="6">
        <v>3.2</v>
      </c>
      <c r="H973" s="6">
        <f>IF(MONTH(Data!$E973)&lt;=6, YEAR(Data!$E973), YEAR(Data!$E973)+1)</f>
        <v>2024</v>
      </c>
      <c r="I973" s="6" t="str">
        <f>TEXT(Data!$E973,"DDDD")</f>
        <v>Saturday</v>
      </c>
      <c r="J973" s="6" t="s">
        <v>25</v>
      </c>
      <c r="K973" s="6">
        <f>ROUND(Data!$G973,0)</f>
        <v>3</v>
      </c>
      <c r="L973" t="str" cm="1">
        <f t="array" ref="L973">_xlfn.IFS(C973&lt;=15,"Very Short",C973&lt;=30,"Short",C973&lt;=60,"Medium",C973&gt;60,"Long")</f>
        <v>Long</v>
      </c>
      <c r="M973" t="str" cm="1">
        <f t="array" ref="M973">_xlfn.IFS(F973&lt;=50,"Low",F973&lt;=100,"Medium",F973&lt;=150,"High",F973&gt;150,"Very High")</f>
        <v>Medium</v>
      </c>
    </row>
    <row r="974" spans="1:13" ht="14.25" customHeight="1" x14ac:dyDescent="0.4">
      <c r="A974" s="6" t="s">
        <v>1008</v>
      </c>
      <c r="B974" s="6" t="s">
        <v>34</v>
      </c>
      <c r="C974" s="6">
        <v>147</v>
      </c>
      <c r="D974" s="7" t="s">
        <v>31</v>
      </c>
      <c r="E974" s="11">
        <v>45276</v>
      </c>
      <c r="F974" s="10">
        <v>76</v>
      </c>
      <c r="G974" s="6">
        <v>4.7</v>
      </c>
      <c r="H974" s="6">
        <f>IF(MONTH(Data!$E974)&lt;=6, YEAR(Data!$E974), YEAR(Data!$E974)+1)</f>
        <v>2024</v>
      </c>
      <c r="I974" s="6" t="str">
        <f>TEXT(Data!$E974,"DDDD")</f>
        <v>Saturday</v>
      </c>
      <c r="J974" s="6" t="s">
        <v>25</v>
      </c>
      <c r="K974" s="6">
        <f>ROUND(Data!$G974,0)</f>
        <v>5</v>
      </c>
      <c r="L974" t="str" cm="1">
        <f t="array" ref="L974">_xlfn.IFS(C974&lt;=15,"Very Short",C974&lt;=30,"Short",C974&lt;=60,"Medium",C974&gt;60,"Long")</f>
        <v>Long</v>
      </c>
      <c r="M974" t="str" cm="1">
        <f t="array" ref="M974">_xlfn.IFS(F974&lt;=50,"Low",F974&lt;=100,"Medium",F974&lt;=150,"High",F974&gt;150,"Very High")</f>
        <v>Medium</v>
      </c>
    </row>
    <row r="975" spans="1:13" ht="14.25" customHeight="1" x14ac:dyDescent="0.4">
      <c r="A975" s="6" t="s">
        <v>1009</v>
      </c>
      <c r="B975" s="6" t="s">
        <v>55</v>
      </c>
      <c r="C975" s="6">
        <v>126</v>
      </c>
      <c r="D975" s="7" t="s">
        <v>31</v>
      </c>
      <c r="E975" s="11">
        <v>45276</v>
      </c>
      <c r="F975" s="10">
        <v>185</v>
      </c>
      <c r="G975" s="6">
        <v>4.8</v>
      </c>
      <c r="H975" s="6">
        <f>IF(MONTH(Data!$E975)&lt;=6, YEAR(Data!$E975), YEAR(Data!$E975)+1)</f>
        <v>2024</v>
      </c>
      <c r="I975" s="6" t="str">
        <f>TEXT(Data!$E975,"DDDD")</f>
        <v>Saturday</v>
      </c>
      <c r="J975" s="6" t="s">
        <v>25</v>
      </c>
      <c r="K975" s="6">
        <f>ROUND(Data!$G975,0)</f>
        <v>5</v>
      </c>
      <c r="L975" t="str" cm="1">
        <f t="array" ref="L975">_xlfn.IFS(C975&lt;=15,"Very Short",C975&lt;=30,"Short",C975&lt;=60,"Medium",C975&gt;60,"Long")</f>
        <v>Long</v>
      </c>
      <c r="M975" t="str" cm="1">
        <f t="array" ref="M975">_xlfn.IFS(F975&lt;=50,"Low",F975&lt;=100,"Medium",F975&lt;=150,"High",F975&gt;150,"Very High")</f>
        <v>Very High</v>
      </c>
    </row>
    <row r="976" spans="1:13" ht="14.25" customHeight="1" x14ac:dyDescent="0.4">
      <c r="A976" s="6" t="s">
        <v>1010</v>
      </c>
      <c r="B976" s="6" t="s">
        <v>18</v>
      </c>
      <c r="C976" s="6">
        <v>126</v>
      </c>
      <c r="D976" s="7" t="s">
        <v>24</v>
      </c>
      <c r="E976" s="11">
        <v>45277</v>
      </c>
      <c r="F976" s="10">
        <v>80</v>
      </c>
      <c r="G976" s="6">
        <v>4.7</v>
      </c>
      <c r="H976" s="6">
        <f>IF(MONTH(Data!$E976)&lt;=6, YEAR(Data!$E976), YEAR(Data!$E976)+1)</f>
        <v>2024</v>
      </c>
      <c r="I976" s="6" t="str">
        <f>TEXT(Data!$E976,"DDDD")</f>
        <v>Sunday</v>
      </c>
      <c r="J976" s="6" t="s">
        <v>25</v>
      </c>
      <c r="K976" s="6">
        <f>ROUND(Data!$G976,0)</f>
        <v>5</v>
      </c>
      <c r="L976" t="str" cm="1">
        <f t="array" ref="L976">_xlfn.IFS(C976&lt;=15,"Very Short",C976&lt;=30,"Short",C976&lt;=60,"Medium",C976&gt;60,"Long")</f>
        <v>Long</v>
      </c>
      <c r="M976" t="str" cm="1">
        <f t="array" ref="M976">_xlfn.IFS(F976&lt;=50,"Low",F976&lt;=100,"Medium",F976&lt;=150,"High",F976&gt;150,"Very High")</f>
        <v>Medium</v>
      </c>
    </row>
    <row r="977" spans="1:13" ht="14.25" customHeight="1" x14ac:dyDescent="0.4">
      <c r="A977" s="6" t="s">
        <v>1011</v>
      </c>
      <c r="B977" s="6" t="s">
        <v>38</v>
      </c>
      <c r="C977" s="6">
        <v>32</v>
      </c>
      <c r="D977" s="7" t="s">
        <v>31</v>
      </c>
      <c r="E977" s="11">
        <v>45277</v>
      </c>
      <c r="F977" s="10">
        <v>148</v>
      </c>
      <c r="G977" s="6">
        <v>4</v>
      </c>
      <c r="H977" s="6">
        <f>IF(MONTH(Data!$E977)&lt;=6, YEAR(Data!$E977), YEAR(Data!$E977)+1)</f>
        <v>2024</v>
      </c>
      <c r="I977" s="6" t="str">
        <f>TEXT(Data!$E977,"DDDD")</f>
        <v>Sunday</v>
      </c>
      <c r="J977" s="6" t="s">
        <v>27</v>
      </c>
      <c r="K977" s="6">
        <f>ROUND(Data!$G977,0)</f>
        <v>4</v>
      </c>
      <c r="L977" t="str" cm="1">
        <f t="array" ref="L977">_xlfn.IFS(C977&lt;=15,"Very Short",C977&lt;=30,"Short",C977&lt;=60,"Medium",C977&gt;60,"Long")</f>
        <v>Medium</v>
      </c>
      <c r="M977" t="str" cm="1">
        <f t="array" ref="M977">_xlfn.IFS(F977&lt;=50,"Low",F977&lt;=100,"Medium",F977&lt;=150,"High",F977&gt;150,"Very High")</f>
        <v>High</v>
      </c>
    </row>
    <row r="978" spans="1:13" ht="14.25" customHeight="1" x14ac:dyDescent="0.4">
      <c r="A978" s="6" t="s">
        <v>1012</v>
      </c>
      <c r="B978" s="6" t="s">
        <v>18</v>
      </c>
      <c r="C978" s="6">
        <v>84</v>
      </c>
      <c r="D978" s="7" t="s">
        <v>35</v>
      </c>
      <c r="E978" s="11">
        <v>45279</v>
      </c>
      <c r="F978" s="10">
        <v>180</v>
      </c>
      <c r="G978" s="6">
        <v>4.9000000000000004</v>
      </c>
      <c r="H978" s="6">
        <f>IF(MONTH(Data!$E978)&lt;=6, YEAR(Data!$E978), YEAR(Data!$E978)+1)</f>
        <v>2024</v>
      </c>
      <c r="I978" s="6" t="str">
        <f>TEXT(Data!$E978,"DDDD")</f>
        <v>Tuesday</v>
      </c>
      <c r="J978" s="6" t="s">
        <v>14</v>
      </c>
      <c r="K978" s="6">
        <f>ROUND(Data!$G978,0)</f>
        <v>5</v>
      </c>
      <c r="L978" t="str" cm="1">
        <f t="array" ref="L978">_xlfn.IFS(C978&lt;=15,"Very Short",C978&lt;=30,"Short",C978&lt;=60,"Medium",C978&gt;60,"Long")</f>
        <v>Long</v>
      </c>
      <c r="M978" t="str" cm="1">
        <f t="array" ref="M978">_xlfn.IFS(F978&lt;=50,"Low",F978&lt;=100,"Medium",F978&lt;=150,"High",F978&gt;150,"Very High")</f>
        <v>Very High</v>
      </c>
    </row>
    <row r="979" spans="1:13" ht="14.25" customHeight="1" x14ac:dyDescent="0.4">
      <c r="A979" s="6" t="s">
        <v>1013</v>
      </c>
      <c r="B979" s="6" t="s">
        <v>46</v>
      </c>
      <c r="C979" s="6">
        <v>120</v>
      </c>
      <c r="D979" s="7" t="s">
        <v>24</v>
      </c>
      <c r="E979" s="11">
        <v>45280</v>
      </c>
      <c r="F979" s="10">
        <v>190</v>
      </c>
      <c r="G979" s="6">
        <v>3.7</v>
      </c>
      <c r="H979" s="6">
        <f>IF(MONTH(Data!$E979)&lt;=6, YEAR(Data!$E979), YEAR(Data!$E979)+1)</f>
        <v>2024</v>
      </c>
      <c r="I979" s="6" t="str">
        <f>TEXT(Data!$E979,"DDDD")</f>
        <v>Wednesday</v>
      </c>
      <c r="J979" s="6" t="s">
        <v>14</v>
      </c>
      <c r="K979" s="6">
        <f>ROUND(Data!$G979,0)</f>
        <v>4</v>
      </c>
      <c r="L979" t="str" cm="1">
        <f t="array" ref="L979">_xlfn.IFS(C979&lt;=15,"Very Short",C979&lt;=30,"Short",C979&lt;=60,"Medium",C979&gt;60,"Long")</f>
        <v>Long</v>
      </c>
      <c r="M979" t="str" cm="1">
        <f t="array" ref="M979">_xlfn.IFS(F979&lt;=50,"Low",F979&lt;=100,"Medium",F979&lt;=150,"High",F979&gt;150,"Very High")</f>
        <v>Very High</v>
      </c>
    </row>
    <row r="980" spans="1:13" ht="14.25" customHeight="1" x14ac:dyDescent="0.4">
      <c r="A980" s="6" t="s">
        <v>1014</v>
      </c>
      <c r="B980" s="6" t="s">
        <v>23</v>
      </c>
      <c r="C980" s="6">
        <v>93</v>
      </c>
      <c r="D980" s="7" t="s">
        <v>31</v>
      </c>
      <c r="E980" s="11">
        <v>45280</v>
      </c>
      <c r="F980" s="10">
        <v>38</v>
      </c>
      <c r="G980" s="6">
        <v>4.5</v>
      </c>
      <c r="H980" s="6">
        <f>IF(MONTH(Data!$E980)&lt;=6, YEAR(Data!$E980), YEAR(Data!$E980)+1)</f>
        <v>2024</v>
      </c>
      <c r="I980" s="6" t="str">
        <f>TEXT(Data!$E980,"DDDD")</f>
        <v>Wednesday</v>
      </c>
      <c r="J980" s="6" t="s">
        <v>14</v>
      </c>
      <c r="K980" s="6">
        <f>ROUND(Data!$G980,0)</f>
        <v>5</v>
      </c>
      <c r="L980" t="str" cm="1">
        <f t="array" ref="L980">_xlfn.IFS(C980&lt;=15,"Very Short",C980&lt;=30,"Short",C980&lt;=60,"Medium",C980&gt;60,"Long")</f>
        <v>Long</v>
      </c>
      <c r="M980" t="str" cm="1">
        <f t="array" ref="M980">_xlfn.IFS(F980&lt;=50,"Low",F980&lt;=100,"Medium",F980&lt;=150,"High",F980&gt;150,"Very High")</f>
        <v>Low</v>
      </c>
    </row>
    <row r="981" spans="1:13" ht="14.25" customHeight="1" x14ac:dyDescent="0.4">
      <c r="A981" s="6" t="s">
        <v>1015</v>
      </c>
      <c r="B981" s="6" t="s">
        <v>29</v>
      </c>
      <c r="C981" s="6">
        <v>76</v>
      </c>
      <c r="D981" s="7" t="s">
        <v>19</v>
      </c>
      <c r="E981" s="11">
        <v>45281</v>
      </c>
      <c r="F981" s="10">
        <v>82</v>
      </c>
      <c r="G981" s="6">
        <v>2.1</v>
      </c>
      <c r="H981" s="6">
        <f>IF(MONTH(Data!$E981)&lt;=6, YEAR(Data!$E981), YEAR(Data!$E981)+1)</f>
        <v>2024</v>
      </c>
      <c r="I981" s="6" t="str">
        <f>TEXT(Data!$E981,"DDDD")</f>
        <v>Thursday</v>
      </c>
      <c r="J981" s="6" t="s">
        <v>14</v>
      </c>
      <c r="K981" s="6">
        <f>ROUND(Data!$G981,0)</f>
        <v>2</v>
      </c>
      <c r="L981" t="str" cm="1">
        <f t="array" ref="L981">_xlfn.IFS(C981&lt;=15,"Very Short",C981&lt;=30,"Short",C981&lt;=60,"Medium",C981&gt;60,"Long")</f>
        <v>Long</v>
      </c>
      <c r="M981" t="str" cm="1">
        <f t="array" ref="M981">_xlfn.IFS(F981&lt;=50,"Low",F981&lt;=100,"Medium",F981&lt;=150,"High",F981&gt;150,"Very High")</f>
        <v>Medium</v>
      </c>
    </row>
    <row r="982" spans="1:13" ht="14.25" customHeight="1" x14ac:dyDescent="0.4">
      <c r="A982" s="6" t="s">
        <v>1016</v>
      </c>
      <c r="B982" s="6" t="s">
        <v>88</v>
      </c>
      <c r="C982" s="6">
        <v>89</v>
      </c>
      <c r="D982" s="7" t="s">
        <v>31</v>
      </c>
      <c r="E982" s="11">
        <v>45284</v>
      </c>
      <c r="F982" s="10">
        <v>88</v>
      </c>
      <c r="G982" s="6">
        <v>2.8</v>
      </c>
      <c r="H982" s="6">
        <f>IF(MONTH(Data!$E982)&lt;=6, YEAR(Data!$E982), YEAR(Data!$E982)+1)</f>
        <v>2024</v>
      </c>
      <c r="I982" s="6" t="str">
        <f>TEXT(Data!$E982,"DDDD")</f>
        <v>Sunday</v>
      </c>
      <c r="J982" s="6" t="s">
        <v>14</v>
      </c>
      <c r="K982" s="6">
        <f>ROUND(Data!$G982,0)</f>
        <v>3</v>
      </c>
      <c r="L982" t="str" cm="1">
        <f t="array" ref="L982">_xlfn.IFS(C982&lt;=15,"Very Short",C982&lt;=30,"Short",C982&lt;=60,"Medium",C982&gt;60,"Long")</f>
        <v>Long</v>
      </c>
      <c r="M982" t="str" cm="1">
        <f t="array" ref="M982">_xlfn.IFS(F982&lt;=50,"Low",F982&lt;=100,"Medium",F982&lt;=150,"High",F982&gt;150,"Very High")</f>
        <v>Medium</v>
      </c>
    </row>
    <row r="983" spans="1:13" ht="14.25" customHeight="1" x14ac:dyDescent="0.4">
      <c r="A983" s="6" t="s">
        <v>1017</v>
      </c>
      <c r="B983" s="6" t="s">
        <v>21</v>
      </c>
      <c r="C983" s="6">
        <v>91</v>
      </c>
      <c r="D983" s="7" t="s">
        <v>35</v>
      </c>
      <c r="E983" s="11">
        <v>45284</v>
      </c>
      <c r="F983" s="10">
        <v>42</v>
      </c>
      <c r="G983" s="6">
        <v>4.0999999999999996</v>
      </c>
      <c r="H983" s="6">
        <f>IF(MONTH(Data!$E983)&lt;=6, YEAR(Data!$E983), YEAR(Data!$E983)+1)</f>
        <v>2024</v>
      </c>
      <c r="I983" s="6" t="str">
        <f>TEXT(Data!$E983,"DDDD")</f>
        <v>Sunday</v>
      </c>
      <c r="J983" s="6" t="s">
        <v>14</v>
      </c>
      <c r="K983" s="6">
        <f>ROUND(Data!$G983,0)</f>
        <v>4</v>
      </c>
      <c r="L983" t="str" cm="1">
        <f t="array" ref="L983">_xlfn.IFS(C983&lt;=15,"Very Short",C983&lt;=30,"Short",C983&lt;=60,"Medium",C983&gt;60,"Long")</f>
        <v>Long</v>
      </c>
      <c r="M983" t="str" cm="1">
        <f t="array" ref="M983">_xlfn.IFS(F983&lt;=50,"Low",F983&lt;=100,"Medium",F983&lt;=150,"High",F983&gt;150,"Very High")</f>
        <v>Low</v>
      </c>
    </row>
    <row r="984" spans="1:13" ht="14.25" customHeight="1" x14ac:dyDescent="0.4">
      <c r="A984" s="6" t="s">
        <v>1018</v>
      </c>
      <c r="B984" s="6" t="s">
        <v>50</v>
      </c>
      <c r="C984" s="6">
        <v>7</v>
      </c>
      <c r="D984" s="7" t="s">
        <v>13</v>
      </c>
      <c r="E984" s="11">
        <v>45285</v>
      </c>
      <c r="F984" s="10">
        <v>64</v>
      </c>
      <c r="G984" s="6">
        <v>3.3</v>
      </c>
      <c r="H984" s="6">
        <f>IF(MONTH(Data!$E984)&lt;=6, YEAR(Data!$E984), YEAR(Data!$E984)+1)</f>
        <v>2024</v>
      </c>
      <c r="I984" s="6" t="str">
        <f>TEXT(Data!$E984,"DDDD")</f>
        <v>Monday</v>
      </c>
      <c r="J984" s="6" t="s">
        <v>176</v>
      </c>
      <c r="K984" s="6">
        <f>ROUND(Data!$G984,0)</f>
        <v>3</v>
      </c>
      <c r="L984" t="str" cm="1">
        <f t="array" ref="L984">_xlfn.IFS(C984&lt;=15,"Very Short",C984&lt;=30,"Short",C984&lt;=60,"Medium",C984&gt;60,"Long")</f>
        <v>Very Short</v>
      </c>
      <c r="M984" t="str" cm="1">
        <f t="array" ref="M984">_xlfn.IFS(F984&lt;=50,"Low",F984&lt;=100,"Medium",F984&lt;=150,"High",F984&gt;150,"Very High")</f>
        <v>Medium</v>
      </c>
    </row>
    <row r="985" spans="1:13" ht="14.25" customHeight="1" x14ac:dyDescent="0.4">
      <c r="A985" s="6" t="s">
        <v>1019</v>
      </c>
      <c r="B985" s="6" t="s">
        <v>38</v>
      </c>
      <c r="C985" s="6">
        <v>140</v>
      </c>
      <c r="D985" s="7" t="s">
        <v>13</v>
      </c>
      <c r="E985" s="11">
        <v>45285</v>
      </c>
      <c r="F985" s="10">
        <v>105</v>
      </c>
      <c r="G985" s="6">
        <v>1.7</v>
      </c>
      <c r="H985" s="6">
        <f>IF(MONTH(Data!$E985)&lt;=6, YEAR(Data!$E985), YEAR(Data!$E985)+1)</f>
        <v>2024</v>
      </c>
      <c r="I985" s="6" t="str">
        <f>TEXT(Data!$E985,"DDDD")</f>
        <v>Monday</v>
      </c>
      <c r="J985" s="6" t="s">
        <v>25</v>
      </c>
      <c r="K985" s="6">
        <f>ROUND(Data!$G985,0)</f>
        <v>2</v>
      </c>
      <c r="L985" t="str" cm="1">
        <f t="array" ref="L985">_xlfn.IFS(C985&lt;=15,"Very Short",C985&lt;=30,"Short",C985&lt;=60,"Medium",C985&gt;60,"Long")</f>
        <v>Long</v>
      </c>
      <c r="M985" t="str" cm="1">
        <f t="array" ref="M985">_xlfn.IFS(F985&lt;=50,"Low",F985&lt;=100,"Medium",F985&lt;=150,"High",F985&gt;150,"Very High")</f>
        <v>High</v>
      </c>
    </row>
    <row r="986" spans="1:13" ht="14.25" customHeight="1" x14ac:dyDescent="0.4">
      <c r="A986" s="6" t="s">
        <v>1020</v>
      </c>
      <c r="B986" s="6" t="s">
        <v>16</v>
      </c>
      <c r="C986" s="6">
        <v>58</v>
      </c>
      <c r="D986" s="7" t="s">
        <v>24</v>
      </c>
      <c r="E986" s="11">
        <v>45285</v>
      </c>
      <c r="F986" s="10">
        <v>25</v>
      </c>
      <c r="G986" s="6">
        <v>3.6</v>
      </c>
      <c r="H986" s="6">
        <f>IF(MONTH(Data!$E986)&lt;=6, YEAR(Data!$E986), YEAR(Data!$E986)+1)</f>
        <v>2024</v>
      </c>
      <c r="I986" s="6" t="str">
        <f>TEXT(Data!$E986,"DDDD")</f>
        <v>Monday</v>
      </c>
      <c r="J986" s="6" t="s">
        <v>27</v>
      </c>
      <c r="K986" s="6">
        <f>ROUND(Data!$G986,0)</f>
        <v>4</v>
      </c>
      <c r="L986" t="str" cm="1">
        <f t="array" ref="L986">_xlfn.IFS(C986&lt;=15,"Very Short",C986&lt;=30,"Short",C986&lt;=60,"Medium",C986&gt;60,"Long")</f>
        <v>Medium</v>
      </c>
      <c r="M986" t="str" cm="1">
        <f t="array" ref="M986">_xlfn.IFS(F986&lt;=50,"Low",F986&lt;=100,"Medium",F986&lt;=150,"High",F986&gt;150,"Very High")</f>
        <v>Low</v>
      </c>
    </row>
    <row r="987" spans="1:13" ht="14.25" customHeight="1" x14ac:dyDescent="0.4">
      <c r="A987" s="6" t="s">
        <v>1021</v>
      </c>
      <c r="B987" s="6" t="s">
        <v>12</v>
      </c>
      <c r="C987" s="6">
        <v>90</v>
      </c>
      <c r="D987" s="7" t="s">
        <v>19</v>
      </c>
      <c r="E987" s="11">
        <v>45286</v>
      </c>
      <c r="F987" s="10">
        <v>176</v>
      </c>
      <c r="G987" s="6">
        <v>3.6</v>
      </c>
      <c r="H987" s="6">
        <f>IF(MONTH(Data!$E987)&lt;=6, YEAR(Data!$E987), YEAR(Data!$E987)+1)</f>
        <v>2024</v>
      </c>
      <c r="I987" s="6" t="str">
        <f>TEXT(Data!$E987,"DDDD")</f>
        <v>Tuesday</v>
      </c>
      <c r="J987" s="6" t="s">
        <v>14</v>
      </c>
      <c r="K987" s="6">
        <f>ROUND(Data!$G987,0)</f>
        <v>4</v>
      </c>
      <c r="L987" t="str" cm="1">
        <f t="array" ref="L987">_xlfn.IFS(C987&lt;=15,"Very Short",C987&lt;=30,"Short",C987&lt;=60,"Medium",C987&gt;60,"Long")</f>
        <v>Long</v>
      </c>
      <c r="M987" t="str" cm="1">
        <f t="array" ref="M987">_xlfn.IFS(F987&lt;=50,"Low",F987&lt;=100,"Medium",F987&lt;=150,"High",F987&gt;150,"Very High")</f>
        <v>Very High</v>
      </c>
    </row>
    <row r="988" spans="1:13" ht="14.25" customHeight="1" x14ac:dyDescent="0.4">
      <c r="A988" s="6" t="s">
        <v>1022</v>
      </c>
      <c r="B988" s="6" t="s">
        <v>12</v>
      </c>
      <c r="C988" s="6">
        <v>106</v>
      </c>
      <c r="D988" s="7" t="s">
        <v>31</v>
      </c>
      <c r="E988" s="11">
        <v>45287</v>
      </c>
      <c r="F988" s="10">
        <v>46</v>
      </c>
      <c r="G988" s="6">
        <v>4.5999999999999996</v>
      </c>
      <c r="H988" s="6">
        <f>IF(MONTH(Data!$E988)&lt;=6, YEAR(Data!$E988), YEAR(Data!$E988)+1)</f>
        <v>2024</v>
      </c>
      <c r="I988" s="6" t="str">
        <f>TEXT(Data!$E988,"DDDD")</f>
        <v>Wednesday</v>
      </c>
      <c r="J988" s="6" t="s">
        <v>14</v>
      </c>
      <c r="K988" s="6">
        <f>ROUND(Data!$G988,0)</f>
        <v>5</v>
      </c>
      <c r="L988" t="str" cm="1">
        <f t="array" ref="L988">_xlfn.IFS(C988&lt;=15,"Very Short",C988&lt;=30,"Short",C988&lt;=60,"Medium",C988&gt;60,"Long")</f>
        <v>Long</v>
      </c>
      <c r="M988" t="str" cm="1">
        <f t="array" ref="M988">_xlfn.IFS(F988&lt;=50,"Low",F988&lt;=100,"Medium",F988&lt;=150,"High",F988&gt;150,"Very High")</f>
        <v>Low</v>
      </c>
    </row>
    <row r="989" spans="1:13" ht="14.25" customHeight="1" x14ac:dyDescent="0.4">
      <c r="A989" s="6" t="s">
        <v>1023</v>
      </c>
      <c r="B989" s="6" t="s">
        <v>46</v>
      </c>
      <c r="C989" s="6">
        <v>72</v>
      </c>
      <c r="D989" s="7" t="s">
        <v>13</v>
      </c>
      <c r="E989" s="11">
        <v>45287</v>
      </c>
      <c r="F989" s="10">
        <v>164</v>
      </c>
      <c r="G989" s="6">
        <v>4.8</v>
      </c>
      <c r="H989" s="6">
        <f>IF(MONTH(Data!$E989)&lt;=6, YEAR(Data!$E989), YEAR(Data!$E989)+1)</f>
        <v>2024</v>
      </c>
      <c r="I989" s="6" t="str">
        <f>TEXT(Data!$E989,"DDDD")</f>
        <v>Wednesday</v>
      </c>
      <c r="J989" s="6" t="s">
        <v>14</v>
      </c>
      <c r="K989" s="6">
        <f>ROUND(Data!$G989,0)</f>
        <v>5</v>
      </c>
      <c r="L989" t="str" cm="1">
        <f t="array" ref="L989">_xlfn.IFS(C989&lt;=15,"Very Short",C989&lt;=30,"Short",C989&lt;=60,"Medium",C989&gt;60,"Long")</f>
        <v>Long</v>
      </c>
      <c r="M989" t="str" cm="1">
        <f t="array" ref="M989">_xlfn.IFS(F989&lt;=50,"Low",F989&lt;=100,"Medium",F989&lt;=150,"High",F989&gt;150,"Very High")</f>
        <v>Very High</v>
      </c>
    </row>
    <row r="990" spans="1:13" ht="14.25" customHeight="1" x14ac:dyDescent="0.4">
      <c r="A990" s="6" t="s">
        <v>1024</v>
      </c>
      <c r="B990" s="6" t="s">
        <v>50</v>
      </c>
      <c r="C990" s="6">
        <v>124</v>
      </c>
      <c r="D990" s="7" t="s">
        <v>13</v>
      </c>
      <c r="E990" s="11">
        <v>45288</v>
      </c>
      <c r="F990" s="10">
        <v>64</v>
      </c>
      <c r="G990" s="6">
        <v>4.5</v>
      </c>
      <c r="H990" s="6">
        <f>IF(MONTH(Data!$E990)&lt;=6, YEAR(Data!$E990), YEAR(Data!$E990)+1)</f>
        <v>2024</v>
      </c>
      <c r="I990" s="6" t="str">
        <f>TEXT(Data!$E990,"DDDD")</f>
        <v>Thursday</v>
      </c>
      <c r="J990" s="6" t="s">
        <v>25</v>
      </c>
      <c r="K990" s="6">
        <f>ROUND(Data!$G990,0)</f>
        <v>5</v>
      </c>
      <c r="L990" t="str" cm="1">
        <f t="array" ref="L990">_xlfn.IFS(C990&lt;=15,"Very Short",C990&lt;=30,"Short",C990&lt;=60,"Medium",C990&gt;60,"Long")</f>
        <v>Long</v>
      </c>
      <c r="M990" t="str" cm="1">
        <f t="array" ref="M990">_xlfn.IFS(F990&lt;=50,"Low",F990&lt;=100,"Medium",F990&lt;=150,"High",F990&gt;150,"Very High")</f>
        <v>Medium</v>
      </c>
    </row>
    <row r="991" spans="1:13" ht="14.25" customHeight="1" x14ac:dyDescent="0.4">
      <c r="A991" s="6" t="s">
        <v>1025</v>
      </c>
      <c r="B991" s="6" t="s">
        <v>40</v>
      </c>
      <c r="C991" s="6">
        <v>86</v>
      </c>
      <c r="D991" s="7" t="s">
        <v>35</v>
      </c>
      <c r="E991" s="11">
        <v>45288</v>
      </c>
      <c r="F991" s="10">
        <v>205</v>
      </c>
      <c r="G991" s="6">
        <v>4.5</v>
      </c>
      <c r="H991" s="6">
        <f>IF(MONTH(Data!$E991)&lt;=6, YEAR(Data!$E991), YEAR(Data!$E991)+1)</f>
        <v>2024</v>
      </c>
      <c r="I991" s="6" t="str">
        <f>TEXT(Data!$E991,"DDDD")</f>
        <v>Thursday</v>
      </c>
      <c r="J991" s="6" t="s">
        <v>14</v>
      </c>
      <c r="K991" s="6">
        <f>ROUND(Data!$G991,0)</f>
        <v>5</v>
      </c>
      <c r="L991" t="str" cm="1">
        <f t="array" ref="L991">_xlfn.IFS(C991&lt;=15,"Very Short",C991&lt;=30,"Short",C991&lt;=60,"Medium",C991&gt;60,"Long")</f>
        <v>Long</v>
      </c>
      <c r="M991" t="str" cm="1">
        <f t="array" ref="M991">_xlfn.IFS(F991&lt;=50,"Low",F991&lt;=100,"Medium",F991&lt;=150,"High",F991&gt;150,"Very High")</f>
        <v>Very High</v>
      </c>
    </row>
    <row r="992" spans="1:13" ht="14.25" customHeight="1" x14ac:dyDescent="0.4">
      <c r="A992" s="6" t="s">
        <v>1026</v>
      </c>
      <c r="B992" s="6" t="s">
        <v>18</v>
      </c>
      <c r="C992" s="6">
        <v>164</v>
      </c>
      <c r="D992" s="7" t="s">
        <v>35</v>
      </c>
      <c r="E992" s="11">
        <v>45289</v>
      </c>
      <c r="F992" s="10">
        <v>100</v>
      </c>
      <c r="G992" s="6">
        <v>4.5999999999999996</v>
      </c>
      <c r="H992" s="6">
        <f>IF(MONTH(Data!$E992)&lt;=6, YEAR(Data!$E992), YEAR(Data!$E992)+1)</f>
        <v>2024</v>
      </c>
      <c r="I992" s="6" t="str">
        <f>TEXT(Data!$E992,"DDDD")</f>
        <v>Friday</v>
      </c>
      <c r="J992" s="6" t="s">
        <v>25</v>
      </c>
      <c r="K992" s="6">
        <f>ROUND(Data!$G992,0)</f>
        <v>5</v>
      </c>
      <c r="L992" t="str" cm="1">
        <f t="array" ref="L992">_xlfn.IFS(C992&lt;=15,"Very Short",C992&lt;=30,"Short",C992&lt;=60,"Medium",C992&gt;60,"Long")</f>
        <v>Long</v>
      </c>
      <c r="M992" t="str" cm="1">
        <f t="array" ref="M992">_xlfn.IFS(F992&lt;=50,"Low",F992&lt;=100,"Medium",F992&lt;=150,"High",F992&gt;150,"Very High")</f>
        <v>Medium</v>
      </c>
    </row>
    <row r="993" spans="1:13" ht="14.25" customHeight="1" x14ac:dyDescent="0.4">
      <c r="A993" s="6" t="s">
        <v>1027</v>
      </c>
      <c r="B993" s="6" t="s">
        <v>23</v>
      </c>
      <c r="C993" s="6">
        <v>40</v>
      </c>
      <c r="D993" s="7" t="s">
        <v>19</v>
      </c>
      <c r="E993" s="11">
        <v>45289</v>
      </c>
      <c r="F993" s="10">
        <v>111</v>
      </c>
      <c r="G993" s="6">
        <v>4.5999999999999996</v>
      </c>
      <c r="H993" s="6">
        <f>IF(MONTH(Data!$E993)&lt;=6, YEAR(Data!$E993), YEAR(Data!$E993)+1)</f>
        <v>2024</v>
      </c>
      <c r="I993" s="6" t="str">
        <f>TEXT(Data!$E993,"DDDD")</f>
        <v>Friday</v>
      </c>
      <c r="J993" s="6" t="s">
        <v>27</v>
      </c>
      <c r="K993" s="6">
        <f>ROUND(Data!$G993,0)</f>
        <v>5</v>
      </c>
      <c r="L993" t="str" cm="1">
        <f t="array" ref="L993">_xlfn.IFS(C993&lt;=15,"Very Short",C993&lt;=30,"Short",C993&lt;=60,"Medium",C993&gt;60,"Long")</f>
        <v>Medium</v>
      </c>
      <c r="M993" t="str" cm="1">
        <f t="array" ref="M993">_xlfn.IFS(F993&lt;=50,"Low",F993&lt;=100,"Medium",F993&lt;=150,"High",F993&gt;150,"Very High")</f>
        <v>High</v>
      </c>
    </row>
    <row r="994" spans="1:13" ht="14.25" customHeight="1" x14ac:dyDescent="0.4">
      <c r="A994" s="6" t="s">
        <v>1028</v>
      </c>
      <c r="B994" s="6" t="s">
        <v>21</v>
      </c>
      <c r="C994" s="6">
        <v>76</v>
      </c>
      <c r="D994" s="7" t="s">
        <v>24</v>
      </c>
      <c r="E994" s="11">
        <v>45289</v>
      </c>
      <c r="F994" s="10">
        <v>80</v>
      </c>
      <c r="G994" s="6">
        <v>3.5</v>
      </c>
      <c r="H994" s="6">
        <f>IF(MONTH(Data!$E994)&lt;=6, YEAR(Data!$E994), YEAR(Data!$E994)+1)</f>
        <v>2024</v>
      </c>
      <c r="I994" s="6" t="str">
        <f>TEXT(Data!$E994,"DDDD")</f>
        <v>Friday</v>
      </c>
      <c r="J994" s="6" t="s">
        <v>14</v>
      </c>
      <c r="K994" s="6">
        <f>ROUND(Data!$G994,0)</f>
        <v>4</v>
      </c>
      <c r="L994" t="str" cm="1">
        <f t="array" ref="L994">_xlfn.IFS(C994&lt;=15,"Very Short",C994&lt;=30,"Short",C994&lt;=60,"Medium",C994&gt;60,"Long")</f>
        <v>Long</v>
      </c>
      <c r="M994" t="str" cm="1">
        <f t="array" ref="M994">_xlfn.IFS(F994&lt;=50,"Low",F994&lt;=100,"Medium",F994&lt;=150,"High",F994&gt;150,"Very High")</f>
        <v>Medium</v>
      </c>
    </row>
    <row r="995" spans="1:13" ht="14.25" customHeight="1" x14ac:dyDescent="0.4">
      <c r="A995" s="6" t="s">
        <v>1029</v>
      </c>
      <c r="B995" s="6" t="s">
        <v>50</v>
      </c>
      <c r="C995" s="6">
        <v>95</v>
      </c>
      <c r="D995" s="7" t="s">
        <v>31</v>
      </c>
      <c r="E995" s="11">
        <v>45289</v>
      </c>
      <c r="F995" s="10">
        <v>50</v>
      </c>
      <c r="G995" s="6">
        <v>2.9</v>
      </c>
      <c r="H995" s="6">
        <f>IF(MONTH(Data!$E995)&lt;=6, YEAR(Data!$E995), YEAR(Data!$E995)+1)</f>
        <v>2024</v>
      </c>
      <c r="I995" s="6" t="str">
        <f>TEXT(Data!$E995,"DDDD")</f>
        <v>Friday</v>
      </c>
      <c r="J995" s="6" t="s">
        <v>14</v>
      </c>
      <c r="K995" s="6">
        <f>ROUND(Data!$G995,0)</f>
        <v>3</v>
      </c>
      <c r="L995" t="str" cm="1">
        <f t="array" ref="L995">_xlfn.IFS(C995&lt;=15,"Very Short",C995&lt;=30,"Short",C995&lt;=60,"Medium",C995&gt;60,"Long")</f>
        <v>Long</v>
      </c>
      <c r="M995" t="str" cm="1">
        <f t="array" ref="M995">_xlfn.IFS(F995&lt;=50,"Low",F995&lt;=100,"Medium",F995&lt;=150,"High",F995&gt;150,"Very High")</f>
        <v>Low</v>
      </c>
    </row>
    <row r="996" spans="1:13" ht="14.25" customHeight="1" x14ac:dyDescent="0.4">
      <c r="A996" s="6" t="s">
        <v>1030</v>
      </c>
      <c r="B996" s="6" t="s">
        <v>21</v>
      </c>
      <c r="C996" s="6">
        <v>113</v>
      </c>
      <c r="D996" s="7" t="s">
        <v>13</v>
      </c>
      <c r="E996" s="11">
        <v>45290</v>
      </c>
      <c r="F996" s="10">
        <v>165</v>
      </c>
      <c r="G996" s="6">
        <v>4.7</v>
      </c>
      <c r="H996" s="6">
        <f>IF(MONTH(Data!$E996)&lt;=6, YEAR(Data!$E996), YEAR(Data!$E996)+1)</f>
        <v>2024</v>
      </c>
      <c r="I996" s="6" t="str">
        <f>TEXT(Data!$E996,"DDDD")</f>
        <v>Saturday</v>
      </c>
      <c r="J996" s="6" t="s">
        <v>14</v>
      </c>
      <c r="K996" s="6">
        <f>ROUND(Data!$G996,0)</f>
        <v>5</v>
      </c>
      <c r="L996" t="str" cm="1">
        <f t="array" ref="L996">_xlfn.IFS(C996&lt;=15,"Very Short",C996&lt;=30,"Short",C996&lt;=60,"Medium",C996&gt;60,"Long")</f>
        <v>Long</v>
      </c>
      <c r="M996" t="str" cm="1">
        <f t="array" ref="M996">_xlfn.IFS(F996&lt;=50,"Low",F996&lt;=100,"Medium",F996&lt;=150,"High",F996&gt;150,"Very High")</f>
        <v>Very High</v>
      </c>
    </row>
    <row r="997" spans="1:13" ht="14.25" customHeight="1" x14ac:dyDescent="0.4">
      <c r="A997" s="6" t="s">
        <v>1031</v>
      </c>
      <c r="B997" s="6" t="s">
        <v>40</v>
      </c>
      <c r="C997" s="6">
        <v>81</v>
      </c>
      <c r="D997" s="7" t="s">
        <v>13</v>
      </c>
      <c r="E997" s="11">
        <v>45290</v>
      </c>
      <c r="F997" s="10">
        <v>28</v>
      </c>
      <c r="G997" s="6">
        <v>3.9</v>
      </c>
      <c r="H997" s="6">
        <f>IF(MONTH(Data!$E997)&lt;=6, YEAR(Data!$E997), YEAR(Data!$E997)+1)</f>
        <v>2024</v>
      </c>
      <c r="I997" s="6" t="str">
        <f>TEXT(Data!$E997,"DDDD")</f>
        <v>Saturday</v>
      </c>
      <c r="J997" s="6" t="s">
        <v>14</v>
      </c>
      <c r="K997" s="6">
        <f>ROUND(Data!$G997,0)</f>
        <v>4</v>
      </c>
      <c r="L997" t="str" cm="1">
        <f t="array" ref="L997">_xlfn.IFS(C997&lt;=15,"Very Short",C997&lt;=30,"Short",C997&lt;=60,"Medium",C997&gt;60,"Long")</f>
        <v>Long</v>
      </c>
      <c r="M997" t="str" cm="1">
        <f t="array" ref="M997">_xlfn.IFS(F997&lt;=50,"Low",F997&lt;=100,"Medium",F997&lt;=150,"High",F997&gt;150,"Very High")</f>
        <v>Low</v>
      </c>
    </row>
    <row r="998" spans="1:13" ht="14.25" customHeight="1" x14ac:dyDescent="0.4">
      <c r="A998" s="6" t="s">
        <v>1032</v>
      </c>
      <c r="B998" s="6" t="s">
        <v>29</v>
      </c>
      <c r="C998" s="6">
        <v>127</v>
      </c>
      <c r="D998" s="7" t="s">
        <v>31</v>
      </c>
      <c r="E998" s="11">
        <v>45290</v>
      </c>
      <c r="F998" s="10">
        <v>215</v>
      </c>
      <c r="G998" s="6">
        <v>3.8</v>
      </c>
      <c r="H998" s="6">
        <f>IF(MONTH(Data!$E998)&lt;=6, YEAR(Data!$E998), YEAR(Data!$E998)+1)</f>
        <v>2024</v>
      </c>
      <c r="I998" s="6" t="str">
        <f>TEXT(Data!$E998,"DDDD")</f>
        <v>Saturday</v>
      </c>
      <c r="J998" s="6" t="s">
        <v>25</v>
      </c>
      <c r="K998" s="6">
        <f>ROUND(Data!$G998,0)</f>
        <v>4</v>
      </c>
      <c r="L998" t="str" cm="1">
        <f t="array" ref="L998">_xlfn.IFS(C998&lt;=15,"Very Short",C998&lt;=30,"Short",C998&lt;=60,"Medium",C998&gt;60,"Long")</f>
        <v>Long</v>
      </c>
      <c r="M998" t="str" cm="1">
        <f t="array" ref="M998">_xlfn.IFS(F998&lt;=50,"Low",F998&lt;=100,"Medium",F998&lt;=150,"High",F998&gt;150,"Very High")</f>
        <v>Very High</v>
      </c>
    </row>
    <row r="999" spans="1:13" ht="14.25" customHeight="1" x14ac:dyDescent="0.4">
      <c r="A999" s="6" t="s">
        <v>1033</v>
      </c>
      <c r="B999" s="6" t="s">
        <v>38</v>
      </c>
      <c r="C999" s="6">
        <v>146</v>
      </c>
      <c r="D999" s="7" t="s">
        <v>13</v>
      </c>
      <c r="E999" s="11">
        <v>45291</v>
      </c>
      <c r="F999" s="10">
        <v>115</v>
      </c>
      <c r="G999" s="6">
        <v>2.2999999999999998</v>
      </c>
      <c r="H999" s="6">
        <f>IF(MONTH(Data!$E999)&lt;=6, YEAR(Data!$E999), YEAR(Data!$E999)+1)</f>
        <v>2024</v>
      </c>
      <c r="I999" s="6" t="str">
        <f>TEXT(Data!$E999,"DDDD")</f>
        <v>Sunday</v>
      </c>
      <c r="J999" s="6" t="s">
        <v>25</v>
      </c>
      <c r="K999" s="6">
        <f>ROUND(Data!$G999,0)</f>
        <v>2</v>
      </c>
      <c r="L999" t="str" cm="1">
        <f t="array" ref="L999">_xlfn.IFS(C999&lt;=15,"Very Short",C999&lt;=30,"Short",C999&lt;=60,"Medium",C999&gt;60,"Long")</f>
        <v>Long</v>
      </c>
      <c r="M999" t="str" cm="1">
        <f t="array" ref="M999">_xlfn.IFS(F999&lt;=50,"Low",F999&lt;=100,"Medium",F999&lt;=150,"High",F999&gt;150,"Very High")</f>
        <v>High</v>
      </c>
    </row>
    <row r="1000" spans="1:13" ht="14.25" customHeight="1" x14ac:dyDescent="0.4">
      <c r="A1000" s="6" t="s">
        <v>1034</v>
      </c>
      <c r="B1000" s="6" t="s">
        <v>34</v>
      </c>
      <c r="C1000" s="6">
        <v>123</v>
      </c>
      <c r="D1000" s="7" t="s">
        <v>13</v>
      </c>
      <c r="E1000" s="11">
        <v>45291</v>
      </c>
      <c r="F1000" s="10">
        <v>64</v>
      </c>
      <c r="G1000" s="6">
        <v>3.7</v>
      </c>
      <c r="H1000" s="6">
        <f>IF(MONTH(Data!$E1000)&lt;=6, YEAR(Data!$E1000), YEAR(Data!$E1000)+1)</f>
        <v>2024</v>
      </c>
      <c r="I1000" s="6" t="str">
        <f>TEXT(Data!$E1000,"DDDD")</f>
        <v>Sunday</v>
      </c>
      <c r="J1000" s="6" t="s">
        <v>25</v>
      </c>
      <c r="K1000" s="6">
        <f>ROUND(Data!$G1000,0)</f>
        <v>4</v>
      </c>
      <c r="L1000" t="str" cm="1">
        <f t="array" ref="L1000">_xlfn.IFS(C1000&lt;=15,"Very Short",C1000&lt;=30,"Short",C1000&lt;=60,"Medium",C1000&gt;60,"Long")</f>
        <v>Long</v>
      </c>
      <c r="M1000" t="str" cm="1">
        <f t="array" ref="M1000">_xlfn.IFS(F1000&lt;=50,"Low",F1000&lt;=100,"Medium",F1000&lt;=150,"High",F1000&gt;150,"Very High")</f>
        <v>Medium</v>
      </c>
    </row>
    <row r="1001" spans="1:13" ht="14.25" customHeight="1" x14ac:dyDescent="0.4">
      <c r="A1001" s="6" t="s">
        <v>1035</v>
      </c>
      <c r="B1001" s="6" t="s">
        <v>46</v>
      </c>
      <c r="C1001" s="6">
        <v>114</v>
      </c>
      <c r="D1001" s="7" t="s">
        <v>24</v>
      </c>
      <c r="E1001" s="11">
        <v>45291</v>
      </c>
      <c r="F1001" s="10">
        <v>40</v>
      </c>
      <c r="G1001" s="6">
        <v>3.9</v>
      </c>
      <c r="H1001" s="6">
        <f>IF(MONTH(Data!$E1001)&lt;=6, YEAR(Data!$E1001), YEAR(Data!$E1001)+1)</f>
        <v>2024</v>
      </c>
      <c r="I1001" s="6" t="str">
        <f>TEXT(Data!$E1001,"DDDD")</f>
        <v>Sunday</v>
      </c>
      <c r="J1001" s="6" t="s">
        <v>14</v>
      </c>
      <c r="K1001" s="6">
        <f>ROUND(Data!$G1001,0)</f>
        <v>4</v>
      </c>
      <c r="L1001" t="str" cm="1">
        <f t="array" ref="L1001">_xlfn.IFS(C1001&lt;=15,"Very Short",C1001&lt;=30,"Short",C1001&lt;=60,"Medium",C1001&gt;60,"Long")</f>
        <v>Long</v>
      </c>
      <c r="M1001" t="str" cm="1">
        <f t="array" ref="M1001">_xlfn.IFS(F1001&lt;=50,"Low",F1001&lt;=100,"Medium",F1001&lt;=150,"High",F1001&gt;150,"Very High")</f>
        <v>Low</v>
      </c>
    </row>
  </sheetData>
  <pageMargins left="0.7" right="0.7" top="0.75" bottom="0.75" header="0" footer="0"/>
  <pageSetup orientation="landscape"/>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
  <sheetViews>
    <sheetView tabSelected="1" zoomScale="66" zoomScaleNormal="65" workbookViewId="0">
      <selection activeCell="S15" sqref="S15"/>
    </sheetView>
  </sheetViews>
  <sheetFormatPr defaultColWidth="12.640625" defaultRowHeight="15" customHeight="1" x14ac:dyDescent="0.4"/>
  <sheetData>
    <row r="1" spans="1:1" x14ac:dyDescent="0.4">
      <c r="A1" s="9"/>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684518-FA80-4341-BBA8-4BE505EC9DB0}">
  <dimension ref="A1:I41"/>
  <sheetViews>
    <sheetView zoomScale="93" workbookViewId="0">
      <selection activeCell="D10" sqref="D10:E16"/>
    </sheetView>
  </sheetViews>
  <sheetFormatPr defaultRowHeight="14.6" x14ac:dyDescent="0.4"/>
  <cols>
    <col min="1" max="1" width="10.35546875" bestFit="1" customWidth="1"/>
    <col min="2" max="3" width="9.5703125" bestFit="1" customWidth="1"/>
    <col min="4" max="4" width="15.35546875" bestFit="1" customWidth="1"/>
    <col min="5" max="5" width="18.140625" bestFit="1" customWidth="1"/>
    <col min="6" max="6" width="16" bestFit="1" customWidth="1"/>
    <col min="7" max="7" width="17.7109375" bestFit="1" customWidth="1"/>
    <col min="8" max="8" width="15.42578125" bestFit="1" customWidth="1"/>
    <col min="9" max="9" width="4.85546875" customWidth="1"/>
  </cols>
  <sheetData>
    <row r="1" spans="1:9" x14ac:dyDescent="0.4">
      <c r="A1" s="21" t="s">
        <v>3</v>
      </c>
      <c r="B1" s="22" t="s">
        <v>1039</v>
      </c>
      <c r="C1" s="15" t="s">
        <v>1072</v>
      </c>
      <c r="D1" s="21" t="s">
        <v>3</v>
      </c>
      <c r="E1" s="22" t="s">
        <v>1052</v>
      </c>
      <c r="F1" t="s">
        <v>1072</v>
      </c>
      <c r="G1" s="21" t="s">
        <v>1036</v>
      </c>
      <c r="H1" s="22" t="s">
        <v>1053</v>
      </c>
      <c r="I1" t="s">
        <v>1072</v>
      </c>
    </row>
    <row r="2" spans="1:9" x14ac:dyDescent="0.4">
      <c r="A2" s="31" t="s">
        <v>35</v>
      </c>
      <c r="B2" s="32">
        <v>20872</v>
      </c>
      <c r="D2" s="31" t="s">
        <v>24</v>
      </c>
      <c r="E2" s="33">
        <v>3.9227513227513247</v>
      </c>
      <c r="G2" s="31" t="s">
        <v>1042</v>
      </c>
      <c r="H2" s="43">
        <v>761</v>
      </c>
    </row>
    <row r="3" spans="1:9" x14ac:dyDescent="0.4">
      <c r="A3" s="20" t="s">
        <v>19</v>
      </c>
      <c r="B3" s="25">
        <v>20581</v>
      </c>
      <c r="D3" s="20" t="s">
        <v>31</v>
      </c>
      <c r="E3" s="29">
        <v>3.8973118279569863</v>
      </c>
      <c r="G3" s="20" t="s">
        <v>1043</v>
      </c>
      <c r="H3" s="41">
        <v>179</v>
      </c>
    </row>
    <row r="4" spans="1:9" x14ac:dyDescent="0.4">
      <c r="A4" s="20" t="s">
        <v>13</v>
      </c>
      <c r="B4" s="25">
        <v>20104</v>
      </c>
      <c r="D4" s="20" t="s">
        <v>13</v>
      </c>
      <c r="E4" s="29">
        <v>3.8824999999999998</v>
      </c>
      <c r="G4" s="20" t="s">
        <v>1050</v>
      </c>
      <c r="H4" s="41">
        <v>44</v>
      </c>
    </row>
    <row r="5" spans="1:9" x14ac:dyDescent="0.4">
      <c r="A5" s="20" t="s">
        <v>24</v>
      </c>
      <c r="B5" s="25">
        <v>18415</v>
      </c>
      <c r="D5" s="20" t="s">
        <v>19</v>
      </c>
      <c r="E5" s="29">
        <v>3.8706422018348627</v>
      </c>
      <c r="G5" s="20" t="s">
        <v>1051</v>
      </c>
      <c r="H5" s="41">
        <v>16</v>
      </c>
    </row>
    <row r="6" spans="1:9" x14ac:dyDescent="0.4">
      <c r="A6" s="20" t="s">
        <v>31</v>
      </c>
      <c r="B6" s="25">
        <v>16651</v>
      </c>
      <c r="D6" s="20" t="s">
        <v>35</v>
      </c>
      <c r="E6" s="29">
        <v>3.8589371980676304</v>
      </c>
      <c r="G6" s="23" t="s">
        <v>1038</v>
      </c>
      <c r="H6" s="42">
        <v>1000</v>
      </c>
    </row>
    <row r="7" spans="1:9" x14ac:dyDescent="0.4">
      <c r="A7" s="23" t="s">
        <v>1038</v>
      </c>
      <c r="B7" s="26">
        <v>96623</v>
      </c>
      <c r="D7" s="23" t="s">
        <v>1038</v>
      </c>
      <c r="E7" s="30">
        <v>3.8854000000000033</v>
      </c>
    </row>
    <row r="10" spans="1:9" x14ac:dyDescent="0.4">
      <c r="A10" s="21" t="s">
        <v>1055</v>
      </c>
      <c r="B10" s="22" t="s">
        <v>1039</v>
      </c>
      <c r="C10" s="15" t="s">
        <v>1072</v>
      </c>
      <c r="D10" s="21" t="s">
        <v>3</v>
      </c>
      <c r="E10" s="22" t="s">
        <v>1056</v>
      </c>
      <c r="G10" s="21" t="s">
        <v>1055</v>
      </c>
      <c r="H10" s="22" t="s">
        <v>1057</v>
      </c>
      <c r="I10" s="15" t="s">
        <v>1072</v>
      </c>
    </row>
    <row r="11" spans="1:9" x14ac:dyDescent="0.4">
      <c r="A11" s="31" t="s">
        <v>1047</v>
      </c>
      <c r="B11" s="32">
        <v>16007</v>
      </c>
      <c r="D11" s="31" t="s">
        <v>19</v>
      </c>
      <c r="E11" s="43">
        <v>218</v>
      </c>
      <c r="G11" s="31" t="s">
        <v>1047</v>
      </c>
      <c r="H11" s="43">
        <v>161</v>
      </c>
    </row>
    <row r="12" spans="1:9" x14ac:dyDescent="0.4">
      <c r="A12" s="20" t="s">
        <v>1045</v>
      </c>
      <c r="B12" s="25">
        <v>15702</v>
      </c>
      <c r="D12" s="20" t="s">
        <v>35</v>
      </c>
      <c r="E12" s="41">
        <v>207</v>
      </c>
      <c r="G12" s="20" t="s">
        <v>1045</v>
      </c>
      <c r="H12" s="41">
        <v>153</v>
      </c>
    </row>
    <row r="13" spans="1:9" x14ac:dyDescent="0.4">
      <c r="A13" s="20" t="s">
        <v>1041</v>
      </c>
      <c r="B13" s="25">
        <v>13476</v>
      </c>
      <c r="D13" s="20" t="s">
        <v>13</v>
      </c>
      <c r="E13" s="41">
        <v>200</v>
      </c>
      <c r="G13" s="20" t="s">
        <v>1041</v>
      </c>
      <c r="H13" s="41">
        <v>146</v>
      </c>
    </row>
    <row r="14" spans="1:9" x14ac:dyDescent="0.4">
      <c r="A14" s="20" t="s">
        <v>1044</v>
      </c>
      <c r="B14" s="25">
        <v>13143</v>
      </c>
      <c r="D14" s="20" t="s">
        <v>24</v>
      </c>
      <c r="E14" s="41">
        <v>189</v>
      </c>
      <c r="G14" s="20" t="s">
        <v>1049</v>
      </c>
      <c r="H14" s="41">
        <v>141</v>
      </c>
    </row>
    <row r="15" spans="1:9" x14ac:dyDescent="0.4">
      <c r="A15" s="20" t="s">
        <v>1049</v>
      </c>
      <c r="B15" s="25">
        <v>13120</v>
      </c>
      <c r="D15" s="20" t="s">
        <v>31</v>
      </c>
      <c r="E15" s="41">
        <v>186</v>
      </c>
      <c r="G15" s="20" t="s">
        <v>1044</v>
      </c>
      <c r="H15" s="41">
        <v>138</v>
      </c>
    </row>
    <row r="16" spans="1:9" x14ac:dyDescent="0.4">
      <c r="A16" s="20" t="s">
        <v>1048</v>
      </c>
      <c r="B16" s="25">
        <v>13054</v>
      </c>
      <c r="D16" s="23" t="s">
        <v>1038</v>
      </c>
      <c r="E16" s="42">
        <v>1000</v>
      </c>
      <c r="G16" s="20" t="s">
        <v>1048</v>
      </c>
      <c r="H16" s="41">
        <v>133</v>
      </c>
    </row>
    <row r="17" spans="1:8" x14ac:dyDescent="0.4">
      <c r="A17" s="20" t="s">
        <v>1046</v>
      </c>
      <c r="B17" s="25">
        <v>12121</v>
      </c>
      <c r="G17" s="20" t="s">
        <v>1046</v>
      </c>
      <c r="H17" s="41">
        <v>128</v>
      </c>
    </row>
    <row r="18" spans="1:8" x14ac:dyDescent="0.4">
      <c r="A18" s="23" t="s">
        <v>1038</v>
      </c>
      <c r="B18" s="26">
        <v>96623</v>
      </c>
      <c r="G18" s="23" t="s">
        <v>1038</v>
      </c>
      <c r="H18" s="42">
        <v>1000</v>
      </c>
    </row>
    <row r="21" spans="1:8" x14ac:dyDescent="0.4">
      <c r="A21" s="21" t="s">
        <v>1058</v>
      </c>
      <c r="B21" s="34" t="s">
        <v>3</v>
      </c>
      <c r="C21" s="34" t="s">
        <v>1039</v>
      </c>
      <c r="D21" s="35" t="s">
        <v>1059</v>
      </c>
      <c r="E21" s="39" t="s">
        <v>1072</v>
      </c>
      <c r="G21" s="22" t="s">
        <v>9</v>
      </c>
    </row>
    <row r="22" spans="1:8" x14ac:dyDescent="0.4">
      <c r="A22" s="44">
        <v>1000</v>
      </c>
      <c r="B22" s="45">
        <v>5</v>
      </c>
      <c r="C22" s="36">
        <v>96623</v>
      </c>
      <c r="D22" s="46">
        <v>15</v>
      </c>
      <c r="G22" s="17" t="s">
        <v>1042</v>
      </c>
    </row>
    <row r="23" spans="1:8" x14ac:dyDescent="0.4">
      <c r="G23" s="37" t="s">
        <v>14</v>
      </c>
    </row>
    <row r="24" spans="1:8" x14ac:dyDescent="0.4">
      <c r="A24" t="str">
        <f t="shared" ref="A24:D25" si="0">A21</f>
        <v>Total Calls</v>
      </c>
      <c r="B24" t="str">
        <f t="shared" si="0"/>
        <v>Representative</v>
      </c>
      <c r="C24" t="str">
        <f t="shared" si="0"/>
        <v>Total Sales</v>
      </c>
      <c r="D24" t="str">
        <f t="shared" si="0"/>
        <v>Total Customers</v>
      </c>
      <c r="G24" s="37" t="s">
        <v>25</v>
      </c>
    </row>
    <row r="25" spans="1:8" x14ac:dyDescent="0.4">
      <c r="A25">
        <f t="shared" si="0"/>
        <v>1000</v>
      </c>
      <c r="B25">
        <f t="shared" si="0"/>
        <v>5</v>
      </c>
      <c r="C25" s="38">
        <f t="shared" si="0"/>
        <v>96623</v>
      </c>
      <c r="D25">
        <f t="shared" si="0"/>
        <v>15</v>
      </c>
      <c r="G25" s="18" t="s">
        <v>1050</v>
      </c>
    </row>
    <row r="26" spans="1:8" x14ac:dyDescent="0.4">
      <c r="G26" s="37" t="s">
        <v>47</v>
      </c>
    </row>
    <row r="27" spans="1:8" x14ac:dyDescent="0.4">
      <c r="G27" s="37" t="s">
        <v>176</v>
      </c>
    </row>
    <row r="28" spans="1:8" x14ac:dyDescent="0.4">
      <c r="A28" s="21" t="s">
        <v>1073</v>
      </c>
      <c r="B28" s="22" t="s">
        <v>1039</v>
      </c>
      <c r="C28" s="15" t="s">
        <v>1072</v>
      </c>
      <c r="G28" s="18" t="s">
        <v>1043</v>
      </c>
    </row>
    <row r="29" spans="1:8" x14ac:dyDescent="0.4">
      <c r="A29" s="19" t="s">
        <v>1060</v>
      </c>
      <c r="B29" s="24">
        <v>7790</v>
      </c>
      <c r="C29" s="15" t="s">
        <v>1054</v>
      </c>
      <c r="G29" s="37" t="s">
        <v>27</v>
      </c>
    </row>
    <row r="30" spans="1:8" x14ac:dyDescent="0.4">
      <c r="A30" s="20" t="s">
        <v>1061</v>
      </c>
      <c r="B30" s="25">
        <v>6122</v>
      </c>
      <c r="G30" s="27" t="s">
        <v>1038</v>
      </c>
    </row>
    <row r="31" spans="1:8" x14ac:dyDescent="0.4">
      <c r="A31" s="20" t="s">
        <v>1062</v>
      </c>
      <c r="B31" s="25">
        <v>14563</v>
      </c>
    </row>
    <row r="32" spans="1:8" x14ac:dyDescent="0.4">
      <c r="A32" s="20" t="s">
        <v>1063</v>
      </c>
      <c r="B32" s="25">
        <v>13536</v>
      </c>
    </row>
    <row r="33" spans="1:2" x14ac:dyDescent="0.4">
      <c r="A33" s="20" t="s">
        <v>1064</v>
      </c>
      <c r="B33" s="25">
        <v>8171</v>
      </c>
    </row>
    <row r="34" spans="1:2" x14ac:dyDescent="0.4">
      <c r="A34" s="20" t="s">
        <v>1065</v>
      </c>
      <c r="B34" s="25">
        <v>5893</v>
      </c>
    </row>
    <row r="35" spans="1:2" x14ac:dyDescent="0.4">
      <c r="A35" s="20" t="s">
        <v>1066</v>
      </c>
      <c r="B35" s="25">
        <v>6007</v>
      </c>
    </row>
    <row r="36" spans="1:2" x14ac:dyDescent="0.4">
      <c r="A36" s="20" t="s">
        <v>1067</v>
      </c>
      <c r="B36" s="25">
        <v>4950</v>
      </c>
    </row>
    <row r="37" spans="1:2" x14ac:dyDescent="0.4">
      <c r="A37" s="20" t="s">
        <v>1068</v>
      </c>
      <c r="B37" s="25">
        <v>6689</v>
      </c>
    </row>
    <row r="38" spans="1:2" x14ac:dyDescent="0.4">
      <c r="A38" s="20" t="s">
        <v>1069</v>
      </c>
      <c r="B38" s="25">
        <v>10875</v>
      </c>
    </row>
    <row r="39" spans="1:2" x14ac:dyDescent="0.4">
      <c r="A39" s="20" t="s">
        <v>1070</v>
      </c>
      <c r="B39" s="25">
        <v>6775</v>
      </c>
    </row>
    <row r="40" spans="1:2" x14ac:dyDescent="0.4">
      <c r="A40" s="20" t="s">
        <v>1071</v>
      </c>
      <c r="B40" s="25">
        <v>5252</v>
      </c>
    </row>
    <row r="41" spans="1:2" x14ac:dyDescent="0.4">
      <c r="A41" s="23" t="s">
        <v>1038</v>
      </c>
      <c r="B41" s="26">
        <v>96623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B7"/>
  <sheetViews>
    <sheetView workbookViewId="0">
      <selection sqref="A1:B7"/>
    </sheetView>
  </sheetViews>
  <sheetFormatPr defaultColWidth="12.640625" defaultRowHeight="15" customHeight="1" x14ac:dyDescent="0.4"/>
  <cols>
    <col min="1" max="1" width="15.140625" bestFit="1" customWidth="1"/>
    <col min="2" max="2" width="9.5703125" bestFit="1" customWidth="1"/>
  </cols>
  <sheetData>
    <row r="1" spans="1:2" ht="14.6" x14ac:dyDescent="0.4">
      <c r="A1" s="21" t="s">
        <v>3</v>
      </c>
      <c r="B1" s="22" t="s">
        <v>1039</v>
      </c>
    </row>
    <row r="2" spans="1:2" ht="15" customHeight="1" x14ac:dyDescent="0.4">
      <c r="A2" s="19" t="s">
        <v>24</v>
      </c>
      <c r="B2" s="24">
        <v>18415</v>
      </c>
    </row>
    <row r="3" spans="1:2" ht="15" customHeight="1" x14ac:dyDescent="0.4">
      <c r="A3" s="20" t="s">
        <v>19</v>
      </c>
      <c r="B3" s="25">
        <v>20581</v>
      </c>
    </row>
    <row r="4" spans="1:2" ht="15" customHeight="1" x14ac:dyDescent="0.4">
      <c r="A4" s="20" t="s">
        <v>35</v>
      </c>
      <c r="B4" s="25">
        <v>20872</v>
      </c>
    </row>
    <row r="5" spans="1:2" ht="15" customHeight="1" x14ac:dyDescent="0.4">
      <c r="A5" s="20" t="s">
        <v>31</v>
      </c>
      <c r="B5" s="25">
        <v>16651</v>
      </c>
    </row>
    <row r="6" spans="1:2" ht="15" customHeight="1" x14ac:dyDescent="0.4">
      <c r="A6" s="20" t="s">
        <v>13</v>
      </c>
      <c r="B6" s="25">
        <v>20104</v>
      </c>
    </row>
    <row r="7" spans="1:2" ht="15" customHeight="1" x14ac:dyDescent="0.4">
      <c r="A7" s="23" t="s">
        <v>1038</v>
      </c>
      <c r="B7" s="26">
        <v>96623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B7"/>
  <sheetViews>
    <sheetView workbookViewId="0">
      <selection activeCell="D9" sqref="D9"/>
    </sheetView>
  </sheetViews>
  <sheetFormatPr defaultColWidth="12.640625" defaultRowHeight="15" customHeight="1" x14ac:dyDescent="0.4"/>
  <cols>
    <col min="1" max="1" width="15.140625" bestFit="1" customWidth="1"/>
    <col min="2" max="2" width="21.140625" bestFit="1" customWidth="1"/>
  </cols>
  <sheetData>
    <row r="1" spans="1:2" ht="14.6" x14ac:dyDescent="0.4">
      <c r="A1" s="21" t="s">
        <v>3</v>
      </c>
      <c r="B1" s="22" t="s">
        <v>1040</v>
      </c>
    </row>
    <row r="2" spans="1:2" ht="15" customHeight="1" x14ac:dyDescent="0.4">
      <c r="A2" s="19" t="s">
        <v>24</v>
      </c>
      <c r="B2" s="28">
        <v>3.9227513227513247</v>
      </c>
    </row>
    <row r="3" spans="1:2" ht="15" customHeight="1" x14ac:dyDescent="0.4">
      <c r="A3" s="20" t="s">
        <v>31</v>
      </c>
      <c r="B3" s="29">
        <v>3.8973118279569863</v>
      </c>
    </row>
    <row r="4" spans="1:2" ht="15" customHeight="1" x14ac:dyDescent="0.4">
      <c r="A4" s="20" t="s">
        <v>13</v>
      </c>
      <c r="B4" s="29">
        <v>3.8824999999999998</v>
      </c>
    </row>
    <row r="5" spans="1:2" ht="15" customHeight="1" x14ac:dyDescent="0.4">
      <c r="A5" s="20" t="s">
        <v>19</v>
      </c>
      <c r="B5" s="29">
        <v>3.8706422018348627</v>
      </c>
    </row>
    <row r="6" spans="1:2" ht="15" customHeight="1" x14ac:dyDescent="0.4">
      <c r="A6" s="20" t="s">
        <v>35</v>
      </c>
      <c r="B6" s="29">
        <v>3.8589371980676304</v>
      </c>
    </row>
    <row r="7" spans="1:2" ht="15" customHeight="1" x14ac:dyDescent="0.4">
      <c r="A7" s="23" t="s">
        <v>1038</v>
      </c>
      <c r="B7" s="30">
        <v>3.8854000000000033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B6"/>
  <sheetViews>
    <sheetView workbookViewId="0">
      <selection sqref="A1:XFD1048576"/>
    </sheetView>
  </sheetViews>
  <sheetFormatPr defaultColWidth="12.640625" defaultRowHeight="15" customHeight="1" x14ac:dyDescent="0.4"/>
  <cols>
    <col min="1" max="1" width="15.140625" bestFit="1" customWidth="1"/>
    <col min="2" max="2" width="15.42578125" bestFit="1" customWidth="1"/>
  </cols>
  <sheetData>
    <row r="1" spans="1:2" ht="14.6" x14ac:dyDescent="0.4">
      <c r="A1" s="21" t="s">
        <v>3</v>
      </c>
      <c r="B1" s="22" t="s">
        <v>1053</v>
      </c>
    </row>
    <row r="2" spans="1:2" ht="15" customHeight="1" x14ac:dyDescent="0.4">
      <c r="A2" s="19" t="s">
        <v>1042</v>
      </c>
      <c r="B2" s="40">
        <v>761</v>
      </c>
    </row>
    <row r="3" spans="1:2" ht="15" customHeight="1" x14ac:dyDescent="0.4">
      <c r="A3" s="20" t="s">
        <v>1043</v>
      </c>
      <c r="B3" s="41">
        <v>179</v>
      </c>
    </row>
    <row r="4" spans="1:2" ht="15" customHeight="1" x14ac:dyDescent="0.4">
      <c r="A4" s="20" t="s">
        <v>1050</v>
      </c>
      <c r="B4" s="41">
        <v>44</v>
      </c>
    </row>
    <row r="5" spans="1:2" ht="15" customHeight="1" x14ac:dyDescent="0.4">
      <c r="A5" s="20" t="s">
        <v>1051</v>
      </c>
      <c r="B5" s="41">
        <v>16</v>
      </c>
    </row>
    <row r="6" spans="1:2" ht="15" customHeight="1" x14ac:dyDescent="0.4">
      <c r="A6" s="23" t="s">
        <v>1038</v>
      </c>
      <c r="B6" s="42">
        <v>1000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B9"/>
  <sheetViews>
    <sheetView workbookViewId="0">
      <selection activeCell="B5" sqref="B5"/>
    </sheetView>
  </sheetViews>
  <sheetFormatPr defaultColWidth="14.78515625" defaultRowHeight="15" customHeight="1" x14ac:dyDescent="0.4"/>
  <cols>
    <col min="1" max="1" width="10.35546875" bestFit="1" customWidth="1"/>
    <col min="2" max="2" width="9.5703125" bestFit="1" customWidth="1"/>
  </cols>
  <sheetData>
    <row r="1" spans="1:2" ht="14.6" x14ac:dyDescent="0.4">
      <c r="A1" s="21" t="s">
        <v>1055</v>
      </c>
      <c r="B1" s="22" t="s">
        <v>1039</v>
      </c>
    </row>
    <row r="2" spans="1:2" ht="15" customHeight="1" x14ac:dyDescent="0.4">
      <c r="A2" s="19" t="s">
        <v>1047</v>
      </c>
      <c r="B2" s="24">
        <v>16007</v>
      </c>
    </row>
    <row r="3" spans="1:2" ht="15" customHeight="1" x14ac:dyDescent="0.4">
      <c r="A3" s="20" t="s">
        <v>1045</v>
      </c>
      <c r="B3" s="25">
        <v>15702</v>
      </c>
    </row>
    <row r="4" spans="1:2" ht="15" customHeight="1" x14ac:dyDescent="0.4">
      <c r="A4" s="20" t="s">
        <v>1041</v>
      </c>
      <c r="B4" s="25">
        <v>13476</v>
      </c>
    </row>
    <row r="5" spans="1:2" ht="15" customHeight="1" x14ac:dyDescent="0.4">
      <c r="A5" s="20" t="s">
        <v>1044</v>
      </c>
      <c r="B5" s="25">
        <v>13143</v>
      </c>
    </row>
    <row r="6" spans="1:2" ht="15" customHeight="1" x14ac:dyDescent="0.4">
      <c r="A6" s="20" t="s">
        <v>1049</v>
      </c>
      <c r="B6" s="25">
        <v>13120</v>
      </c>
    </row>
    <row r="7" spans="1:2" ht="15" customHeight="1" x14ac:dyDescent="0.4">
      <c r="A7" s="20" t="s">
        <v>1048</v>
      </c>
      <c r="B7" s="25">
        <v>13054</v>
      </c>
    </row>
    <row r="8" spans="1:2" ht="15" customHeight="1" x14ac:dyDescent="0.4">
      <c r="A8" s="20" t="s">
        <v>1046</v>
      </c>
      <c r="B8" s="25">
        <v>12121</v>
      </c>
    </row>
    <row r="9" spans="1:2" ht="15" customHeight="1" x14ac:dyDescent="0.4">
      <c r="A9" s="23" t="s">
        <v>1038</v>
      </c>
      <c r="B9" s="26">
        <v>96623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B7"/>
  <sheetViews>
    <sheetView workbookViewId="0">
      <selection activeCell="B4" sqref="B4"/>
    </sheetView>
  </sheetViews>
  <sheetFormatPr defaultColWidth="12.640625" defaultRowHeight="15" customHeight="1" x14ac:dyDescent="0.4"/>
  <cols>
    <col min="1" max="1" width="15.140625" bestFit="1" customWidth="1"/>
    <col min="2" max="2" width="18.140625" bestFit="1" customWidth="1"/>
  </cols>
  <sheetData>
    <row r="1" spans="1:2" ht="14.6" x14ac:dyDescent="0.4">
      <c r="A1" s="21" t="s">
        <v>3</v>
      </c>
      <c r="B1" s="22" t="s">
        <v>1056</v>
      </c>
    </row>
    <row r="2" spans="1:2" ht="15" customHeight="1" x14ac:dyDescent="0.4">
      <c r="A2" s="31" t="s">
        <v>19</v>
      </c>
      <c r="B2" s="43">
        <v>218</v>
      </c>
    </row>
    <row r="3" spans="1:2" ht="15" customHeight="1" x14ac:dyDescent="0.4">
      <c r="A3" s="20" t="s">
        <v>35</v>
      </c>
      <c r="B3" s="41">
        <v>207</v>
      </c>
    </row>
    <row r="4" spans="1:2" ht="15" customHeight="1" x14ac:dyDescent="0.4">
      <c r="A4" s="20" t="s">
        <v>13</v>
      </c>
      <c r="B4" s="41">
        <v>200</v>
      </c>
    </row>
    <row r="5" spans="1:2" ht="15" customHeight="1" x14ac:dyDescent="0.4">
      <c r="A5" s="20" t="s">
        <v>24</v>
      </c>
      <c r="B5" s="41">
        <v>189</v>
      </c>
    </row>
    <row r="6" spans="1:2" ht="15" customHeight="1" x14ac:dyDescent="0.4">
      <c r="A6" s="20" t="s">
        <v>31</v>
      </c>
      <c r="B6" s="41">
        <v>186</v>
      </c>
    </row>
    <row r="7" spans="1:2" ht="15" customHeight="1" x14ac:dyDescent="0.4">
      <c r="A7" s="23" t="s">
        <v>1038</v>
      </c>
      <c r="B7" s="42">
        <v>1000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C9"/>
  <sheetViews>
    <sheetView workbookViewId="0">
      <selection activeCell="B5" sqref="B5"/>
    </sheetView>
  </sheetViews>
  <sheetFormatPr defaultColWidth="12.640625" defaultRowHeight="15" customHeight="1" x14ac:dyDescent="0.4"/>
  <cols>
    <col min="1" max="1" width="10.35546875" bestFit="1" customWidth="1"/>
    <col min="2" max="2" width="12.2109375" bestFit="1" customWidth="1"/>
    <col min="3" max="3" width="19.2109375" customWidth="1"/>
  </cols>
  <sheetData>
    <row r="1" spans="1:3" ht="14.6" x14ac:dyDescent="0.4">
      <c r="A1" s="21" t="s">
        <v>1055</v>
      </c>
      <c r="B1" s="22" t="s">
        <v>1057</v>
      </c>
      <c r="C1" s="15" t="s">
        <v>1054</v>
      </c>
    </row>
    <row r="2" spans="1:3" ht="15" customHeight="1" x14ac:dyDescent="0.4">
      <c r="A2" s="31" t="s">
        <v>1047</v>
      </c>
      <c r="B2" s="43">
        <v>161</v>
      </c>
    </row>
    <row r="3" spans="1:3" ht="15" customHeight="1" x14ac:dyDescent="0.4">
      <c r="A3" s="20" t="s">
        <v>1045</v>
      </c>
      <c r="B3" s="41">
        <v>153</v>
      </c>
    </row>
    <row r="4" spans="1:3" ht="15" customHeight="1" x14ac:dyDescent="0.4">
      <c r="A4" s="20" t="s">
        <v>1041</v>
      </c>
      <c r="B4" s="41">
        <v>146</v>
      </c>
    </row>
    <row r="5" spans="1:3" ht="15" customHeight="1" x14ac:dyDescent="0.4">
      <c r="A5" s="20" t="s">
        <v>1049</v>
      </c>
      <c r="B5" s="41">
        <v>141</v>
      </c>
    </row>
    <row r="6" spans="1:3" ht="15" customHeight="1" x14ac:dyDescent="0.4">
      <c r="A6" s="20" t="s">
        <v>1044</v>
      </c>
      <c r="B6" s="41">
        <v>138</v>
      </c>
    </row>
    <row r="7" spans="1:3" ht="15" customHeight="1" x14ac:dyDescent="0.4">
      <c r="A7" s="20" t="s">
        <v>1048</v>
      </c>
      <c r="B7" s="41">
        <v>133</v>
      </c>
    </row>
    <row r="8" spans="1:3" ht="15" customHeight="1" x14ac:dyDescent="0.4">
      <c r="A8" s="20" t="s">
        <v>1046</v>
      </c>
      <c r="B8" s="41">
        <v>128</v>
      </c>
    </row>
    <row r="9" spans="1:3" ht="15" customHeight="1" x14ac:dyDescent="0.4">
      <c r="A9" s="23" t="s">
        <v>1038</v>
      </c>
      <c r="B9" s="42">
        <v>1000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Data</vt:lpstr>
      <vt:lpstr>Business Summary</vt:lpstr>
      <vt:lpstr>Pivot Table</vt:lpstr>
      <vt:lpstr>Q1 - Sales by Representative</vt:lpstr>
      <vt:lpstr>Q2</vt:lpstr>
      <vt:lpstr>Q3</vt:lpstr>
      <vt:lpstr>Q4</vt:lpstr>
      <vt:lpstr>Q5</vt:lpstr>
      <vt:lpstr>Q6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UTD</dc:creator>
  <cp:lastModifiedBy>Mohammed Hesham</cp:lastModifiedBy>
  <dcterms:created xsi:type="dcterms:W3CDTF">2021-03-14T20:21:32Z</dcterms:created>
  <dcterms:modified xsi:type="dcterms:W3CDTF">2026-10-10T23:00:47Z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2025-11-11T02:40:27Z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96f51d6d-2893-4910-829c-60f62a858eaf</vt:lpwstr>
  </property>
  <property fmtid="{D5CDD505-2E9C-101B-9397-08002B2CF9AE}" pid="7" name="MSIP_Label_defa4170-0d19-0005-0004-bc88714345d2_ActionId">
    <vt:lpwstr>9f00fdf4-1fc1-45b3-b940-4cd09b5a9ea7</vt:lpwstr>
  </property>
  <property fmtid="{D5CDD505-2E9C-101B-9397-08002B2CF9AE}" pid="8" name="MSIP_Label_defa4170-0d19-0005-0004-bc88714345d2_ContentBits">
    <vt:lpwstr>0</vt:lpwstr>
  </property>
  <property fmtid="{D5CDD505-2E9C-101B-9397-08002B2CF9AE}" pid="9" name="MSIP_Label_defa4170-0d19-0005-0004-bc88714345d2_Tag">
    <vt:lpwstr>10, 3, 0, 1</vt:lpwstr>
  </property>
</Properties>
</file>